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3bb5014ba097738/Desktop/"/>
    </mc:Choice>
  </mc:AlternateContent>
  <xr:revisionPtr revIDLastSave="2018" documentId="11_F25DC773A252ABDACC104810A9DA79B45ADE58ED" xr6:coauthVersionLast="47" xr6:coauthVersionMax="47" xr10:uidLastSave="{DCCB1FE8-F7A3-4829-87D7-FA5A98609AD2}"/>
  <bookViews>
    <workbookView xWindow="-108" yWindow="-108" windowWidth="23256" windowHeight="12456" firstSheet="10" activeTab="15" xr2:uid="{00000000-000D-0000-FFFF-FFFF00000000}"/>
  </bookViews>
  <sheets>
    <sheet name="Raw Data" sheetId="3" r:id="rId1"/>
    <sheet name="Sales_data" sheetId="2" r:id="rId2"/>
    <sheet name="Product_Master" sheetId="4" r:id="rId3"/>
    <sheet name="Custumer_Master" sheetId="5" r:id="rId4"/>
    <sheet name="Data Cleaning" sheetId="6" r:id="rId5"/>
    <sheet name="Final Data" sheetId="8" r:id="rId6"/>
    <sheet name="Question 1" sheetId="9" r:id="rId7"/>
    <sheet name="Answer 1" sheetId="10" r:id="rId8"/>
    <sheet name="Question 2" sheetId="11" r:id="rId9"/>
    <sheet name="Answer 2" sheetId="12" r:id="rId10"/>
    <sheet name="Question 3" sheetId="13" r:id="rId11"/>
    <sheet name="Answer 3" sheetId="14" r:id="rId12"/>
    <sheet name="Question 4" sheetId="15" r:id="rId13"/>
    <sheet name="Answer 4" sheetId="16" r:id="rId14"/>
    <sheet name="Question 5" sheetId="17" r:id="rId15"/>
    <sheet name="Answer 5 -Sales Summary Report" sheetId="18" r:id="rId16"/>
  </sheets>
  <externalReferences>
    <externalReference r:id="rId17"/>
  </externalReferences>
  <definedNames>
    <definedName name="_xlnm._FilterDatabase" localSheetId="11" hidden="1">'Answer 3'!$A$1:$K$501</definedName>
    <definedName name="_xlnm._FilterDatabase" localSheetId="5" hidden="1">'Final Data'!$A$1:$AG$501</definedName>
  </definedNames>
  <calcPr calcId="191029"/>
  <pivotCaches>
    <pivotCache cacheId="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4" l="1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I3" i="14"/>
  <c r="J3" i="14"/>
  <c r="I4" i="14"/>
  <c r="J4" i="14"/>
  <c r="I5" i="14"/>
  <c r="J5" i="14"/>
  <c r="I6" i="14"/>
  <c r="J6" i="14"/>
  <c r="I7" i="14"/>
  <c r="J7" i="14"/>
  <c r="I8" i="14"/>
  <c r="J8" i="14"/>
  <c r="I9" i="14"/>
  <c r="J9" i="14"/>
  <c r="I10" i="14"/>
  <c r="J10" i="14"/>
  <c r="I11" i="14"/>
  <c r="J11" i="14"/>
  <c r="I12" i="14"/>
  <c r="J12" i="14"/>
  <c r="I13" i="14"/>
  <c r="J13" i="14"/>
  <c r="I14" i="14"/>
  <c r="J14" i="14"/>
  <c r="I15" i="14"/>
  <c r="J15" i="14"/>
  <c r="I16" i="14"/>
  <c r="J16" i="14"/>
  <c r="I17" i="14"/>
  <c r="J17" i="14"/>
  <c r="I18" i="14"/>
  <c r="J18" i="14"/>
  <c r="I19" i="14"/>
  <c r="J19" i="14"/>
  <c r="I20" i="14"/>
  <c r="J20" i="14"/>
  <c r="I21" i="14"/>
  <c r="J21" i="14"/>
  <c r="I22" i="14"/>
  <c r="J22" i="14"/>
  <c r="I23" i="14"/>
  <c r="J23" i="14"/>
  <c r="I24" i="14"/>
  <c r="J24" i="14"/>
  <c r="I25" i="14"/>
  <c r="J25" i="14"/>
  <c r="I26" i="14"/>
  <c r="J26" i="14"/>
  <c r="I27" i="14"/>
  <c r="J27" i="14"/>
  <c r="I28" i="14"/>
  <c r="J28" i="14"/>
  <c r="I29" i="14"/>
  <c r="J29" i="14"/>
  <c r="I30" i="14"/>
  <c r="J30" i="14"/>
  <c r="I31" i="14"/>
  <c r="J31" i="14"/>
  <c r="I32" i="14"/>
  <c r="J32" i="14"/>
  <c r="I33" i="14"/>
  <c r="J33" i="14"/>
  <c r="I34" i="14"/>
  <c r="J34" i="14"/>
  <c r="I35" i="14"/>
  <c r="J35" i="14"/>
  <c r="I36" i="14"/>
  <c r="J36" i="14"/>
  <c r="I37" i="14"/>
  <c r="J37" i="14"/>
  <c r="I38" i="14"/>
  <c r="J38" i="14"/>
  <c r="I39" i="14"/>
  <c r="J39" i="14"/>
  <c r="I40" i="14"/>
  <c r="J40" i="14"/>
  <c r="I41" i="14"/>
  <c r="J41" i="14"/>
  <c r="I42" i="14"/>
  <c r="J42" i="14"/>
  <c r="I43" i="14"/>
  <c r="J43" i="14"/>
  <c r="I44" i="14"/>
  <c r="J44" i="14"/>
  <c r="I45" i="14"/>
  <c r="J45" i="14"/>
  <c r="I46" i="14"/>
  <c r="J46" i="14"/>
  <c r="I47" i="14"/>
  <c r="J47" i="14"/>
  <c r="I48" i="14"/>
  <c r="J48" i="14"/>
  <c r="I49" i="14"/>
  <c r="J49" i="14"/>
  <c r="I50" i="14"/>
  <c r="J50" i="14"/>
  <c r="I51" i="14"/>
  <c r="J51" i="14"/>
  <c r="I52" i="14"/>
  <c r="J52" i="14"/>
  <c r="I53" i="14"/>
  <c r="J53" i="14"/>
  <c r="I54" i="14"/>
  <c r="J54" i="14"/>
  <c r="I55" i="14"/>
  <c r="J55" i="14"/>
  <c r="I56" i="14"/>
  <c r="J56" i="14"/>
  <c r="I57" i="14"/>
  <c r="J57" i="14"/>
  <c r="I58" i="14"/>
  <c r="J58" i="14"/>
  <c r="I59" i="14"/>
  <c r="J59" i="14"/>
  <c r="I60" i="14"/>
  <c r="J60" i="14"/>
  <c r="I61" i="14"/>
  <c r="J61" i="14"/>
  <c r="I62" i="14"/>
  <c r="J62" i="14"/>
  <c r="I63" i="14"/>
  <c r="J63" i="14"/>
  <c r="I64" i="14"/>
  <c r="J64" i="14"/>
  <c r="I65" i="14"/>
  <c r="J65" i="14"/>
  <c r="I66" i="14"/>
  <c r="J66" i="14"/>
  <c r="I67" i="14"/>
  <c r="J67" i="14"/>
  <c r="I68" i="14"/>
  <c r="J68" i="14"/>
  <c r="I69" i="14"/>
  <c r="J69" i="14"/>
  <c r="I70" i="14"/>
  <c r="J70" i="14"/>
  <c r="I71" i="14"/>
  <c r="J71" i="14"/>
  <c r="I72" i="14"/>
  <c r="J72" i="14"/>
  <c r="I73" i="14"/>
  <c r="J73" i="14"/>
  <c r="I74" i="14"/>
  <c r="J74" i="14"/>
  <c r="I75" i="14"/>
  <c r="J75" i="14"/>
  <c r="I76" i="14"/>
  <c r="J76" i="14"/>
  <c r="I77" i="14"/>
  <c r="J77" i="14"/>
  <c r="I78" i="14"/>
  <c r="J78" i="14"/>
  <c r="I79" i="14"/>
  <c r="J79" i="14"/>
  <c r="I80" i="14"/>
  <c r="J80" i="14"/>
  <c r="I81" i="14"/>
  <c r="J81" i="14"/>
  <c r="I82" i="14"/>
  <c r="J82" i="14"/>
  <c r="I83" i="14"/>
  <c r="J83" i="14"/>
  <c r="I84" i="14"/>
  <c r="J84" i="14"/>
  <c r="I85" i="14"/>
  <c r="J85" i="14"/>
  <c r="I86" i="14"/>
  <c r="J86" i="14"/>
  <c r="I87" i="14"/>
  <c r="J87" i="14"/>
  <c r="I88" i="14"/>
  <c r="J88" i="14"/>
  <c r="I89" i="14"/>
  <c r="J89" i="14"/>
  <c r="I90" i="14"/>
  <c r="J90" i="14"/>
  <c r="I91" i="14"/>
  <c r="J91" i="14"/>
  <c r="I92" i="14"/>
  <c r="J92" i="14"/>
  <c r="I93" i="14"/>
  <c r="J93" i="14"/>
  <c r="I94" i="14"/>
  <c r="J94" i="14"/>
  <c r="I95" i="14"/>
  <c r="J95" i="14"/>
  <c r="I96" i="14"/>
  <c r="J96" i="14"/>
  <c r="I97" i="14"/>
  <c r="J97" i="14"/>
  <c r="I98" i="14"/>
  <c r="J98" i="14"/>
  <c r="I99" i="14"/>
  <c r="J99" i="14"/>
  <c r="I100" i="14"/>
  <c r="J100" i="14"/>
  <c r="I101" i="14"/>
  <c r="J101" i="14"/>
  <c r="I102" i="14"/>
  <c r="J102" i="14"/>
  <c r="I103" i="14"/>
  <c r="J103" i="14"/>
  <c r="I104" i="14"/>
  <c r="J104" i="14"/>
  <c r="I105" i="14"/>
  <c r="J105" i="14"/>
  <c r="I106" i="14"/>
  <c r="J106" i="14"/>
  <c r="I107" i="14"/>
  <c r="J107" i="14"/>
  <c r="I108" i="14"/>
  <c r="J108" i="14"/>
  <c r="I109" i="14"/>
  <c r="J109" i="14"/>
  <c r="I110" i="14"/>
  <c r="J110" i="14"/>
  <c r="I111" i="14"/>
  <c r="J111" i="14"/>
  <c r="I112" i="14"/>
  <c r="J112" i="14"/>
  <c r="I113" i="14"/>
  <c r="J113" i="14"/>
  <c r="I114" i="14"/>
  <c r="J114" i="14"/>
  <c r="I115" i="14"/>
  <c r="J115" i="14"/>
  <c r="I116" i="14"/>
  <c r="J116" i="14"/>
  <c r="I117" i="14"/>
  <c r="J117" i="14"/>
  <c r="I118" i="14"/>
  <c r="J118" i="14"/>
  <c r="I119" i="14"/>
  <c r="J119" i="14"/>
  <c r="I120" i="14"/>
  <c r="J120" i="14"/>
  <c r="I121" i="14"/>
  <c r="J121" i="14"/>
  <c r="I122" i="14"/>
  <c r="J122" i="14"/>
  <c r="I123" i="14"/>
  <c r="J123" i="14"/>
  <c r="I124" i="14"/>
  <c r="J124" i="14"/>
  <c r="I125" i="14"/>
  <c r="J125" i="14"/>
  <c r="I126" i="14"/>
  <c r="J126" i="14"/>
  <c r="I127" i="14"/>
  <c r="J127" i="14"/>
  <c r="I128" i="14"/>
  <c r="J128" i="14"/>
  <c r="I129" i="14"/>
  <c r="J129" i="14"/>
  <c r="I130" i="14"/>
  <c r="J130" i="14"/>
  <c r="I131" i="14"/>
  <c r="J131" i="14"/>
  <c r="I132" i="14"/>
  <c r="J132" i="14"/>
  <c r="I133" i="14"/>
  <c r="J133" i="14"/>
  <c r="I134" i="14"/>
  <c r="J134" i="14"/>
  <c r="I135" i="14"/>
  <c r="J135" i="14"/>
  <c r="I136" i="14"/>
  <c r="J136" i="14"/>
  <c r="I137" i="14"/>
  <c r="J137" i="14"/>
  <c r="I138" i="14"/>
  <c r="J138" i="14"/>
  <c r="I139" i="14"/>
  <c r="J139" i="14"/>
  <c r="I140" i="14"/>
  <c r="J140" i="14"/>
  <c r="I141" i="14"/>
  <c r="J141" i="14"/>
  <c r="I142" i="14"/>
  <c r="J142" i="14"/>
  <c r="I143" i="14"/>
  <c r="J143" i="14"/>
  <c r="I144" i="14"/>
  <c r="J144" i="14"/>
  <c r="I145" i="14"/>
  <c r="J145" i="14"/>
  <c r="I146" i="14"/>
  <c r="J146" i="14"/>
  <c r="I147" i="14"/>
  <c r="J147" i="14"/>
  <c r="I148" i="14"/>
  <c r="J148" i="14"/>
  <c r="I149" i="14"/>
  <c r="J149" i="14"/>
  <c r="I150" i="14"/>
  <c r="J150" i="14"/>
  <c r="I151" i="14"/>
  <c r="J151" i="14"/>
  <c r="I152" i="14"/>
  <c r="J152" i="14"/>
  <c r="I153" i="14"/>
  <c r="J153" i="14"/>
  <c r="I154" i="14"/>
  <c r="J154" i="14"/>
  <c r="I155" i="14"/>
  <c r="J155" i="14"/>
  <c r="I156" i="14"/>
  <c r="J156" i="14"/>
  <c r="I157" i="14"/>
  <c r="J157" i="14"/>
  <c r="I158" i="14"/>
  <c r="J158" i="14"/>
  <c r="I159" i="14"/>
  <c r="J159" i="14"/>
  <c r="I160" i="14"/>
  <c r="J160" i="14"/>
  <c r="I161" i="14"/>
  <c r="J161" i="14"/>
  <c r="I162" i="14"/>
  <c r="J162" i="14"/>
  <c r="I163" i="14"/>
  <c r="J163" i="14"/>
  <c r="I164" i="14"/>
  <c r="J164" i="14"/>
  <c r="I165" i="14"/>
  <c r="J165" i="14"/>
  <c r="I166" i="14"/>
  <c r="J166" i="14"/>
  <c r="I167" i="14"/>
  <c r="J167" i="14"/>
  <c r="I168" i="14"/>
  <c r="J168" i="14"/>
  <c r="I169" i="14"/>
  <c r="J169" i="14"/>
  <c r="I170" i="14"/>
  <c r="J170" i="14"/>
  <c r="I171" i="14"/>
  <c r="J171" i="14"/>
  <c r="I172" i="14"/>
  <c r="J172" i="14"/>
  <c r="I173" i="14"/>
  <c r="J173" i="14"/>
  <c r="I174" i="14"/>
  <c r="J174" i="14"/>
  <c r="I175" i="14"/>
  <c r="J175" i="14"/>
  <c r="I176" i="14"/>
  <c r="J176" i="14"/>
  <c r="I177" i="14"/>
  <c r="J177" i="14"/>
  <c r="I178" i="14"/>
  <c r="J178" i="14"/>
  <c r="I179" i="14"/>
  <c r="J179" i="14"/>
  <c r="I180" i="14"/>
  <c r="J180" i="14"/>
  <c r="I181" i="14"/>
  <c r="J181" i="14"/>
  <c r="I182" i="14"/>
  <c r="J182" i="14"/>
  <c r="I183" i="14"/>
  <c r="J183" i="14"/>
  <c r="I184" i="14"/>
  <c r="J184" i="14"/>
  <c r="I185" i="14"/>
  <c r="J185" i="14"/>
  <c r="I186" i="14"/>
  <c r="J186" i="14"/>
  <c r="I187" i="14"/>
  <c r="J187" i="14"/>
  <c r="I188" i="14"/>
  <c r="J188" i="14"/>
  <c r="I189" i="14"/>
  <c r="J189" i="14"/>
  <c r="I190" i="14"/>
  <c r="J190" i="14"/>
  <c r="I191" i="14"/>
  <c r="J191" i="14"/>
  <c r="I192" i="14"/>
  <c r="J192" i="14"/>
  <c r="I193" i="14"/>
  <c r="J193" i="14"/>
  <c r="I194" i="14"/>
  <c r="J194" i="14"/>
  <c r="I195" i="14"/>
  <c r="J195" i="14"/>
  <c r="I196" i="14"/>
  <c r="J196" i="14"/>
  <c r="I197" i="14"/>
  <c r="J197" i="14"/>
  <c r="I198" i="14"/>
  <c r="J198" i="14"/>
  <c r="I199" i="14"/>
  <c r="J199" i="14"/>
  <c r="I200" i="14"/>
  <c r="J200" i="14"/>
  <c r="I201" i="14"/>
  <c r="J201" i="14"/>
  <c r="I202" i="14"/>
  <c r="J202" i="14"/>
  <c r="I203" i="14"/>
  <c r="J203" i="14"/>
  <c r="I204" i="14"/>
  <c r="J204" i="14"/>
  <c r="I205" i="14"/>
  <c r="J205" i="14"/>
  <c r="I206" i="14"/>
  <c r="J206" i="14"/>
  <c r="I207" i="14"/>
  <c r="J207" i="14"/>
  <c r="I208" i="14"/>
  <c r="J208" i="14"/>
  <c r="I209" i="14"/>
  <c r="J209" i="14"/>
  <c r="I210" i="14"/>
  <c r="J210" i="14"/>
  <c r="I211" i="14"/>
  <c r="J211" i="14"/>
  <c r="I212" i="14"/>
  <c r="J212" i="14"/>
  <c r="I213" i="14"/>
  <c r="J213" i="14"/>
  <c r="I214" i="14"/>
  <c r="J214" i="14"/>
  <c r="I215" i="14"/>
  <c r="J215" i="14"/>
  <c r="I216" i="14"/>
  <c r="J216" i="14"/>
  <c r="I217" i="14"/>
  <c r="J217" i="14"/>
  <c r="I218" i="14"/>
  <c r="J218" i="14"/>
  <c r="I219" i="14"/>
  <c r="J219" i="14"/>
  <c r="I220" i="14"/>
  <c r="J220" i="14"/>
  <c r="I221" i="14"/>
  <c r="J221" i="14"/>
  <c r="I222" i="14"/>
  <c r="J222" i="14"/>
  <c r="I223" i="14"/>
  <c r="J223" i="14"/>
  <c r="I224" i="14"/>
  <c r="J224" i="14"/>
  <c r="I225" i="14"/>
  <c r="J225" i="14"/>
  <c r="I226" i="14"/>
  <c r="J226" i="14"/>
  <c r="I227" i="14"/>
  <c r="J227" i="14"/>
  <c r="I228" i="14"/>
  <c r="J228" i="14"/>
  <c r="I229" i="14"/>
  <c r="J229" i="14"/>
  <c r="I230" i="14"/>
  <c r="J230" i="14"/>
  <c r="I231" i="14"/>
  <c r="J231" i="14"/>
  <c r="I232" i="14"/>
  <c r="J232" i="14"/>
  <c r="I233" i="14"/>
  <c r="J233" i="14"/>
  <c r="I234" i="14"/>
  <c r="J234" i="14"/>
  <c r="I235" i="14"/>
  <c r="J235" i="14"/>
  <c r="I236" i="14"/>
  <c r="J236" i="14"/>
  <c r="I237" i="14"/>
  <c r="J237" i="14"/>
  <c r="I238" i="14"/>
  <c r="J238" i="14"/>
  <c r="I239" i="14"/>
  <c r="J239" i="14"/>
  <c r="I240" i="14"/>
  <c r="J240" i="14"/>
  <c r="I241" i="14"/>
  <c r="J241" i="14"/>
  <c r="I242" i="14"/>
  <c r="J242" i="14"/>
  <c r="I243" i="14"/>
  <c r="J243" i="14"/>
  <c r="I244" i="14"/>
  <c r="J244" i="14"/>
  <c r="I245" i="14"/>
  <c r="J245" i="14"/>
  <c r="I246" i="14"/>
  <c r="J246" i="14"/>
  <c r="I247" i="14"/>
  <c r="J247" i="14"/>
  <c r="I248" i="14"/>
  <c r="J248" i="14"/>
  <c r="I249" i="14"/>
  <c r="J249" i="14"/>
  <c r="I250" i="14"/>
  <c r="J250" i="14"/>
  <c r="I251" i="14"/>
  <c r="J251" i="14"/>
  <c r="I252" i="14"/>
  <c r="J252" i="14"/>
  <c r="I253" i="14"/>
  <c r="J253" i="14"/>
  <c r="I254" i="14"/>
  <c r="J254" i="14"/>
  <c r="I255" i="14"/>
  <c r="J255" i="14"/>
  <c r="I256" i="14"/>
  <c r="J256" i="14"/>
  <c r="I257" i="14"/>
  <c r="J257" i="14"/>
  <c r="I258" i="14"/>
  <c r="J258" i="14"/>
  <c r="I259" i="14"/>
  <c r="J259" i="14"/>
  <c r="I260" i="14"/>
  <c r="J260" i="14"/>
  <c r="I261" i="14"/>
  <c r="J261" i="14"/>
  <c r="I262" i="14"/>
  <c r="J262" i="14"/>
  <c r="I263" i="14"/>
  <c r="J263" i="14"/>
  <c r="I264" i="14"/>
  <c r="J264" i="14"/>
  <c r="I265" i="14"/>
  <c r="J265" i="14"/>
  <c r="I266" i="14"/>
  <c r="J266" i="14"/>
  <c r="I267" i="14"/>
  <c r="J267" i="14"/>
  <c r="I268" i="14"/>
  <c r="J268" i="14"/>
  <c r="I269" i="14"/>
  <c r="J269" i="14"/>
  <c r="I270" i="14"/>
  <c r="J270" i="14"/>
  <c r="I271" i="14"/>
  <c r="J271" i="14"/>
  <c r="I272" i="14"/>
  <c r="J272" i="14"/>
  <c r="I273" i="14"/>
  <c r="J273" i="14"/>
  <c r="I274" i="14"/>
  <c r="J274" i="14"/>
  <c r="I275" i="14"/>
  <c r="J275" i="14"/>
  <c r="I276" i="14"/>
  <c r="J276" i="14"/>
  <c r="I277" i="14"/>
  <c r="J277" i="14"/>
  <c r="I278" i="14"/>
  <c r="J278" i="14"/>
  <c r="I279" i="14"/>
  <c r="J279" i="14"/>
  <c r="I280" i="14"/>
  <c r="J280" i="14"/>
  <c r="I281" i="14"/>
  <c r="J281" i="14"/>
  <c r="I282" i="14"/>
  <c r="J282" i="14"/>
  <c r="I283" i="14"/>
  <c r="J283" i="14"/>
  <c r="I284" i="14"/>
  <c r="J284" i="14"/>
  <c r="I285" i="14"/>
  <c r="J285" i="14"/>
  <c r="I286" i="14"/>
  <c r="J286" i="14"/>
  <c r="I287" i="14"/>
  <c r="J287" i="14"/>
  <c r="I288" i="14"/>
  <c r="J288" i="14"/>
  <c r="I289" i="14"/>
  <c r="J289" i="14"/>
  <c r="I290" i="14"/>
  <c r="J290" i="14"/>
  <c r="I291" i="14"/>
  <c r="J291" i="14"/>
  <c r="I292" i="14"/>
  <c r="J292" i="14"/>
  <c r="I293" i="14"/>
  <c r="J293" i="14"/>
  <c r="I294" i="14"/>
  <c r="J294" i="14"/>
  <c r="I295" i="14"/>
  <c r="J295" i="14"/>
  <c r="I296" i="14"/>
  <c r="J296" i="14"/>
  <c r="I297" i="14"/>
  <c r="J297" i="14"/>
  <c r="I298" i="14"/>
  <c r="J298" i="14"/>
  <c r="I299" i="14"/>
  <c r="J299" i="14"/>
  <c r="I300" i="14"/>
  <c r="J300" i="14"/>
  <c r="I301" i="14"/>
  <c r="J301" i="14"/>
  <c r="I302" i="14"/>
  <c r="J302" i="14"/>
  <c r="I303" i="14"/>
  <c r="J303" i="14"/>
  <c r="I304" i="14"/>
  <c r="J304" i="14"/>
  <c r="I305" i="14"/>
  <c r="J305" i="14"/>
  <c r="I306" i="14"/>
  <c r="J306" i="14"/>
  <c r="I307" i="14"/>
  <c r="J307" i="14"/>
  <c r="I308" i="14"/>
  <c r="J308" i="14"/>
  <c r="I309" i="14"/>
  <c r="J309" i="14"/>
  <c r="I310" i="14"/>
  <c r="J310" i="14"/>
  <c r="I311" i="14"/>
  <c r="J311" i="14"/>
  <c r="I312" i="14"/>
  <c r="J312" i="14"/>
  <c r="I313" i="14"/>
  <c r="J313" i="14"/>
  <c r="I314" i="14"/>
  <c r="J314" i="14"/>
  <c r="I315" i="14"/>
  <c r="J315" i="14"/>
  <c r="I316" i="14"/>
  <c r="J316" i="14"/>
  <c r="I317" i="14"/>
  <c r="J317" i="14"/>
  <c r="I318" i="14"/>
  <c r="J318" i="14"/>
  <c r="I319" i="14"/>
  <c r="J319" i="14"/>
  <c r="I320" i="14"/>
  <c r="J320" i="14"/>
  <c r="I321" i="14"/>
  <c r="J321" i="14"/>
  <c r="I322" i="14"/>
  <c r="J322" i="14"/>
  <c r="I323" i="14"/>
  <c r="J323" i="14"/>
  <c r="I324" i="14"/>
  <c r="J324" i="14"/>
  <c r="I325" i="14"/>
  <c r="J325" i="14"/>
  <c r="I326" i="14"/>
  <c r="J326" i="14"/>
  <c r="I327" i="14"/>
  <c r="J327" i="14"/>
  <c r="I328" i="14"/>
  <c r="J328" i="14"/>
  <c r="I329" i="14"/>
  <c r="J329" i="14"/>
  <c r="I330" i="14"/>
  <c r="J330" i="14"/>
  <c r="I331" i="14"/>
  <c r="J331" i="14"/>
  <c r="I332" i="14"/>
  <c r="J332" i="14"/>
  <c r="I333" i="14"/>
  <c r="J333" i="14"/>
  <c r="I334" i="14"/>
  <c r="J334" i="14"/>
  <c r="I335" i="14"/>
  <c r="J335" i="14"/>
  <c r="I336" i="14"/>
  <c r="J336" i="14"/>
  <c r="I337" i="14"/>
  <c r="J337" i="14"/>
  <c r="I338" i="14"/>
  <c r="J338" i="14"/>
  <c r="I339" i="14"/>
  <c r="J339" i="14"/>
  <c r="I340" i="14"/>
  <c r="J340" i="14"/>
  <c r="I341" i="14"/>
  <c r="J341" i="14"/>
  <c r="I342" i="14"/>
  <c r="J342" i="14"/>
  <c r="I343" i="14"/>
  <c r="J343" i="14"/>
  <c r="I344" i="14"/>
  <c r="J344" i="14"/>
  <c r="I345" i="14"/>
  <c r="J345" i="14"/>
  <c r="I346" i="14"/>
  <c r="J346" i="14"/>
  <c r="I347" i="14"/>
  <c r="J347" i="14"/>
  <c r="I348" i="14"/>
  <c r="J348" i="14"/>
  <c r="I349" i="14"/>
  <c r="J349" i="14"/>
  <c r="I350" i="14"/>
  <c r="J350" i="14"/>
  <c r="I351" i="14"/>
  <c r="J351" i="14"/>
  <c r="I352" i="14"/>
  <c r="J352" i="14"/>
  <c r="I353" i="14"/>
  <c r="J353" i="14"/>
  <c r="I354" i="14"/>
  <c r="J354" i="14"/>
  <c r="I355" i="14"/>
  <c r="J355" i="14"/>
  <c r="I356" i="14"/>
  <c r="J356" i="14"/>
  <c r="I357" i="14"/>
  <c r="J357" i="14"/>
  <c r="I358" i="14"/>
  <c r="J358" i="14"/>
  <c r="I359" i="14"/>
  <c r="J359" i="14"/>
  <c r="I360" i="14"/>
  <c r="J360" i="14"/>
  <c r="I361" i="14"/>
  <c r="J361" i="14"/>
  <c r="I362" i="14"/>
  <c r="J362" i="14"/>
  <c r="I363" i="14"/>
  <c r="J363" i="14"/>
  <c r="I364" i="14"/>
  <c r="J364" i="14"/>
  <c r="I365" i="14"/>
  <c r="J365" i="14"/>
  <c r="I366" i="14"/>
  <c r="J366" i="14"/>
  <c r="I367" i="14"/>
  <c r="J367" i="14"/>
  <c r="I368" i="14"/>
  <c r="J368" i="14"/>
  <c r="I369" i="14"/>
  <c r="J369" i="14"/>
  <c r="I370" i="14"/>
  <c r="J370" i="14"/>
  <c r="I371" i="14"/>
  <c r="J371" i="14"/>
  <c r="I372" i="14"/>
  <c r="J372" i="14"/>
  <c r="I373" i="14"/>
  <c r="J373" i="14"/>
  <c r="I374" i="14"/>
  <c r="J374" i="14"/>
  <c r="I375" i="14"/>
  <c r="J375" i="14"/>
  <c r="I376" i="14"/>
  <c r="J376" i="14"/>
  <c r="I377" i="14"/>
  <c r="J377" i="14"/>
  <c r="I378" i="14"/>
  <c r="J378" i="14"/>
  <c r="I379" i="14"/>
  <c r="J379" i="14"/>
  <c r="I380" i="14"/>
  <c r="J380" i="14"/>
  <c r="I381" i="14"/>
  <c r="J381" i="14"/>
  <c r="I382" i="14"/>
  <c r="J382" i="14"/>
  <c r="I383" i="14"/>
  <c r="J383" i="14"/>
  <c r="I384" i="14"/>
  <c r="J384" i="14"/>
  <c r="I385" i="14"/>
  <c r="J385" i="14"/>
  <c r="I386" i="14"/>
  <c r="J386" i="14"/>
  <c r="I387" i="14"/>
  <c r="J387" i="14"/>
  <c r="I388" i="14"/>
  <c r="J388" i="14"/>
  <c r="I389" i="14"/>
  <c r="J389" i="14"/>
  <c r="I390" i="14"/>
  <c r="J390" i="14"/>
  <c r="I391" i="14"/>
  <c r="J391" i="14"/>
  <c r="I392" i="14"/>
  <c r="J392" i="14"/>
  <c r="I393" i="14"/>
  <c r="J393" i="14"/>
  <c r="I394" i="14"/>
  <c r="J394" i="14"/>
  <c r="I395" i="14"/>
  <c r="J395" i="14"/>
  <c r="I396" i="14"/>
  <c r="J396" i="14"/>
  <c r="I397" i="14"/>
  <c r="J397" i="14"/>
  <c r="I398" i="14"/>
  <c r="J398" i="14"/>
  <c r="I399" i="14"/>
  <c r="J399" i="14"/>
  <c r="I400" i="14"/>
  <c r="J400" i="14"/>
  <c r="I401" i="14"/>
  <c r="J401" i="14"/>
  <c r="I402" i="14"/>
  <c r="J402" i="14"/>
  <c r="I403" i="14"/>
  <c r="J403" i="14"/>
  <c r="I404" i="14"/>
  <c r="J404" i="14"/>
  <c r="I405" i="14"/>
  <c r="J405" i="14"/>
  <c r="I406" i="14"/>
  <c r="J406" i="14"/>
  <c r="I407" i="14"/>
  <c r="J407" i="14"/>
  <c r="I408" i="14"/>
  <c r="J408" i="14"/>
  <c r="I409" i="14"/>
  <c r="J409" i="14"/>
  <c r="I410" i="14"/>
  <c r="J410" i="14"/>
  <c r="I411" i="14"/>
  <c r="J411" i="14"/>
  <c r="I412" i="14"/>
  <c r="J412" i="14"/>
  <c r="I413" i="14"/>
  <c r="J413" i="14"/>
  <c r="I414" i="14"/>
  <c r="J414" i="14"/>
  <c r="I415" i="14"/>
  <c r="J415" i="14"/>
  <c r="I416" i="14"/>
  <c r="J416" i="14"/>
  <c r="I417" i="14"/>
  <c r="J417" i="14"/>
  <c r="I418" i="14"/>
  <c r="J418" i="14"/>
  <c r="I419" i="14"/>
  <c r="J419" i="14"/>
  <c r="I420" i="14"/>
  <c r="J420" i="14"/>
  <c r="I421" i="14"/>
  <c r="J421" i="14"/>
  <c r="I422" i="14"/>
  <c r="J422" i="14"/>
  <c r="I423" i="14"/>
  <c r="J423" i="14"/>
  <c r="I424" i="14"/>
  <c r="J424" i="14"/>
  <c r="I425" i="14"/>
  <c r="J425" i="14"/>
  <c r="I426" i="14"/>
  <c r="J426" i="14"/>
  <c r="I427" i="14"/>
  <c r="J427" i="14"/>
  <c r="I428" i="14"/>
  <c r="J428" i="14"/>
  <c r="I429" i="14"/>
  <c r="J429" i="14"/>
  <c r="I430" i="14"/>
  <c r="J430" i="14"/>
  <c r="I431" i="14"/>
  <c r="J431" i="14"/>
  <c r="I432" i="14"/>
  <c r="J432" i="14"/>
  <c r="I433" i="14"/>
  <c r="J433" i="14"/>
  <c r="I434" i="14"/>
  <c r="J434" i="14"/>
  <c r="I435" i="14"/>
  <c r="J435" i="14"/>
  <c r="I436" i="14"/>
  <c r="J436" i="14"/>
  <c r="I437" i="14"/>
  <c r="J437" i="14"/>
  <c r="I438" i="14"/>
  <c r="J438" i="14"/>
  <c r="I439" i="14"/>
  <c r="J439" i="14"/>
  <c r="I440" i="14"/>
  <c r="J440" i="14"/>
  <c r="I441" i="14"/>
  <c r="J441" i="14"/>
  <c r="I442" i="14"/>
  <c r="J442" i="14"/>
  <c r="I443" i="14"/>
  <c r="J443" i="14"/>
  <c r="I444" i="14"/>
  <c r="J444" i="14"/>
  <c r="I445" i="14"/>
  <c r="J445" i="14"/>
  <c r="I446" i="14"/>
  <c r="J446" i="14"/>
  <c r="I447" i="14"/>
  <c r="J447" i="14"/>
  <c r="I448" i="14"/>
  <c r="J448" i="14"/>
  <c r="I449" i="14"/>
  <c r="J449" i="14"/>
  <c r="I450" i="14"/>
  <c r="J450" i="14"/>
  <c r="I451" i="14"/>
  <c r="J451" i="14"/>
  <c r="I452" i="14"/>
  <c r="J452" i="14"/>
  <c r="I453" i="14"/>
  <c r="J453" i="14"/>
  <c r="I454" i="14"/>
  <c r="J454" i="14"/>
  <c r="I455" i="14"/>
  <c r="J455" i="14"/>
  <c r="I456" i="14"/>
  <c r="J456" i="14"/>
  <c r="I457" i="14"/>
  <c r="J457" i="14"/>
  <c r="I458" i="14"/>
  <c r="J458" i="14"/>
  <c r="I459" i="14"/>
  <c r="J459" i="14"/>
  <c r="I460" i="14"/>
  <c r="J460" i="14"/>
  <c r="I461" i="14"/>
  <c r="J461" i="14"/>
  <c r="I462" i="14"/>
  <c r="J462" i="14"/>
  <c r="I463" i="14"/>
  <c r="J463" i="14"/>
  <c r="I464" i="14"/>
  <c r="J464" i="14"/>
  <c r="I465" i="14"/>
  <c r="J465" i="14"/>
  <c r="I466" i="14"/>
  <c r="J466" i="14"/>
  <c r="I467" i="14"/>
  <c r="J467" i="14"/>
  <c r="I468" i="14"/>
  <c r="J468" i="14"/>
  <c r="I469" i="14"/>
  <c r="J469" i="14"/>
  <c r="I470" i="14"/>
  <c r="J470" i="14"/>
  <c r="I471" i="14"/>
  <c r="J471" i="14"/>
  <c r="I472" i="14"/>
  <c r="J472" i="14"/>
  <c r="I473" i="14"/>
  <c r="J473" i="14"/>
  <c r="I474" i="14"/>
  <c r="J474" i="14"/>
  <c r="I475" i="14"/>
  <c r="J475" i="14"/>
  <c r="I476" i="14"/>
  <c r="J476" i="14"/>
  <c r="I477" i="14"/>
  <c r="J477" i="14"/>
  <c r="I478" i="14"/>
  <c r="J478" i="14"/>
  <c r="I479" i="14"/>
  <c r="J479" i="14"/>
  <c r="I480" i="14"/>
  <c r="J480" i="14"/>
  <c r="I481" i="14"/>
  <c r="J481" i="14"/>
  <c r="I482" i="14"/>
  <c r="J482" i="14"/>
  <c r="I483" i="14"/>
  <c r="J483" i="14"/>
  <c r="I484" i="14"/>
  <c r="J484" i="14"/>
  <c r="I485" i="14"/>
  <c r="J485" i="14"/>
  <c r="I486" i="14"/>
  <c r="J486" i="14"/>
  <c r="I487" i="14"/>
  <c r="J487" i="14"/>
  <c r="I488" i="14"/>
  <c r="J488" i="14"/>
  <c r="I489" i="14"/>
  <c r="J489" i="14"/>
  <c r="I490" i="14"/>
  <c r="J490" i="14"/>
  <c r="I491" i="14"/>
  <c r="J491" i="14"/>
  <c r="I492" i="14"/>
  <c r="J492" i="14"/>
  <c r="I493" i="14"/>
  <c r="J493" i="14"/>
  <c r="I494" i="14"/>
  <c r="J494" i="14"/>
  <c r="I495" i="14"/>
  <c r="J495" i="14"/>
  <c r="I496" i="14"/>
  <c r="J496" i="14"/>
  <c r="I497" i="14"/>
  <c r="J497" i="14"/>
  <c r="I498" i="14"/>
  <c r="J498" i="14"/>
  <c r="I499" i="14"/>
  <c r="J499" i="14"/>
  <c r="I500" i="14"/>
  <c r="J500" i="14"/>
  <c r="I501" i="14"/>
  <c r="J501" i="14"/>
  <c r="K6" i="18"/>
  <c r="K9" i="16"/>
  <c r="L9" i="16"/>
  <c r="M9" i="16"/>
  <c r="N9" i="16"/>
  <c r="J9" i="16"/>
  <c r="AF3" i="8"/>
  <c r="AG3" i="8" s="1"/>
  <c r="AF4" i="8"/>
  <c r="AG4" i="8" s="1"/>
  <c r="AF5" i="8"/>
  <c r="AG5" i="8" s="1"/>
  <c r="AF6" i="8"/>
  <c r="AG6" i="8" s="1"/>
  <c r="AF7" i="8"/>
  <c r="AG7" i="8" s="1"/>
  <c r="AF8" i="8"/>
  <c r="AG8" i="8" s="1"/>
  <c r="AF9" i="8"/>
  <c r="AG9" i="8" s="1"/>
  <c r="AF10" i="8"/>
  <c r="AG10" i="8" s="1"/>
  <c r="AF11" i="8"/>
  <c r="AG11" i="8" s="1"/>
  <c r="AF12" i="8"/>
  <c r="AG12" i="8" s="1"/>
  <c r="AF13" i="8"/>
  <c r="AG13" i="8" s="1"/>
  <c r="AF14" i="8"/>
  <c r="AG14" i="8" s="1"/>
  <c r="AF15" i="8"/>
  <c r="AG15" i="8" s="1"/>
  <c r="AF16" i="8"/>
  <c r="AG16" i="8" s="1"/>
  <c r="AF17" i="8"/>
  <c r="AG17" i="8" s="1"/>
  <c r="AF18" i="8"/>
  <c r="AG18" i="8" s="1"/>
  <c r="AF19" i="8"/>
  <c r="AG19" i="8" s="1"/>
  <c r="AF20" i="8"/>
  <c r="AG20" i="8" s="1"/>
  <c r="AF21" i="8"/>
  <c r="AG21" i="8" s="1"/>
  <c r="AF22" i="8"/>
  <c r="AG22" i="8" s="1"/>
  <c r="AF23" i="8"/>
  <c r="AG23" i="8" s="1"/>
  <c r="AF24" i="8"/>
  <c r="AG24" i="8" s="1"/>
  <c r="AF25" i="8"/>
  <c r="AG25" i="8" s="1"/>
  <c r="AF26" i="8"/>
  <c r="AG26" i="8" s="1"/>
  <c r="AF27" i="8"/>
  <c r="AG27" i="8" s="1"/>
  <c r="AF28" i="8"/>
  <c r="AG28" i="8" s="1"/>
  <c r="AF29" i="8"/>
  <c r="AG29" i="8" s="1"/>
  <c r="AF30" i="8"/>
  <c r="AG30" i="8" s="1"/>
  <c r="AF31" i="8"/>
  <c r="AG31" i="8" s="1"/>
  <c r="AF32" i="8"/>
  <c r="AG32" i="8" s="1"/>
  <c r="AF33" i="8"/>
  <c r="AG33" i="8" s="1"/>
  <c r="AF34" i="8"/>
  <c r="AG34" i="8" s="1"/>
  <c r="AF35" i="8"/>
  <c r="AG35" i="8" s="1"/>
  <c r="AF36" i="8"/>
  <c r="AG36" i="8" s="1"/>
  <c r="AF37" i="8"/>
  <c r="AG37" i="8" s="1"/>
  <c r="AF38" i="8"/>
  <c r="AG38" i="8" s="1"/>
  <c r="AF39" i="8"/>
  <c r="AG39" i="8" s="1"/>
  <c r="AF40" i="8"/>
  <c r="AG40" i="8" s="1"/>
  <c r="AF41" i="8"/>
  <c r="AG41" i="8" s="1"/>
  <c r="AF42" i="8"/>
  <c r="AG42" i="8" s="1"/>
  <c r="AF43" i="8"/>
  <c r="AG43" i="8" s="1"/>
  <c r="AF44" i="8"/>
  <c r="AG44" i="8" s="1"/>
  <c r="AF45" i="8"/>
  <c r="AG45" i="8" s="1"/>
  <c r="AF46" i="8"/>
  <c r="AG46" i="8" s="1"/>
  <c r="AF47" i="8"/>
  <c r="AG47" i="8" s="1"/>
  <c r="AF48" i="8"/>
  <c r="AG48" i="8" s="1"/>
  <c r="AF49" i="8"/>
  <c r="AG49" i="8" s="1"/>
  <c r="AF50" i="8"/>
  <c r="AG50" i="8" s="1"/>
  <c r="AF51" i="8"/>
  <c r="AG51" i="8" s="1"/>
  <c r="AF52" i="8"/>
  <c r="AG52" i="8" s="1"/>
  <c r="AF53" i="8"/>
  <c r="AG53" i="8" s="1"/>
  <c r="AF54" i="8"/>
  <c r="AG54" i="8" s="1"/>
  <c r="AF55" i="8"/>
  <c r="AG55" i="8" s="1"/>
  <c r="AF56" i="8"/>
  <c r="AG56" i="8" s="1"/>
  <c r="AF57" i="8"/>
  <c r="AG57" i="8" s="1"/>
  <c r="AF58" i="8"/>
  <c r="AG58" i="8" s="1"/>
  <c r="AF59" i="8"/>
  <c r="AG59" i="8" s="1"/>
  <c r="AF60" i="8"/>
  <c r="AG60" i="8" s="1"/>
  <c r="AF61" i="8"/>
  <c r="AG61" i="8" s="1"/>
  <c r="AF62" i="8"/>
  <c r="AG62" i="8" s="1"/>
  <c r="AF63" i="8"/>
  <c r="AG63" i="8" s="1"/>
  <c r="AF64" i="8"/>
  <c r="AG64" i="8" s="1"/>
  <c r="AF65" i="8"/>
  <c r="AG65" i="8" s="1"/>
  <c r="AF66" i="8"/>
  <c r="AG66" i="8" s="1"/>
  <c r="AF67" i="8"/>
  <c r="AG67" i="8" s="1"/>
  <c r="AF68" i="8"/>
  <c r="AG68" i="8" s="1"/>
  <c r="AF69" i="8"/>
  <c r="AG69" i="8" s="1"/>
  <c r="AF70" i="8"/>
  <c r="AG70" i="8" s="1"/>
  <c r="AF71" i="8"/>
  <c r="AG71" i="8" s="1"/>
  <c r="AF72" i="8"/>
  <c r="AG72" i="8" s="1"/>
  <c r="AF73" i="8"/>
  <c r="AG73" i="8" s="1"/>
  <c r="AF74" i="8"/>
  <c r="AG74" i="8" s="1"/>
  <c r="AF75" i="8"/>
  <c r="AG75" i="8" s="1"/>
  <c r="AF76" i="8"/>
  <c r="AG76" i="8" s="1"/>
  <c r="AF77" i="8"/>
  <c r="AG77" i="8" s="1"/>
  <c r="AF78" i="8"/>
  <c r="AG78" i="8" s="1"/>
  <c r="AF79" i="8"/>
  <c r="AG79" i="8" s="1"/>
  <c r="AF80" i="8"/>
  <c r="AG80" i="8" s="1"/>
  <c r="AF81" i="8"/>
  <c r="AG81" i="8" s="1"/>
  <c r="AF82" i="8"/>
  <c r="AG82" i="8" s="1"/>
  <c r="AF83" i="8"/>
  <c r="AG83" i="8" s="1"/>
  <c r="AF84" i="8"/>
  <c r="AG84" i="8" s="1"/>
  <c r="AF85" i="8"/>
  <c r="AG85" i="8" s="1"/>
  <c r="AF86" i="8"/>
  <c r="AG86" i="8" s="1"/>
  <c r="AF87" i="8"/>
  <c r="AG87" i="8" s="1"/>
  <c r="AF88" i="8"/>
  <c r="AG88" i="8" s="1"/>
  <c r="AF89" i="8"/>
  <c r="AG89" i="8" s="1"/>
  <c r="AF90" i="8"/>
  <c r="AG90" i="8" s="1"/>
  <c r="AF91" i="8"/>
  <c r="AG91" i="8" s="1"/>
  <c r="AF92" i="8"/>
  <c r="AG92" i="8" s="1"/>
  <c r="AF93" i="8"/>
  <c r="AG93" i="8" s="1"/>
  <c r="AF94" i="8"/>
  <c r="AG94" i="8" s="1"/>
  <c r="AF95" i="8"/>
  <c r="AG95" i="8" s="1"/>
  <c r="AF96" i="8"/>
  <c r="AG96" i="8" s="1"/>
  <c r="AF97" i="8"/>
  <c r="AG97" i="8" s="1"/>
  <c r="AF98" i="8"/>
  <c r="AG98" i="8" s="1"/>
  <c r="AF99" i="8"/>
  <c r="AG99" i="8" s="1"/>
  <c r="AF100" i="8"/>
  <c r="AG100" i="8" s="1"/>
  <c r="AF101" i="8"/>
  <c r="AG101" i="8" s="1"/>
  <c r="AF102" i="8"/>
  <c r="AG102" i="8" s="1"/>
  <c r="AF103" i="8"/>
  <c r="AG103" i="8" s="1"/>
  <c r="AF104" i="8"/>
  <c r="AG104" i="8" s="1"/>
  <c r="AF105" i="8"/>
  <c r="AG105" i="8" s="1"/>
  <c r="AF106" i="8"/>
  <c r="AG106" i="8" s="1"/>
  <c r="AF107" i="8"/>
  <c r="AG107" i="8" s="1"/>
  <c r="AF108" i="8"/>
  <c r="AG108" i="8" s="1"/>
  <c r="AF109" i="8"/>
  <c r="AG109" i="8" s="1"/>
  <c r="AF110" i="8"/>
  <c r="AG110" i="8" s="1"/>
  <c r="AF111" i="8"/>
  <c r="AG111" i="8" s="1"/>
  <c r="AF112" i="8"/>
  <c r="AG112" i="8" s="1"/>
  <c r="AF113" i="8"/>
  <c r="AG113" i="8" s="1"/>
  <c r="AF114" i="8"/>
  <c r="AG114" i="8" s="1"/>
  <c r="AF115" i="8"/>
  <c r="AG115" i="8" s="1"/>
  <c r="AF116" i="8"/>
  <c r="AG116" i="8" s="1"/>
  <c r="AF117" i="8"/>
  <c r="AG117" i="8" s="1"/>
  <c r="AF118" i="8"/>
  <c r="AG118" i="8" s="1"/>
  <c r="AF119" i="8"/>
  <c r="AG119" i="8" s="1"/>
  <c r="AF120" i="8"/>
  <c r="AG120" i="8" s="1"/>
  <c r="AF121" i="8"/>
  <c r="AG121" i="8" s="1"/>
  <c r="AF122" i="8"/>
  <c r="AG122" i="8" s="1"/>
  <c r="AF123" i="8"/>
  <c r="AG123" i="8" s="1"/>
  <c r="AF124" i="8"/>
  <c r="AG124" i="8" s="1"/>
  <c r="AF125" i="8"/>
  <c r="AG125" i="8" s="1"/>
  <c r="AF126" i="8"/>
  <c r="AG126" i="8" s="1"/>
  <c r="AF127" i="8"/>
  <c r="AG127" i="8" s="1"/>
  <c r="AF128" i="8"/>
  <c r="AG128" i="8" s="1"/>
  <c r="AF129" i="8"/>
  <c r="AG129" i="8" s="1"/>
  <c r="AF130" i="8"/>
  <c r="AG130" i="8" s="1"/>
  <c r="AF131" i="8"/>
  <c r="AG131" i="8" s="1"/>
  <c r="AF132" i="8"/>
  <c r="AG132" i="8" s="1"/>
  <c r="AF133" i="8"/>
  <c r="AG133" i="8" s="1"/>
  <c r="AF134" i="8"/>
  <c r="AG134" i="8" s="1"/>
  <c r="AF135" i="8"/>
  <c r="AG135" i="8" s="1"/>
  <c r="AF136" i="8"/>
  <c r="AG136" i="8" s="1"/>
  <c r="AF137" i="8"/>
  <c r="AG137" i="8" s="1"/>
  <c r="AF138" i="8"/>
  <c r="AG138" i="8" s="1"/>
  <c r="AF139" i="8"/>
  <c r="AG139" i="8" s="1"/>
  <c r="AF140" i="8"/>
  <c r="AG140" i="8" s="1"/>
  <c r="AF141" i="8"/>
  <c r="AG141" i="8" s="1"/>
  <c r="AF142" i="8"/>
  <c r="AG142" i="8" s="1"/>
  <c r="AF143" i="8"/>
  <c r="AG143" i="8" s="1"/>
  <c r="AF144" i="8"/>
  <c r="AG144" i="8" s="1"/>
  <c r="AF145" i="8"/>
  <c r="AG145" i="8" s="1"/>
  <c r="AF146" i="8"/>
  <c r="AG146" i="8" s="1"/>
  <c r="AF147" i="8"/>
  <c r="AG147" i="8" s="1"/>
  <c r="AF148" i="8"/>
  <c r="AG148" i="8" s="1"/>
  <c r="AF149" i="8"/>
  <c r="AG149" i="8" s="1"/>
  <c r="AF150" i="8"/>
  <c r="AG150" i="8" s="1"/>
  <c r="AF151" i="8"/>
  <c r="AG151" i="8" s="1"/>
  <c r="AF152" i="8"/>
  <c r="AG152" i="8" s="1"/>
  <c r="AF153" i="8"/>
  <c r="AG153" i="8" s="1"/>
  <c r="AF154" i="8"/>
  <c r="AG154" i="8" s="1"/>
  <c r="AF155" i="8"/>
  <c r="AG155" i="8" s="1"/>
  <c r="AF156" i="8"/>
  <c r="AG156" i="8" s="1"/>
  <c r="AF157" i="8"/>
  <c r="AG157" i="8" s="1"/>
  <c r="AF158" i="8"/>
  <c r="AG158" i="8" s="1"/>
  <c r="AF159" i="8"/>
  <c r="AG159" i="8" s="1"/>
  <c r="AF160" i="8"/>
  <c r="AG160" i="8" s="1"/>
  <c r="AF161" i="8"/>
  <c r="AG161" i="8" s="1"/>
  <c r="AF162" i="8"/>
  <c r="AG162" i="8" s="1"/>
  <c r="AF163" i="8"/>
  <c r="AG163" i="8" s="1"/>
  <c r="AF164" i="8"/>
  <c r="AG164" i="8" s="1"/>
  <c r="AF165" i="8"/>
  <c r="AG165" i="8" s="1"/>
  <c r="AF166" i="8"/>
  <c r="AG166" i="8" s="1"/>
  <c r="AF167" i="8"/>
  <c r="AG167" i="8" s="1"/>
  <c r="AF168" i="8"/>
  <c r="AG168" i="8" s="1"/>
  <c r="AF169" i="8"/>
  <c r="AG169" i="8" s="1"/>
  <c r="AF170" i="8"/>
  <c r="AG170" i="8" s="1"/>
  <c r="AF171" i="8"/>
  <c r="AG171" i="8" s="1"/>
  <c r="AF172" i="8"/>
  <c r="AG172" i="8" s="1"/>
  <c r="AF173" i="8"/>
  <c r="AG173" i="8" s="1"/>
  <c r="AF174" i="8"/>
  <c r="AG174" i="8" s="1"/>
  <c r="AF175" i="8"/>
  <c r="AG175" i="8" s="1"/>
  <c r="AF176" i="8"/>
  <c r="AG176" i="8" s="1"/>
  <c r="AF177" i="8"/>
  <c r="AG177" i="8" s="1"/>
  <c r="AF178" i="8"/>
  <c r="AG178" i="8" s="1"/>
  <c r="AF179" i="8"/>
  <c r="AG179" i="8" s="1"/>
  <c r="AF180" i="8"/>
  <c r="AG180" i="8" s="1"/>
  <c r="AF181" i="8"/>
  <c r="AG181" i="8" s="1"/>
  <c r="AF182" i="8"/>
  <c r="AG182" i="8" s="1"/>
  <c r="AF183" i="8"/>
  <c r="AG183" i="8" s="1"/>
  <c r="AF184" i="8"/>
  <c r="AG184" i="8" s="1"/>
  <c r="AF185" i="8"/>
  <c r="AG185" i="8" s="1"/>
  <c r="AF186" i="8"/>
  <c r="AG186" i="8" s="1"/>
  <c r="AF187" i="8"/>
  <c r="AG187" i="8" s="1"/>
  <c r="AF188" i="8"/>
  <c r="AG188" i="8" s="1"/>
  <c r="AF189" i="8"/>
  <c r="AG189" i="8" s="1"/>
  <c r="AF190" i="8"/>
  <c r="AG190" i="8" s="1"/>
  <c r="AF191" i="8"/>
  <c r="AG191" i="8" s="1"/>
  <c r="AF192" i="8"/>
  <c r="AG192" i="8" s="1"/>
  <c r="AF193" i="8"/>
  <c r="AG193" i="8" s="1"/>
  <c r="AF194" i="8"/>
  <c r="AG194" i="8" s="1"/>
  <c r="AF195" i="8"/>
  <c r="AG195" i="8" s="1"/>
  <c r="AF196" i="8"/>
  <c r="AG196" i="8" s="1"/>
  <c r="AF197" i="8"/>
  <c r="AG197" i="8" s="1"/>
  <c r="AF198" i="8"/>
  <c r="AG198" i="8" s="1"/>
  <c r="AF199" i="8"/>
  <c r="AG199" i="8" s="1"/>
  <c r="AF200" i="8"/>
  <c r="AG200" i="8" s="1"/>
  <c r="AF201" i="8"/>
  <c r="AG201" i="8" s="1"/>
  <c r="AF202" i="8"/>
  <c r="AG202" i="8" s="1"/>
  <c r="AF203" i="8"/>
  <c r="AG203" i="8" s="1"/>
  <c r="AF204" i="8"/>
  <c r="AG204" i="8" s="1"/>
  <c r="AF205" i="8"/>
  <c r="AG205" i="8" s="1"/>
  <c r="AF206" i="8"/>
  <c r="AG206" i="8" s="1"/>
  <c r="AF207" i="8"/>
  <c r="AG207" i="8" s="1"/>
  <c r="AF208" i="8"/>
  <c r="AG208" i="8" s="1"/>
  <c r="AF209" i="8"/>
  <c r="AG209" i="8" s="1"/>
  <c r="AF210" i="8"/>
  <c r="AG210" i="8" s="1"/>
  <c r="AF211" i="8"/>
  <c r="AG211" i="8" s="1"/>
  <c r="AF212" i="8"/>
  <c r="AG212" i="8" s="1"/>
  <c r="AF213" i="8"/>
  <c r="AG213" i="8" s="1"/>
  <c r="AF214" i="8"/>
  <c r="AG214" i="8" s="1"/>
  <c r="AF215" i="8"/>
  <c r="AG215" i="8" s="1"/>
  <c r="AF216" i="8"/>
  <c r="AG216" i="8" s="1"/>
  <c r="AF217" i="8"/>
  <c r="AG217" i="8" s="1"/>
  <c r="AF218" i="8"/>
  <c r="AG218" i="8" s="1"/>
  <c r="AF219" i="8"/>
  <c r="AG219" i="8" s="1"/>
  <c r="AF220" i="8"/>
  <c r="AG220" i="8" s="1"/>
  <c r="AF221" i="8"/>
  <c r="AG221" i="8" s="1"/>
  <c r="AF222" i="8"/>
  <c r="AG222" i="8" s="1"/>
  <c r="AF223" i="8"/>
  <c r="AG223" i="8" s="1"/>
  <c r="AF224" i="8"/>
  <c r="AG224" i="8" s="1"/>
  <c r="AF225" i="8"/>
  <c r="AG225" i="8" s="1"/>
  <c r="AF226" i="8"/>
  <c r="AG226" i="8" s="1"/>
  <c r="AF227" i="8"/>
  <c r="AG227" i="8" s="1"/>
  <c r="AF228" i="8"/>
  <c r="AG228" i="8" s="1"/>
  <c r="AF229" i="8"/>
  <c r="AG229" i="8" s="1"/>
  <c r="AF230" i="8"/>
  <c r="AG230" i="8" s="1"/>
  <c r="AF231" i="8"/>
  <c r="AG231" i="8" s="1"/>
  <c r="AF232" i="8"/>
  <c r="AG232" i="8" s="1"/>
  <c r="AF233" i="8"/>
  <c r="AG233" i="8" s="1"/>
  <c r="AF234" i="8"/>
  <c r="AG234" i="8" s="1"/>
  <c r="AF235" i="8"/>
  <c r="AG235" i="8" s="1"/>
  <c r="AF236" i="8"/>
  <c r="AG236" i="8" s="1"/>
  <c r="AF237" i="8"/>
  <c r="AG237" i="8" s="1"/>
  <c r="AF238" i="8"/>
  <c r="AG238" i="8" s="1"/>
  <c r="AF239" i="8"/>
  <c r="AG239" i="8" s="1"/>
  <c r="AF240" i="8"/>
  <c r="AG240" i="8" s="1"/>
  <c r="AF241" i="8"/>
  <c r="AG241" i="8" s="1"/>
  <c r="AF242" i="8"/>
  <c r="AG242" i="8" s="1"/>
  <c r="AF243" i="8"/>
  <c r="AG243" i="8" s="1"/>
  <c r="AF244" i="8"/>
  <c r="AG244" i="8" s="1"/>
  <c r="AF245" i="8"/>
  <c r="AG245" i="8" s="1"/>
  <c r="AF246" i="8"/>
  <c r="AG246" i="8" s="1"/>
  <c r="AF247" i="8"/>
  <c r="AG247" i="8" s="1"/>
  <c r="AF248" i="8"/>
  <c r="AG248" i="8" s="1"/>
  <c r="AF249" i="8"/>
  <c r="AG249" i="8" s="1"/>
  <c r="AF250" i="8"/>
  <c r="AG250" i="8" s="1"/>
  <c r="AF251" i="8"/>
  <c r="AG251" i="8" s="1"/>
  <c r="AF252" i="8"/>
  <c r="AG252" i="8" s="1"/>
  <c r="AF253" i="8"/>
  <c r="AG253" i="8" s="1"/>
  <c r="AF254" i="8"/>
  <c r="AG254" i="8" s="1"/>
  <c r="AF255" i="8"/>
  <c r="AG255" i="8" s="1"/>
  <c r="AF256" i="8"/>
  <c r="AG256" i="8" s="1"/>
  <c r="AF257" i="8"/>
  <c r="AG257" i="8" s="1"/>
  <c r="AF258" i="8"/>
  <c r="AG258" i="8" s="1"/>
  <c r="AF259" i="8"/>
  <c r="AG259" i="8" s="1"/>
  <c r="AF260" i="8"/>
  <c r="AG260" i="8" s="1"/>
  <c r="AF261" i="8"/>
  <c r="AG261" i="8" s="1"/>
  <c r="AF262" i="8"/>
  <c r="AG262" i="8" s="1"/>
  <c r="AF263" i="8"/>
  <c r="AG263" i="8" s="1"/>
  <c r="AF264" i="8"/>
  <c r="AG264" i="8" s="1"/>
  <c r="AF265" i="8"/>
  <c r="AG265" i="8" s="1"/>
  <c r="AF266" i="8"/>
  <c r="AG266" i="8" s="1"/>
  <c r="AF267" i="8"/>
  <c r="AG267" i="8" s="1"/>
  <c r="AF268" i="8"/>
  <c r="AG268" i="8" s="1"/>
  <c r="AF269" i="8"/>
  <c r="AG269" i="8" s="1"/>
  <c r="AF270" i="8"/>
  <c r="AG270" i="8" s="1"/>
  <c r="AF271" i="8"/>
  <c r="AG271" i="8" s="1"/>
  <c r="AF272" i="8"/>
  <c r="AG272" i="8" s="1"/>
  <c r="AF273" i="8"/>
  <c r="AG273" i="8" s="1"/>
  <c r="AF274" i="8"/>
  <c r="AG274" i="8" s="1"/>
  <c r="AF275" i="8"/>
  <c r="AG275" i="8" s="1"/>
  <c r="AF276" i="8"/>
  <c r="AG276" i="8" s="1"/>
  <c r="AF277" i="8"/>
  <c r="AG277" i="8" s="1"/>
  <c r="AF278" i="8"/>
  <c r="AG278" i="8" s="1"/>
  <c r="AF279" i="8"/>
  <c r="AG279" i="8" s="1"/>
  <c r="AF280" i="8"/>
  <c r="AG280" i="8" s="1"/>
  <c r="AF281" i="8"/>
  <c r="AG281" i="8" s="1"/>
  <c r="AF282" i="8"/>
  <c r="AG282" i="8" s="1"/>
  <c r="AF283" i="8"/>
  <c r="AG283" i="8" s="1"/>
  <c r="AF284" i="8"/>
  <c r="AG284" i="8" s="1"/>
  <c r="AF285" i="8"/>
  <c r="AG285" i="8" s="1"/>
  <c r="AF286" i="8"/>
  <c r="AG286" i="8" s="1"/>
  <c r="AF287" i="8"/>
  <c r="AG287" i="8" s="1"/>
  <c r="AF288" i="8"/>
  <c r="AG288" i="8" s="1"/>
  <c r="AF289" i="8"/>
  <c r="AG289" i="8" s="1"/>
  <c r="AF290" i="8"/>
  <c r="AG290" i="8" s="1"/>
  <c r="AF291" i="8"/>
  <c r="AG291" i="8" s="1"/>
  <c r="AF292" i="8"/>
  <c r="AG292" i="8" s="1"/>
  <c r="AF293" i="8"/>
  <c r="AG293" i="8" s="1"/>
  <c r="AF294" i="8"/>
  <c r="AG294" i="8" s="1"/>
  <c r="AF295" i="8"/>
  <c r="AG295" i="8" s="1"/>
  <c r="AF296" i="8"/>
  <c r="AG296" i="8" s="1"/>
  <c r="AF297" i="8"/>
  <c r="AG297" i="8" s="1"/>
  <c r="AF298" i="8"/>
  <c r="AG298" i="8" s="1"/>
  <c r="AF299" i="8"/>
  <c r="AG299" i="8" s="1"/>
  <c r="AF300" i="8"/>
  <c r="AG300" i="8" s="1"/>
  <c r="AF301" i="8"/>
  <c r="AG301" i="8" s="1"/>
  <c r="AF302" i="8"/>
  <c r="AG302" i="8" s="1"/>
  <c r="AF303" i="8"/>
  <c r="AG303" i="8" s="1"/>
  <c r="AF304" i="8"/>
  <c r="AG304" i="8" s="1"/>
  <c r="AF305" i="8"/>
  <c r="AG305" i="8" s="1"/>
  <c r="AF306" i="8"/>
  <c r="AG306" i="8" s="1"/>
  <c r="AF307" i="8"/>
  <c r="AG307" i="8" s="1"/>
  <c r="AF308" i="8"/>
  <c r="AG308" i="8" s="1"/>
  <c r="AF309" i="8"/>
  <c r="AG309" i="8" s="1"/>
  <c r="AF310" i="8"/>
  <c r="AG310" i="8" s="1"/>
  <c r="AF311" i="8"/>
  <c r="AG311" i="8" s="1"/>
  <c r="AF312" i="8"/>
  <c r="AG312" i="8" s="1"/>
  <c r="AF313" i="8"/>
  <c r="AG313" i="8" s="1"/>
  <c r="AF314" i="8"/>
  <c r="AG314" i="8" s="1"/>
  <c r="AF315" i="8"/>
  <c r="AG315" i="8" s="1"/>
  <c r="AF316" i="8"/>
  <c r="AG316" i="8" s="1"/>
  <c r="AF317" i="8"/>
  <c r="AG317" i="8" s="1"/>
  <c r="AF318" i="8"/>
  <c r="AG318" i="8" s="1"/>
  <c r="AF319" i="8"/>
  <c r="AG319" i="8" s="1"/>
  <c r="AF320" i="8"/>
  <c r="AG320" i="8" s="1"/>
  <c r="AF321" i="8"/>
  <c r="AG321" i="8" s="1"/>
  <c r="AF322" i="8"/>
  <c r="AG322" i="8" s="1"/>
  <c r="AF323" i="8"/>
  <c r="AG323" i="8" s="1"/>
  <c r="AF324" i="8"/>
  <c r="AG324" i="8" s="1"/>
  <c r="AF325" i="8"/>
  <c r="AG325" i="8" s="1"/>
  <c r="AF326" i="8"/>
  <c r="AG326" i="8" s="1"/>
  <c r="AF327" i="8"/>
  <c r="AG327" i="8" s="1"/>
  <c r="AF328" i="8"/>
  <c r="AG328" i="8" s="1"/>
  <c r="AF329" i="8"/>
  <c r="AG329" i="8" s="1"/>
  <c r="AF330" i="8"/>
  <c r="AG330" i="8" s="1"/>
  <c r="AF331" i="8"/>
  <c r="AG331" i="8" s="1"/>
  <c r="AF332" i="8"/>
  <c r="AG332" i="8" s="1"/>
  <c r="AF333" i="8"/>
  <c r="AG333" i="8" s="1"/>
  <c r="AF334" i="8"/>
  <c r="AG334" i="8" s="1"/>
  <c r="AF335" i="8"/>
  <c r="AG335" i="8" s="1"/>
  <c r="AF336" i="8"/>
  <c r="AG336" i="8" s="1"/>
  <c r="AF337" i="8"/>
  <c r="AG337" i="8" s="1"/>
  <c r="AF338" i="8"/>
  <c r="AG338" i="8" s="1"/>
  <c r="AF339" i="8"/>
  <c r="AG339" i="8" s="1"/>
  <c r="AF340" i="8"/>
  <c r="AG340" i="8" s="1"/>
  <c r="AF341" i="8"/>
  <c r="AG341" i="8" s="1"/>
  <c r="AF342" i="8"/>
  <c r="AG342" i="8" s="1"/>
  <c r="AF343" i="8"/>
  <c r="AG343" i="8" s="1"/>
  <c r="AF344" i="8"/>
  <c r="AG344" i="8" s="1"/>
  <c r="AF345" i="8"/>
  <c r="AG345" i="8" s="1"/>
  <c r="AF346" i="8"/>
  <c r="AG346" i="8" s="1"/>
  <c r="AF347" i="8"/>
  <c r="AG347" i="8" s="1"/>
  <c r="AF348" i="8"/>
  <c r="AG348" i="8" s="1"/>
  <c r="AF349" i="8"/>
  <c r="AG349" i="8" s="1"/>
  <c r="AF350" i="8"/>
  <c r="AG350" i="8" s="1"/>
  <c r="AF351" i="8"/>
  <c r="AG351" i="8" s="1"/>
  <c r="AF352" i="8"/>
  <c r="AG352" i="8" s="1"/>
  <c r="AF353" i="8"/>
  <c r="AG353" i="8" s="1"/>
  <c r="AF354" i="8"/>
  <c r="AG354" i="8" s="1"/>
  <c r="AF355" i="8"/>
  <c r="AG355" i="8" s="1"/>
  <c r="AF356" i="8"/>
  <c r="AG356" i="8" s="1"/>
  <c r="AF357" i="8"/>
  <c r="AG357" i="8" s="1"/>
  <c r="AF358" i="8"/>
  <c r="AG358" i="8" s="1"/>
  <c r="AF359" i="8"/>
  <c r="AG359" i="8" s="1"/>
  <c r="AF360" i="8"/>
  <c r="AG360" i="8" s="1"/>
  <c r="AF361" i="8"/>
  <c r="AG361" i="8" s="1"/>
  <c r="AF362" i="8"/>
  <c r="AG362" i="8" s="1"/>
  <c r="AF363" i="8"/>
  <c r="AG363" i="8" s="1"/>
  <c r="AF364" i="8"/>
  <c r="AG364" i="8" s="1"/>
  <c r="AF365" i="8"/>
  <c r="AG365" i="8" s="1"/>
  <c r="AF366" i="8"/>
  <c r="AG366" i="8" s="1"/>
  <c r="AF367" i="8"/>
  <c r="AG367" i="8" s="1"/>
  <c r="AF368" i="8"/>
  <c r="AG368" i="8" s="1"/>
  <c r="AF369" i="8"/>
  <c r="AG369" i="8" s="1"/>
  <c r="AF370" i="8"/>
  <c r="AG370" i="8" s="1"/>
  <c r="AF371" i="8"/>
  <c r="AG371" i="8" s="1"/>
  <c r="AF372" i="8"/>
  <c r="AG372" i="8" s="1"/>
  <c r="AF373" i="8"/>
  <c r="AG373" i="8" s="1"/>
  <c r="AF374" i="8"/>
  <c r="AG374" i="8" s="1"/>
  <c r="AF375" i="8"/>
  <c r="AG375" i="8" s="1"/>
  <c r="AF376" i="8"/>
  <c r="AG376" i="8" s="1"/>
  <c r="AF377" i="8"/>
  <c r="AG377" i="8" s="1"/>
  <c r="AF378" i="8"/>
  <c r="AG378" i="8" s="1"/>
  <c r="AF379" i="8"/>
  <c r="AG379" i="8" s="1"/>
  <c r="AF380" i="8"/>
  <c r="AG380" i="8" s="1"/>
  <c r="AF381" i="8"/>
  <c r="AG381" i="8" s="1"/>
  <c r="AF382" i="8"/>
  <c r="AG382" i="8" s="1"/>
  <c r="AF383" i="8"/>
  <c r="AG383" i="8" s="1"/>
  <c r="AF384" i="8"/>
  <c r="AG384" i="8" s="1"/>
  <c r="AF385" i="8"/>
  <c r="AG385" i="8" s="1"/>
  <c r="AF386" i="8"/>
  <c r="AG386" i="8" s="1"/>
  <c r="AF387" i="8"/>
  <c r="AG387" i="8" s="1"/>
  <c r="AF388" i="8"/>
  <c r="AG388" i="8" s="1"/>
  <c r="AF389" i="8"/>
  <c r="AG389" i="8" s="1"/>
  <c r="AF390" i="8"/>
  <c r="AG390" i="8" s="1"/>
  <c r="AF391" i="8"/>
  <c r="AG391" i="8" s="1"/>
  <c r="AF392" i="8"/>
  <c r="AG392" i="8" s="1"/>
  <c r="AF393" i="8"/>
  <c r="AG393" i="8" s="1"/>
  <c r="AF394" i="8"/>
  <c r="AG394" i="8" s="1"/>
  <c r="AF395" i="8"/>
  <c r="AG395" i="8" s="1"/>
  <c r="AF396" i="8"/>
  <c r="AG396" i="8" s="1"/>
  <c r="AF397" i="8"/>
  <c r="AG397" i="8" s="1"/>
  <c r="AF398" i="8"/>
  <c r="AG398" i="8" s="1"/>
  <c r="AF399" i="8"/>
  <c r="AG399" i="8" s="1"/>
  <c r="AF400" i="8"/>
  <c r="AG400" i="8" s="1"/>
  <c r="AF401" i="8"/>
  <c r="AG401" i="8" s="1"/>
  <c r="AF402" i="8"/>
  <c r="AG402" i="8" s="1"/>
  <c r="AF403" i="8"/>
  <c r="AG403" i="8" s="1"/>
  <c r="AF404" i="8"/>
  <c r="AG404" i="8" s="1"/>
  <c r="AF405" i="8"/>
  <c r="AG405" i="8" s="1"/>
  <c r="AF406" i="8"/>
  <c r="AG406" i="8" s="1"/>
  <c r="AF407" i="8"/>
  <c r="AG407" i="8" s="1"/>
  <c r="AF408" i="8"/>
  <c r="AG408" i="8" s="1"/>
  <c r="AF409" i="8"/>
  <c r="AG409" i="8" s="1"/>
  <c r="AF410" i="8"/>
  <c r="AG410" i="8" s="1"/>
  <c r="AF411" i="8"/>
  <c r="AG411" i="8" s="1"/>
  <c r="AF412" i="8"/>
  <c r="AG412" i="8" s="1"/>
  <c r="AF413" i="8"/>
  <c r="AG413" i="8" s="1"/>
  <c r="AF414" i="8"/>
  <c r="AG414" i="8" s="1"/>
  <c r="AF415" i="8"/>
  <c r="AG415" i="8" s="1"/>
  <c r="AF416" i="8"/>
  <c r="AG416" i="8" s="1"/>
  <c r="AF417" i="8"/>
  <c r="AG417" i="8" s="1"/>
  <c r="AF418" i="8"/>
  <c r="AG418" i="8" s="1"/>
  <c r="AF419" i="8"/>
  <c r="AG419" i="8" s="1"/>
  <c r="AF420" i="8"/>
  <c r="AG420" i="8" s="1"/>
  <c r="AF421" i="8"/>
  <c r="AG421" i="8" s="1"/>
  <c r="AF422" i="8"/>
  <c r="AG422" i="8" s="1"/>
  <c r="AF423" i="8"/>
  <c r="AG423" i="8" s="1"/>
  <c r="AF424" i="8"/>
  <c r="AG424" i="8" s="1"/>
  <c r="AF425" i="8"/>
  <c r="AG425" i="8" s="1"/>
  <c r="AF426" i="8"/>
  <c r="AG426" i="8" s="1"/>
  <c r="AF427" i="8"/>
  <c r="AG427" i="8" s="1"/>
  <c r="AF428" i="8"/>
  <c r="AG428" i="8" s="1"/>
  <c r="AF429" i="8"/>
  <c r="AG429" i="8" s="1"/>
  <c r="AF430" i="8"/>
  <c r="AG430" i="8" s="1"/>
  <c r="AF431" i="8"/>
  <c r="AG431" i="8" s="1"/>
  <c r="AF432" i="8"/>
  <c r="AG432" i="8" s="1"/>
  <c r="AF433" i="8"/>
  <c r="AG433" i="8" s="1"/>
  <c r="AF434" i="8"/>
  <c r="AG434" i="8" s="1"/>
  <c r="AF435" i="8"/>
  <c r="AG435" i="8" s="1"/>
  <c r="AF436" i="8"/>
  <c r="AG436" i="8" s="1"/>
  <c r="AF437" i="8"/>
  <c r="AG437" i="8" s="1"/>
  <c r="AF438" i="8"/>
  <c r="AG438" i="8" s="1"/>
  <c r="AF439" i="8"/>
  <c r="AG439" i="8" s="1"/>
  <c r="AF440" i="8"/>
  <c r="AG440" i="8" s="1"/>
  <c r="AF441" i="8"/>
  <c r="AG441" i="8" s="1"/>
  <c r="AF442" i="8"/>
  <c r="AG442" i="8" s="1"/>
  <c r="AF443" i="8"/>
  <c r="AG443" i="8" s="1"/>
  <c r="AF444" i="8"/>
  <c r="AG444" i="8" s="1"/>
  <c r="AF445" i="8"/>
  <c r="AG445" i="8" s="1"/>
  <c r="AF446" i="8"/>
  <c r="AG446" i="8" s="1"/>
  <c r="AF447" i="8"/>
  <c r="AG447" i="8" s="1"/>
  <c r="AF448" i="8"/>
  <c r="AG448" i="8" s="1"/>
  <c r="AF449" i="8"/>
  <c r="AG449" i="8" s="1"/>
  <c r="AF450" i="8"/>
  <c r="AG450" i="8" s="1"/>
  <c r="AF451" i="8"/>
  <c r="AG451" i="8" s="1"/>
  <c r="AF452" i="8"/>
  <c r="AG452" i="8" s="1"/>
  <c r="AF453" i="8"/>
  <c r="AG453" i="8" s="1"/>
  <c r="AF454" i="8"/>
  <c r="AG454" i="8" s="1"/>
  <c r="AF455" i="8"/>
  <c r="AG455" i="8" s="1"/>
  <c r="AF456" i="8"/>
  <c r="AG456" i="8" s="1"/>
  <c r="AF457" i="8"/>
  <c r="AG457" i="8" s="1"/>
  <c r="AF458" i="8"/>
  <c r="AG458" i="8" s="1"/>
  <c r="AF459" i="8"/>
  <c r="AG459" i="8" s="1"/>
  <c r="AF460" i="8"/>
  <c r="AG460" i="8" s="1"/>
  <c r="AF461" i="8"/>
  <c r="AG461" i="8" s="1"/>
  <c r="AF462" i="8"/>
  <c r="AG462" i="8" s="1"/>
  <c r="AF463" i="8"/>
  <c r="AG463" i="8" s="1"/>
  <c r="AF464" i="8"/>
  <c r="AG464" i="8" s="1"/>
  <c r="AF465" i="8"/>
  <c r="AG465" i="8" s="1"/>
  <c r="AF466" i="8"/>
  <c r="AG466" i="8" s="1"/>
  <c r="AF467" i="8"/>
  <c r="AG467" i="8" s="1"/>
  <c r="AF468" i="8"/>
  <c r="AG468" i="8" s="1"/>
  <c r="AF469" i="8"/>
  <c r="AG469" i="8" s="1"/>
  <c r="AF470" i="8"/>
  <c r="AG470" i="8" s="1"/>
  <c r="AF471" i="8"/>
  <c r="AG471" i="8" s="1"/>
  <c r="AF472" i="8"/>
  <c r="AG472" i="8" s="1"/>
  <c r="AF473" i="8"/>
  <c r="AG473" i="8" s="1"/>
  <c r="AF474" i="8"/>
  <c r="AG474" i="8" s="1"/>
  <c r="AF475" i="8"/>
  <c r="AG475" i="8" s="1"/>
  <c r="AF476" i="8"/>
  <c r="AG476" i="8" s="1"/>
  <c r="AF477" i="8"/>
  <c r="AG477" i="8" s="1"/>
  <c r="AF478" i="8"/>
  <c r="AG478" i="8" s="1"/>
  <c r="AF479" i="8"/>
  <c r="AG479" i="8" s="1"/>
  <c r="AF480" i="8"/>
  <c r="AG480" i="8" s="1"/>
  <c r="AF481" i="8"/>
  <c r="AG481" i="8" s="1"/>
  <c r="AF482" i="8"/>
  <c r="AG482" i="8" s="1"/>
  <c r="AF483" i="8"/>
  <c r="AG483" i="8" s="1"/>
  <c r="AF484" i="8"/>
  <c r="AG484" i="8" s="1"/>
  <c r="AF485" i="8"/>
  <c r="AG485" i="8" s="1"/>
  <c r="AF486" i="8"/>
  <c r="AG486" i="8" s="1"/>
  <c r="AF487" i="8"/>
  <c r="AG487" i="8" s="1"/>
  <c r="AF488" i="8"/>
  <c r="AG488" i="8" s="1"/>
  <c r="AF489" i="8"/>
  <c r="AG489" i="8" s="1"/>
  <c r="AF490" i="8"/>
  <c r="AG490" i="8" s="1"/>
  <c r="AF491" i="8"/>
  <c r="AG491" i="8" s="1"/>
  <c r="AF492" i="8"/>
  <c r="AG492" i="8" s="1"/>
  <c r="AF493" i="8"/>
  <c r="AG493" i="8" s="1"/>
  <c r="AF494" i="8"/>
  <c r="AG494" i="8" s="1"/>
  <c r="AF495" i="8"/>
  <c r="AG495" i="8" s="1"/>
  <c r="AF496" i="8"/>
  <c r="AG496" i="8" s="1"/>
  <c r="AF497" i="8"/>
  <c r="AG497" i="8" s="1"/>
  <c r="AF498" i="8"/>
  <c r="AG498" i="8" s="1"/>
  <c r="AF499" i="8"/>
  <c r="AG499" i="8" s="1"/>
  <c r="AF500" i="8"/>
  <c r="AG500" i="8" s="1"/>
  <c r="AF501" i="8"/>
  <c r="AG501" i="8" s="1"/>
  <c r="AF2" i="8"/>
  <c r="AG2" i="8" s="1"/>
  <c r="K2" i="14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AE375" i="8"/>
  <c r="AE376" i="8"/>
  <c r="AE377" i="8"/>
  <c r="AE378" i="8"/>
  <c r="AE379" i="8"/>
  <c r="AE380" i="8"/>
  <c r="AE381" i="8"/>
  <c r="AE382" i="8"/>
  <c r="AE383" i="8"/>
  <c r="AE384" i="8"/>
  <c r="AE385" i="8"/>
  <c r="AE386" i="8"/>
  <c r="AE387" i="8"/>
  <c r="AE388" i="8"/>
  <c r="AE389" i="8"/>
  <c r="AE390" i="8"/>
  <c r="AE391" i="8"/>
  <c r="AE392" i="8"/>
  <c r="AE393" i="8"/>
  <c r="AE394" i="8"/>
  <c r="AE395" i="8"/>
  <c r="AE396" i="8"/>
  <c r="AE397" i="8"/>
  <c r="AE398" i="8"/>
  <c r="AE399" i="8"/>
  <c r="AE400" i="8"/>
  <c r="AE401" i="8"/>
  <c r="AE402" i="8"/>
  <c r="AE403" i="8"/>
  <c r="AE404" i="8"/>
  <c r="AE405" i="8"/>
  <c r="AE406" i="8"/>
  <c r="AE407" i="8"/>
  <c r="AE408" i="8"/>
  <c r="AE409" i="8"/>
  <c r="AE410" i="8"/>
  <c r="AE411" i="8"/>
  <c r="AE412" i="8"/>
  <c r="AE413" i="8"/>
  <c r="AE414" i="8"/>
  <c r="AE415" i="8"/>
  <c r="AE416" i="8"/>
  <c r="AE417" i="8"/>
  <c r="AE418" i="8"/>
  <c r="AE419" i="8"/>
  <c r="AE420" i="8"/>
  <c r="AE421" i="8"/>
  <c r="AE422" i="8"/>
  <c r="AE423" i="8"/>
  <c r="AE424" i="8"/>
  <c r="AE425" i="8"/>
  <c r="AE426" i="8"/>
  <c r="AE427" i="8"/>
  <c r="AE428" i="8"/>
  <c r="AE429" i="8"/>
  <c r="AE430" i="8"/>
  <c r="AE431" i="8"/>
  <c r="AE432" i="8"/>
  <c r="AE433" i="8"/>
  <c r="AE434" i="8"/>
  <c r="AE435" i="8"/>
  <c r="AE436" i="8"/>
  <c r="AE437" i="8"/>
  <c r="AE438" i="8"/>
  <c r="AE439" i="8"/>
  <c r="AE440" i="8"/>
  <c r="AE441" i="8"/>
  <c r="AE442" i="8"/>
  <c r="AE443" i="8"/>
  <c r="AE444" i="8"/>
  <c r="AE445" i="8"/>
  <c r="AE446" i="8"/>
  <c r="AE447" i="8"/>
  <c r="AE448" i="8"/>
  <c r="AE449" i="8"/>
  <c r="AE450" i="8"/>
  <c r="AE451" i="8"/>
  <c r="AE452" i="8"/>
  <c r="AE453" i="8"/>
  <c r="AE454" i="8"/>
  <c r="AE455" i="8"/>
  <c r="AE456" i="8"/>
  <c r="AE457" i="8"/>
  <c r="AE458" i="8"/>
  <c r="AE459" i="8"/>
  <c r="AE460" i="8"/>
  <c r="AE461" i="8"/>
  <c r="AE462" i="8"/>
  <c r="AE463" i="8"/>
  <c r="AE464" i="8"/>
  <c r="AE465" i="8"/>
  <c r="AE466" i="8"/>
  <c r="AE467" i="8"/>
  <c r="AE468" i="8"/>
  <c r="AE469" i="8"/>
  <c r="AE470" i="8"/>
  <c r="AE471" i="8"/>
  <c r="AE472" i="8"/>
  <c r="AE473" i="8"/>
  <c r="AE474" i="8"/>
  <c r="AE475" i="8"/>
  <c r="AE476" i="8"/>
  <c r="AE477" i="8"/>
  <c r="AE478" i="8"/>
  <c r="AE479" i="8"/>
  <c r="AE480" i="8"/>
  <c r="AE481" i="8"/>
  <c r="AE482" i="8"/>
  <c r="AE483" i="8"/>
  <c r="AE484" i="8"/>
  <c r="AE485" i="8"/>
  <c r="AE486" i="8"/>
  <c r="AE487" i="8"/>
  <c r="AE488" i="8"/>
  <c r="AE489" i="8"/>
  <c r="AE490" i="8"/>
  <c r="AE491" i="8"/>
  <c r="AE492" i="8"/>
  <c r="AE493" i="8"/>
  <c r="AE494" i="8"/>
  <c r="AE495" i="8"/>
  <c r="AE496" i="8"/>
  <c r="AE497" i="8"/>
  <c r="AE498" i="8"/>
  <c r="AE499" i="8"/>
  <c r="AE500" i="8"/>
  <c r="AE501" i="8"/>
  <c r="AE2" i="8"/>
  <c r="J2" i="14"/>
  <c r="I2" i="14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D3" i="12"/>
  <c r="AD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55" i="12"/>
  <c r="AD56" i="12"/>
  <c r="AD57" i="12"/>
  <c r="AD58" i="12"/>
  <c r="AD59" i="12"/>
  <c r="AD60" i="12"/>
  <c r="AD61" i="12"/>
  <c r="AD62" i="12"/>
  <c r="AD63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D81" i="12"/>
  <c r="AD82" i="12"/>
  <c r="AD83" i="12"/>
  <c r="AD84" i="12"/>
  <c r="AD85" i="12"/>
  <c r="AD86" i="12"/>
  <c r="AD87" i="12"/>
  <c r="AD88" i="12"/>
  <c r="AD89" i="12"/>
  <c r="AD90" i="12"/>
  <c r="AD91" i="12"/>
  <c r="AD92" i="12"/>
  <c r="AD93" i="12"/>
  <c r="AD94" i="12"/>
  <c r="AD95" i="12"/>
  <c r="AD96" i="12"/>
  <c r="AD97" i="12"/>
  <c r="AD98" i="12"/>
  <c r="AD99" i="12"/>
  <c r="AD100" i="12"/>
  <c r="AD101" i="12"/>
  <c r="AD102" i="12"/>
  <c r="AD103" i="12"/>
  <c r="AD104" i="12"/>
  <c r="AD105" i="12"/>
  <c r="AD106" i="12"/>
  <c r="AD107" i="12"/>
  <c r="AD108" i="12"/>
  <c r="AD109" i="12"/>
  <c r="AD110" i="12"/>
  <c r="AD111" i="12"/>
  <c r="AD112" i="12"/>
  <c r="AD113" i="12"/>
  <c r="AD114" i="12"/>
  <c r="AD115" i="12"/>
  <c r="AD116" i="12"/>
  <c r="AD117" i="12"/>
  <c r="AD118" i="12"/>
  <c r="AD119" i="12"/>
  <c r="AD120" i="12"/>
  <c r="AD121" i="12"/>
  <c r="AD122" i="12"/>
  <c r="AD123" i="12"/>
  <c r="AD124" i="12"/>
  <c r="AD125" i="12"/>
  <c r="AD126" i="12"/>
  <c r="AD127" i="12"/>
  <c r="AD128" i="12"/>
  <c r="AD129" i="12"/>
  <c r="AD130" i="12"/>
  <c r="AD131" i="12"/>
  <c r="AD132" i="12"/>
  <c r="AD133" i="12"/>
  <c r="AD134" i="12"/>
  <c r="AD135" i="12"/>
  <c r="AD136" i="12"/>
  <c r="AD137" i="12"/>
  <c r="AD138" i="12"/>
  <c r="AD139" i="12"/>
  <c r="AD140" i="12"/>
  <c r="AD141" i="12"/>
  <c r="AD142" i="12"/>
  <c r="AD143" i="12"/>
  <c r="AD144" i="12"/>
  <c r="AD145" i="12"/>
  <c r="AD146" i="12"/>
  <c r="AD147" i="12"/>
  <c r="AD148" i="12"/>
  <c r="AD149" i="12"/>
  <c r="AD150" i="12"/>
  <c r="AD151" i="12"/>
  <c r="AD152" i="12"/>
  <c r="AD153" i="12"/>
  <c r="AD154" i="12"/>
  <c r="AD155" i="12"/>
  <c r="AD156" i="12"/>
  <c r="AD157" i="12"/>
  <c r="AD158" i="12"/>
  <c r="AD159" i="12"/>
  <c r="AD160" i="12"/>
  <c r="AD161" i="12"/>
  <c r="AD162" i="12"/>
  <c r="AD163" i="12"/>
  <c r="AD164" i="12"/>
  <c r="AD165" i="12"/>
  <c r="AD166" i="12"/>
  <c r="AD167" i="12"/>
  <c r="AD168" i="12"/>
  <c r="AD169" i="12"/>
  <c r="AD170" i="12"/>
  <c r="AD171" i="12"/>
  <c r="AD172" i="12"/>
  <c r="AD173" i="12"/>
  <c r="AD174" i="12"/>
  <c r="AD175" i="12"/>
  <c r="AD176" i="12"/>
  <c r="AD177" i="12"/>
  <c r="AD178" i="12"/>
  <c r="AD179" i="12"/>
  <c r="AD180" i="12"/>
  <c r="AD181" i="12"/>
  <c r="AD182" i="12"/>
  <c r="AD183" i="12"/>
  <c r="AD184" i="12"/>
  <c r="AD185" i="12"/>
  <c r="AD186" i="12"/>
  <c r="AD187" i="12"/>
  <c r="AD188" i="12"/>
  <c r="AD189" i="12"/>
  <c r="AD190" i="12"/>
  <c r="AD191" i="12"/>
  <c r="AD192" i="12"/>
  <c r="AD193" i="12"/>
  <c r="AD194" i="12"/>
  <c r="AD195" i="12"/>
  <c r="AD196" i="12"/>
  <c r="AD197" i="12"/>
  <c r="AD198" i="12"/>
  <c r="AD199" i="12"/>
  <c r="AD200" i="12"/>
  <c r="AD201" i="12"/>
  <c r="AD202" i="12"/>
  <c r="AD203" i="12"/>
  <c r="AD204" i="12"/>
  <c r="AD205" i="12"/>
  <c r="AD206" i="12"/>
  <c r="AD207" i="12"/>
  <c r="AD208" i="12"/>
  <c r="AD209" i="12"/>
  <c r="AD210" i="12"/>
  <c r="AD211" i="12"/>
  <c r="AD212" i="12"/>
  <c r="AD213" i="12"/>
  <c r="AD214" i="12"/>
  <c r="AD215" i="12"/>
  <c r="AD216" i="12"/>
  <c r="AD217" i="12"/>
  <c r="AD218" i="12"/>
  <c r="AD219" i="12"/>
  <c r="AD220" i="12"/>
  <c r="AD221" i="12"/>
  <c r="AD222" i="12"/>
  <c r="AD223" i="12"/>
  <c r="AD224" i="12"/>
  <c r="AD225" i="12"/>
  <c r="AD226" i="12"/>
  <c r="AD227" i="12"/>
  <c r="AD228" i="12"/>
  <c r="AD229" i="12"/>
  <c r="AD230" i="12"/>
  <c r="AD231" i="12"/>
  <c r="AD232" i="12"/>
  <c r="AD233" i="12"/>
  <c r="AD234" i="12"/>
  <c r="AD235" i="12"/>
  <c r="AD236" i="12"/>
  <c r="AD237" i="12"/>
  <c r="AD238" i="12"/>
  <c r="AD239" i="12"/>
  <c r="AD240" i="12"/>
  <c r="AD241" i="12"/>
  <c r="AD242" i="12"/>
  <c r="AD243" i="12"/>
  <c r="AD244" i="12"/>
  <c r="AD245" i="12"/>
  <c r="AD246" i="12"/>
  <c r="AD247" i="12"/>
  <c r="AD248" i="12"/>
  <c r="AD249" i="12"/>
  <c r="AD250" i="12"/>
  <c r="AD251" i="12"/>
  <c r="AD252" i="12"/>
  <c r="AD253" i="12"/>
  <c r="AD254" i="12"/>
  <c r="AD255" i="12"/>
  <c r="AD256" i="12"/>
  <c r="AD257" i="12"/>
  <c r="AD258" i="12"/>
  <c r="AD259" i="12"/>
  <c r="AD260" i="12"/>
  <c r="AD261" i="12"/>
  <c r="AD262" i="12"/>
  <c r="AD263" i="12"/>
  <c r="AD264" i="12"/>
  <c r="AD265" i="12"/>
  <c r="AD266" i="12"/>
  <c r="AD267" i="12"/>
  <c r="AD268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83" i="12"/>
  <c r="AD284" i="12"/>
  <c r="AD285" i="12"/>
  <c r="AD286" i="12"/>
  <c r="AD287" i="12"/>
  <c r="AD288" i="12"/>
  <c r="AD289" i="12"/>
  <c r="AD290" i="12"/>
  <c r="AD291" i="12"/>
  <c r="AD292" i="12"/>
  <c r="AD293" i="12"/>
  <c r="AD294" i="12"/>
  <c r="AD295" i="12"/>
  <c r="AD296" i="12"/>
  <c r="AD297" i="12"/>
  <c r="AD298" i="12"/>
  <c r="AD299" i="12"/>
  <c r="AD300" i="12"/>
  <c r="AD301" i="12"/>
  <c r="AD302" i="12"/>
  <c r="AD303" i="12"/>
  <c r="AD304" i="12"/>
  <c r="AD305" i="12"/>
  <c r="AD306" i="12"/>
  <c r="AD307" i="12"/>
  <c r="AD308" i="12"/>
  <c r="AD309" i="12"/>
  <c r="AD310" i="12"/>
  <c r="AD311" i="12"/>
  <c r="AD312" i="12"/>
  <c r="AD313" i="12"/>
  <c r="AD314" i="12"/>
  <c r="AD315" i="12"/>
  <c r="AD316" i="12"/>
  <c r="AD317" i="12"/>
  <c r="AD318" i="12"/>
  <c r="AD319" i="12"/>
  <c r="AD320" i="12"/>
  <c r="AD321" i="12"/>
  <c r="AD322" i="12"/>
  <c r="AD323" i="12"/>
  <c r="AD324" i="12"/>
  <c r="AD325" i="12"/>
  <c r="AD326" i="12"/>
  <c r="AD327" i="12"/>
  <c r="AD328" i="12"/>
  <c r="AD329" i="12"/>
  <c r="AD330" i="12"/>
  <c r="AD331" i="12"/>
  <c r="AD332" i="12"/>
  <c r="AD333" i="12"/>
  <c r="AD334" i="12"/>
  <c r="AD335" i="12"/>
  <c r="AD336" i="12"/>
  <c r="AD337" i="12"/>
  <c r="AD338" i="12"/>
  <c r="AD339" i="12"/>
  <c r="AD340" i="12"/>
  <c r="AD341" i="12"/>
  <c r="AD342" i="12"/>
  <c r="AD343" i="12"/>
  <c r="AD344" i="12"/>
  <c r="AD345" i="12"/>
  <c r="AD346" i="12"/>
  <c r="AD347" i="12"/>
  <c r="AD348" i="12"/>
  <c r="AD349" i="12"/>
  <c r="AD350" i="12"/>
  <c r="AD351" i="12"/>
  <c r="AD352" i="12"/>
  <c r="AD353" i="12"/>
  <c r="AD354" i="12"/>
  <c r="AD355" i="12"/>
  <c r="AD356" i="12"/>
  <c r="AD357" i="12"/>
  <c r="AD358" i="12"/>
  <c r="AD359" i="12"/>
  <c r="AD360" i="12"/>
  <c r="AD361" i="12"/>
  <c r="AD362" i="12"/>
  <c r="AD363" i="12"/>
  <c r="AD364" i="12"/>
  <c r="AD365" i="12"/>
  <c r="AD366" i="12"/>
  <c r="AD367" i="12"/>
  <c r="AD368" i="12"/>
  <c r="AD369" i="12"/>
  <c r="AD370" i="12"/>
  <c r="AD371" i="12"/>
  <c r="AD372" i="12"/>
  <c r="AD373" i="12"/>
  <c r="AD374" i="12"/>
  <c r="AD375" i="12"/>
  <c r="AD376" i="12"/>
  <c r="AD377" i="12"/>
  <c r="AD378" i="12"/>
  <c r="AD379" i="12"/>
  <c r="AD380" i="12"/>
  <c r="AD381" i="12"/>
  <c r="AD382" i="12"/>
  <c r="AD383" i="12"/>
  <c r="AD384" i="12"/>
  <c r="AD385" i="12"/>
  <c r="AD386" i="12"/>
  <c r="AD387" i="12"/>
  <c r="AD388" i="12"/>
  <c r="AD389" i="12"/>
  <c r="AD390" i="12"/>
  <c r="AD391" i="12"/>
  <c r="AD392" i="12"/>
  <c r="AD393" i="12"/>
  <c r="AD394" i="12"/>
  <c r="AD395" i="12"/>
  <c r="AD396" i="12"/>
  <c r="AD397" i="12"/>
  <c r="AD398" i="12"/>
  <c r="AD399" i="12"/>
  <c r="AD400" i="12"/>
  <c r="AD401" i="12"/>
  <c r="AD402" i="12"/>
  <c r="AD403" i="12"/>
  <c r="AD404" i="12"/>
  <c r="AD405" i="12"/>
  <c r="AD406" i="12"/>
  <c r="AD407" i="12"/>
  <c r="AD408" i="12"/>
  <c r="AD409" i="12"/>
  <c r="AD410" i="12"/>
  <c r="AD411" i="12"/>
  <c r="AD412" i="12"/>
  <c r="AD413" i="12"/>
  <c r="AD414" i="12"/>
  <c r="AD415" i="12"/>
  <c r="AD416" i="12"/>
  <c r="AD417" i="12"/>
  <c r="AD418" i="12"/>
  <c r="AD419" i="12"/>
  <c r="AD420" i="12"/>
  <c r="AD421" i="12"/>
  <c r="AD422" i="12"/>
  <c r="AD423" i="12"/>
  <c r="AD424" i="12"/>
  <c r="AD425" i="12"/>
  <c r="AD426" i="12"/>
  <c r="AD427" i="12"/>
  <c r="AD428" i="12"/>
  <c r="AD429" i="12"/>
  <c r="AD430" i="12"/>
  <c r="AD431" i="12"/>
  <c r="AD432" i="12"/>
  <c r="AD433" i="12"/>
  <c r="AD434" i="12"/>
  <c r="AD435" i="12"/>
  <c r="AD436" i="12"/>
  <c r="AD437" i="12"/>
  <c r="AD438" i="12"/>
  <c r="AD439" i="12"/>
  <c r="AD440" i="12"/>
  <c r="AD441" i="12"/>
  <c r="AD442" i="12"/>
  <c r="AD443" i="12"/>
  <c r="AD444" i="12"/>
  <c r="AD445" i="12"/>
  <c r="AD446" i="12"/>
  <c r="AD447" i="12"/>
  <c r="AD448" i="12"/>
  <c r="AD449" i="12"/>
  <c r="AD450" i="12"/>
  <c r="AD451" i="12"/>
  <c r="AD452" i="12"/>
  <c r="AD453" i="12"/>
  <c r="AD454" i="12"/>
  <c r="AD455" i="12"/>
  <c r="AD456" i="12"/>
  <c r="AD457" i="12"/>
  <c r="AD458" i="12"/>
  <c r="AD459" i="12"/>
  <c r="AD460" i="12"/>
  <c r="AD461" i="12"/>
  <c r="AD462" i="12"/>
  <c r="AD463" i="12"/>
  <c r="AD464" i="12"/>
  <c r="AD465" i="12"/>
  <c r="AD466" i="12"/>
  <c r="AD467" i="12"/>
  <c r="AD468" i="12"/>
  <c r="AD469" i="12"/>
  <c r="AD470" i="12"/>
  <c r="AD471" i="12"/>
  <c r="AD472" i="12"/>
  <c r="AD473" i="12"/>
  <c r="AD474" i="12"/>
  <c r="AD475" i="12"/>
  <c r="AD476" i="12"/>
  <c r="AD477" i="12"/>
  <c r="AD478" i="12"/>
  <c r="AD479" i="12"/>
  <c r="AD480" i="12"/>
  <c r="AD481" i="12"/>
  <c r="AD482" i="12"/>
  <c r="AD483" i="12"/>
  <c r="AD484" i="12"/>
  <c r="AD485" i="12"/>
  <c r="AD486" i="12"/>
  <c r="AD487" i="12"/>
  <c r="AD488" i="12"/>
  <c r="AD489" i="12"/>
  <c r="AD490" i="12"/>
  <c r="AD491" i="12"/>
  <c r="AD492" i="12"/>
  <c r="AD493" i="12"/>
  <c r="AD494" i="12"/>
  <c r="AD495" i="12"/>
  <c r="AD496" i="12"/>
  <c r="AD497" i="12"/>
  <c r="AD498" i="12"/>
  <c r="AD499" i="12"/>
  <c r="AD500" i="12"/>
  <c r="AD501" i="12"/>
  <c r="AD2" i="12"/>
  <c r="AC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AC209" i="12"/>
  <c r="AC210" i="12"/>
  <c r="AC211" i="12"/>
  <c r="AC212" i="12"/>
  <c r="AC213" i="12"/>
  <c r="AC214" i="12"/>
  <c r="AC215" i="12"/>
  <c r="AC216" i="12"/>
  <c r="AC217" i="12"/>
  <c r="AC218" i="12"/>
  <c r="AC219" i="12"/>
  <c r="AC220" i="12"/>
  <c r="AC221" i="12"/>
  <c r="AC222" i="12"/>
  <c r="AC223" i="12"/>
  <c r="AC224" i="12"/>
  <c r="AC225" i="12"/>
  <c r="AC226" i="12"/>
  <c r="AC227" i="12"/>
  <c r="AC228" i="12"/>
  <c r="AC229" i="12"/>
  <c r="AC230" i="12"/>
  <c r="AC231" i="12"/>
  <c r="AC232" i="12"/>
  <c r="AC233" i="12"/>
  <c r="AC234" i="12"/>
  <c r="AC235" i="12"/>
  <c r="AC236" i="12"/>
  <c r="AC237" i="12"/>
  <c r="AC238" i="12"/>
  <c r="AC239" i="12"/>
  <c r="AC240" i="12"/>
  <c r="AC241" i="12"/>
  <c r="AC242" i="12"/>
  <c r="AC243" i="12"/>
  <c r="AC244" i="12"/>
  <c r="AC245" i="12"/>
  <c r="AC246" i="12"/>
  <c r="AC247" i="12"/>
  <c r="AC248" i="12"/>
  <c r="AC249" i="12"/>
  <c r="AC250" i="12"/>
  <c r="AC251" i="12"/>
  <c r="AC252" i="12"/>
  <c r="AC253" i="12"/>
  <c r="AC254" i="12"/>
  <c r="AC255" i="12"/>
  <c r="AC256" i="12"/>
  <c r="AC257" i="12"/>
  <c r="AC258" i="12"/>
  <c r="AC259" i="12"/>
  <c r="AC260" i="12"/>
  <c r="AC261" i="12"/>
  <c r="AC262" i="12"/>
  <c r="AC263" i="12"/>
  <c r="AC264" i="12"/>
  <c r="AC265" i="12"/>
  <c r="AC266" i="12"/>
  <c r="AC267" i="12"/>
  <c r="AC268" i="12"/>
  <c r="AC269" i="12"/>
  <c r="AC270" i="12"/>
  <c r="AC271" i="12"/>
  <c r="AC272" i="12"/>
  <c r="AC273" i="12"/>
  <c r="AC274" i="12"/>
  <c r="AC275" i="12"/>
  <c r="AC276" i="12"/>
  <c r="AC277" i="12"/>
  <c r="AC278" i="12"/>
  <c r="AC279" i="12"/>
  <c r="AC280" i="12"/>
  <c r="AC281" i="12"/>
  <c r="AC282" i="12"/>
  <c r="AC283" i="12"/>
  <c r="AC284" i="12"/>
  <c r="AC285" i="12"/>
  <c r="AC286" i="12"/>
  <c r="AC287" i="12"/>
  <c r="AC288" i="12"/>
  <c r="AC289" i="12"/>
  <c r="AC290" i="12"/>
  <c r="AC291" i="12"/>
  <c r="AC292" i="12"/>
  <c r="AC293" i="12"/>
  <c r="AC294" i="12"/>
  <c r="AC295" i="12"/>
  <c r="AC296" i="12"/>
  <c r="AC297" i="12"/>
  <c r="AC298" i="12"/>
  <c r="AC299" i="12"/>
  <c r="AC300" i="12"/>
  <c r="AC301" i="12"/>
  <c r="AC302" i="12"/>
  <c r="AC303" i="12"/>
  <c r="AC304" i="12"/>
  <c r="AC305" i="12"/>
  <c r="AC306" i="12"/>
  <c r="AC307" i="12"/>
  <c r="AC308" i="12"/>
  <c r="AC309" i="12"/>
  <c r="AC310" i="12"/>
  <c r="AC311" i="12"/>
  <c r="AC312" i="12"/>
  <c r="AC313" i="12"/>
  <c r="AC314" i="12"/>
  <c r="AC315" i="12"/>
  <c r="AC316" i="12"/>
  <c r="AC317" i="12"/>
  <c r="AC318" i="12"/>
  <c r="AC319" i="12"/>
  <c r="AC320" i="12"/>
  <c r="AC321" i="12"/>
  <c r="AC322" i="12"/>
  <c r="AC323" i="12"/>
  <c r="AC324" i="12"/>
  <c r="AC325" i="12"/>
  <c r="AC326" i="12"/>
  <c r="AC327" i="12"/>
  <c r="AC328" i="12"/>
  <c r="AC329" i="12"/>
  <c r="AC330" i="12"/>
  <c r="AC331" i="12"/>
  <c r="AC332" i="12"/>
  <c r="AC333" i="12"/>
  <c r="AC334" i="12"/>
  <c r="AC335" i="12"/>
  <c r="AC336" i="12"/>
  <c r="AC337" i="12"/>
  <c r="AC338" i="12"/>
  <c r="AC339" i="12"/>
  <c r="AC340" i="12"/>
  <c r="AC341" i="12"/>
  <c r="AC342" i="12"/>
  <c r="AC343" i="12"/>
  <c r="AC344" i="12"/>
  <c r="AC345" i="12"/>
  <c r="AC346" i="12"/>
  <c r="AC347" i="12"/>
  <c r="AC348" i="12"/>
  <c r="AC349" i="12"/>
  <c r="AC350" i="12"/>
  <c r="AC351" i="12"/>
  <c r="AC352" i="12"/>
  <c r="AC353" i="12"/>
  <c r="AC354" i="12"/>
  <c r="AC355" i="12"/>
  <c r="AC356" i="12"/>
  <c r="AC357" i="12"/>
  <c r="AC358" i="12"/>
  <c r="AC359" i="12"/>
  <c r="AC360" i="12"/>
  <c r="AC361" i="12"/>
  <c r="AC362" i="12"/>
  <c r="AC363" i="12"/>
  <c r="AC364" i="12"/>
  <c r="AC365" i="12"/>
  <c r="AC366" i="12"/>
  <c r="AC367" i="12"/>
  <c r="AC368" i="12"/>
  <c r="AC369" i="12"/>
  <c r="AC370" i="12"/>
  <c r="AC371" i="12"/>
  <c r="AC372" i="12"/>
  <c r="AC373" i="12"/>
  <c r="AC374" i="12"/>
  <c r="AC375" i="12"/>
  <c r="AC376" i="12"/>
  <c r="AC377" i="12"/>
  <c r="AC378" i="12"/>
  <c r="AC379" i="12"/>
  <c r="AC380" i="12"/>
  <c r="AC381" i="12"/>
  <c r="AC382" i="12"/>
  <c r="AC383" i="12"/>
  <c r="AC384" i="12"/>
  <c r="AC385" i="12"/>
  <c r="AC386" i="12"/>
  <c r="AC387" i="12"/>
  <c r="AC388" i="12"/>
  <c r="AC389" i="12"/>
  <c r="AC390" i="12"/>
  <c r="AC391" i="12"/>
  <c r="AC392" i="12"/>
  <c r="AC393" i="12"/>
  <c r="AC394" i="12"/>
  <c r="AC395" i="12"/>
  <c r="AC396" i="12"/>
  <c r="AC397" i="12"/>
  <c r="AC398" i="12"/>
  <c r="AC399" i="12"/>
  <c r="AC400" i="12"/>
  <c r="AC401" i="12"/>
  <c r="AC402" i="12"/>
  <c r="AC403" i="12"/>
  <c r="AC404" i="12"/>
  <c r="AC405" i="12"/>
  <c r="AC406" i="12"/>
  <c r="AC407" i="12"/>
  <c r="AC408" i="12"/>
  <c r="AC409" i="12"/>
  <c r="AC410" i="12"/>
  <c r="AC411" i="12"/>
  <c r="AC412" i="12"/>
  <c r="AC413" i="12"/>
  <c r="AC414" i="12"/>
  <c r="AC415" i="12"/>
  <c r="AC416" i="12"/>
  <c r="AC417" i="12"/>
  <c r="AC418" i="12"/>
  <c r="AC419" i="12"/>
  <c r="AC420" i="12"/>
  <c r="AC421" i="12"/>
  <c r="AC422" i="12"/>
  <c r="AC423" i="12"/>
  <c r="AC424" i="12"/>
  <c r="AC425" i="12"/>
  <c r="AC426" i="12"/>
  <c r="AC427" i="12"/>
  <c r="AC428" i="12"/>
  <c r="AC429" i="12"/>
  <c r="AC430" i="12"/>
  <c r="AC431" i="12"/>
  <c r="AC432" i="12"/>
  <c r="AC433" i="12"/>
  <c r="AC434" i="12"/>
  <c r="AC435" i="12"/>
  <c r="AC436" i="12"/>
  <c r="AC437" i="12"/>
  <c r="AC438" i="12"/>
  <c r="AC439" i="12"/>
  <c r="AC440" i="12"/>
  <c r="AC441" i="12"/>
  <c r="AC442" i="12"/>
  <c r="AC443" i="12"/>
  <c r="AC444" i="12"/>
  <c r="AC445" i="12"/>
  <c r="AC446" i="12"/>
  <c r="AC447" i="12"/>
  <c r="AC448" i="12"/>
  <c r="AC449" i="12"/>
  <c r="AC450" i="12"/>
  <c r="AC451" i="12"/>
  <c r="AC452" i="12"/>
  <c r="AC453" i="12"/>
  <c r="AC454" i="12"/>
  <c r="AC455" i="12"/>
  <c r="AC456" i="12"/>
  <c r="AC457" i="12"/>
  <c r="AC458" i="12"/>
  <c r="AC459" i="12"/>
  <c r="AC460" i="12"/>
  <c r="AC461" i="12"/>
  <c r="AC462" i="12"/>
  <c r="AC463" i="12"/>
  <c r="AC464" i="12"/>
  <c r="AC465" i="12"/>
  <c r="AC466" i="12"/>
  <c r="AC467" i="12"/>
  <c r="AC468" i="12"/>
  <c r="AC469" i="12"/>
  <c r="AC470" i="12"/>
  <c r="AC471" i="12"/>
  <c r="AC472" i="12"/>
  <c r="AC473" i="12"/>
  <c r="AC474" i="12"/>
  <c r="AC475" i="12"/>
  <c r="AC476" i="12"/>
  <c r="AC477" i="12"/>
  <c r="AC478" i="12"/>
  <c r="AC479" i="12"/>
  <c r="AC480" i="12"/>
  <c r="AC481" i="12"/>
  <c r="AC482" i="12"/>
  <c r="AC483" i="12"/>
  <c r="AC484" i="12"/>
  <c r="AC485" i="12"/>
  <c r="AC486" i="12"/>
  <c r="AC487" i="12"/>
  <c r="AC488" i="12"/>
  <c r="AC489" i="12"/>
  <c r="AC490" i="12"/>
  <c r="AC491" i="12"/>
  <c r="AC492" i="12"/>
  <c r="AC493" i="12"/>
  <c r="AC494" i="12"/>
  <c r="AC495" i="12"/>
  <c r="AC496" i="12"/>
  <c r="AC497" i="12"/>
  <c r="AC498" i="12"/>
  <c r="AC499" i="12"/>
  <c r="AC500" i="12"/>
  <c r="AC501" i="12"/>
  <c r="AC2" i="12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473" i="12"/>
  <c r="U474" i="12"/>
  <c r="U475" i="12"/>
  <c r="U476" i="12"/>
  <c r="U477" i="12"/>
  <c r="U478" i="12"/>
  <c r="U479" i="12"/>
  <c r="U480" i="12"/>
  <c r="U481" i="12"/>
  <c r="U482" i="12"/>
  <c r="U483" i="12"/>
  <c r="U484" i="12"/>
  <c r="U485" i="12"/>
  <c r="U486" i="12"/>
  <c r="U487" i="12"/>
  <c r="U488" i="12"/>
  <c r="U489" i="12"/>
  <c r="U490" i="12"/>
  <c r="U491" i="12"/>
  <c r="U492" i="12"/>
  <c r="U493" i="12"/>
  <c r="U494" i="12"/>
  <c r="U495" i="12"/>
  <c r="U496" i="12"/>
  <c r="U497" i="12"/>
  <c r="U498" i="12"/>
  <c r="U499" i="12"/>
  <c r="U500" i="12"/>
  <c r="U501" i="12"/>
  <c r="U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2" i="12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AB364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AB388" i="10"/>
  <c r="AB389" i="10"/>
  <c r="AB390" i="10"/>
  <c r="AB391" i="10"/>
  <c r="AB392" i="10"/>
  <c r="AB393" i="10"/>
  <c r="AB394" i="10"/>
  <c r="AB395" i="10"/>
  <c r="AB396" i="10"/>
  <c r="AB397" i="10"/>
  <c r="AB398" i="10"/>
  <c r="AB399" i="10"/>
  <c r="AB400" i="10"/>
  <c r="AB401" i="10"/>
  <c r="AB402" i="10"/>
  <c r="AB403" i="10"/>
  <c r="AB404" i="10"/>
  <c r="AB405" i="10"/>
  <c r="AB406" i="10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AB500" i="10"/>
  <c r="AB501" i="10"/>
  <c r="AB2" i="10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301" i="8"/>
  <c r="AA302" i="8"/>
  <c r="AA303" i="8"/>
  <c r="AA304" i="8"/>
  <c r="AA305" i="8"/>
  <c r="AA306" i="8"/>
  <c r="AA307" i="8"/>
  <c r="AA308" i="8"/>
  <c r="AA309" i="8"/>
  <c r="AA310" i="8"/>
  <c r="AA311" i="8"/>
  <c r="AA312" i="8"/>
  <c r="AA313" i="8"/>
  <c r="AA314" i="8"/>
  <c r="AA315" i="8"/>
  <c r="AA316" i="8"/>
  <c r="AA317" i="8"/>
  <c r="AA318" i="8"/>
  <c r="AA319" i="8"/>
  <c r="AA320" i="8"/>
  <c r="AA321" i="8"/>
  <c r="AA322" i="8"/>
  <c r="AA323" i="8"/>
  <c r="AA324" i="8"/>
  <c r="AA325" i="8"/>
  <c r="AA326" i="8"/>
  <c r="AA327" i="8"/>
  <c r="AA328" i="8"/>
  <c r="AA329" i="8"/>
  <c r="AA330" i="8"/>
  <c r="AA331" i="8"/>
  <c r="AA332" i="8"/>
  <c r="AA333" i="8"/>
  <c r="AA334" i="8"/>
  <c r="AA335" i="8"/>
  <c r="AA336" i="8"/>
  <c r="AA337" i="8"/>
  <c r="AA338" i="8"/>
  <c r="AA339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2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466" i="8"/>
  <c r="AA467" i="8"/>
  <c r="AA468" i="8"/>
  <c r="AA469" i="8"/>
  <c r="AA470" i="8"/>
  <c r="AA471" i="8"/>
  <c r="AA472" i="8"/>
  <c r="AA473" i="8"/>
  <c r="AA474" i="8"/>
  <c r="AA475" i="8"/>
  <c r="AA476" i="8"/>
  <c r="AA477" i="8"/>
  <c r="AA478" i="8"/>
  <c r="AA479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493" i="8"/>
  <c r="AA494" i="8"/>
  <c r="AA495" i="8"/>
  <c r="AA496" i="8"/>
  <c r="AA497" i="8"/>
  <c r="AA498" i="8"/>
  <c r="AA499" i="8"/>
  <c r="AA500" i="8"/>
  <c r="AA501" i="8"/>
  <c r="AA2" i="8"/>
  <c r="K3" i="5"/>
  <c r="K4" i="5"/>
  <c r="K5" i="5"/>
  <c r="K6" i="5"/>
  <c r="K7" i="5"/>
  <c r="K8" i="5"/>
  <c r="K9" i="5"/>
  <c r="K10" i="5"/>
  <c r="K11" i="5"/>
  <c r="K2" i="5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H3" i="8"/>
  <c r="AD3" i="8" s="1"/>
  <c r="H4" i="8"/>
  <c r="AD4" i="8" s="1"/>
  <c r="H5" i="8"/>
  <c r="AD5" i="8" s="1"/>
  <c r="H6" i="8"/>
  <c r="AD6" i="8" s="1"/>
  <c r="H7" i="8"/>
  <c r="AD7" i="8" s="1"/>
  <c r="H8" i="8"/>
  <c r="AD8" i="8" s="1"/>
  <c r="H9" i="8"/>
  <c r="AD9" i="8" s="1"/>
  <c r="H10" i="8"/>
  <c r="AD10" i="8" s="1"/>
  <c r="H11" i="8"/>
  <c r="AD11" i="8" s="1"/>
  <c r="H12" i="8"/>
  <c r="AD12" i="8" s="1"/>
  <c r="H13" i="8"/>
  <c r="AD13" i="8" s="1"/>
  <c r="H14" i="8"/>
  <c r="AD14" i="8" s="1"/>
  <c r="H15" i="8"/>
  <c r="AD15" i="8" s="1"/>
  <c r="H16" i="8"/>
  <c r="AD16" i="8" s="1"/>
  <c r="H17" i="8"/>
  <c r="AD17" i="8" s="1"/>
  <c r="H18" i="8"/>
  <c r="AD18" i="8" s="1"/>
  <c r="H19" i="8"/>
  <c r="AD19" i="8" s="1"/>
  <c r="H20" i="8"/>
  <c r="AD20" i="8" s="1"/>
  <c r="H21" i="8"/>
  <c r="AD21" i="8" s="1"/>
  <c r="H22" i="8"/>
  <c r="AD22" i="8" s="1"/>
  <c r="H23" i="8"/>
  <c r="AD23" i="8" s="1"/>
  <c r="H24" i="8"/>
  <c r="AD24" i="8" s="1"/>
  <c r="H25" i="8"/>
  <c r="AD25" i="8" s="1"/>
  <c r="H26" i="8"/>
  <c r="AD26" i="8" s="1"/>
  <c r="H27" i="8"/>
  <c r="AD27" i="8" s="1"/>
  <c r="H28" i="8"/>
  <c r="AD28" i="8" s="1"/>
  <c r="H29" i="8"/>
  <c r="AD29" i="8" s="1"/>
  <c r="H30" i="8"/>
  <c r="AD30" i="8" s="1"/>
  <c r="H31" i="8"/>
  <c r="AD31" i="8" s="1"/>
  <c r="H32" i="8"/>
  <c r="AD32" i="8" s="1"/>
  <c r="H33" i="8"/>
  <c r="AD33" i="8" s="1"/>
  <c r="H34" i="8"/>
  <c r="AD34" i="8" s="1"/>
  <c r="H35" i="8"/>
  <c r="AD35" i="8" s="1"/>
  <c r="H36" i="8"/>
  <c r="AD36" i="8" s="1"/>
  <c r="H37" i="8"/>
  <c r="AD37" i="8" s="1"/>
  <c r="H38" i="8"/>
  <c r="AD38" i="8" s="1"/>
  <c r="H39" i="8"/>
  <c r="AD39" i="8" s="1"/>
  <c r="H40" i="8"/>
  <c r="AD40" i="8" s="1"/>
  <c r="H41" i="8"/>
  <c r="AD41" i="8" s="1"/>
  <c r="H42" i="8"/>
  <c r="AD42" i="8" s="1"/>
  <c r="H43" i="8"/>
  <c r="AD43" i="8" s="1"/>
  <c r="H44" i="8"/>
  <c r="AD44" i="8" s="1"/>
  <c r="H45" i="8"/>
  <c r="AD45" i="8" s="1"/>
  <c r="H46" i="8"/>
  <c r="AD46" i="8" s="1"/>
  <c r="H47" i="8"/>
  <c r="AD47" i="8" s="1"/>
  <c r="H48" i="8"/>
  <c r="AD48" i="8" s="1"/>
  <c r="H49" i="8"/>
  <c r="AD49" i="8" s="1"/>
  <c r="H50" i="8"/>
  <c r="AD50" i="8" s="1"/>
  <c r="H51" i="8"/>
  <c r="AD51" i="8" s="1"/>
  <c r="H52" i="8"/>
  <c r="AD52" i="8" s="1"/>
  <c r="H53" i="8"/>
  <c r="AD53" i="8" s="1"/>
  <c r="H54" i="8"/>
  <c r="AD54" i="8" s="1"/>
  <c r="H55" i="8"/>
  <c r="AD55" i="8" s="1"/>
  <c r="H56" i="8"/>
  <c r="AD56" i="8" s="1"/>
  <c r="H57" i="8"/>
  <c r="AD57" i="8" s="1"/>
  <c r="H58" i="8"/>
  <c r="AD58" i="8" s="1"/>
  <c r="H59" i="8"/>
  <c r="AD59" i="8" s="1"/>
  <c r="H60" i="8"/>
  <c r="AD60" i="8" s="1"/>
  <c r="H61" i="8"/>
  <c r="AD61" i="8" s="1"/>
  <c r="H62" i="8"/>
  <c r="AD62" i="8" s="1"/>
  <c r="H63" i="8"/>
  <c r="AD63" i="8" s="1"/>
  <c r="H64" i="8"/>
  <c r="AD64" i="8" s="1"/>
  <c r="H65" i="8"/>
  <c r="AD65" i="8" s="1"/>
  <c r="H66" i="8"/>
  <c r="AD66" i="8" s="1"/>
  <c r="H67" i="8"/>
  <c r="AD67" i="8" s="1"/>
  <c r="H68" i="8"/>
  <c r="AD68" i="8" s="1"/>
  <c r="H69" i="8"/>
  <c r="AD69" i="8" s="1"/>
  <c r="H70" i="8"/>
  <c r="AD70" i="8" s="1"/>
  <c r="H71" i="8"/>
  <c r="AD71" i="8" s="1"/>
  <c r="H72" i="8"/>
  <c r="AD72" i="8" s="1"/>
  <c r="H73" i="8"/>
  <c r="AD73" i="8" s="1"/>
  <c r="H74" i="8"/>
  <c r="AD74" i="8" s="1"/>
  <c r="H75" i="8"/>
  <c r="AD75" i="8" s="1"/>
  <c r="H76" i="8"/>
  <c r="AD76" i="8" s="1"/>
  <c r="H77" i="8"/>
  <c r="AD77" i="8" s="1"/>
  <c r="H78" i="8"/>
  <c r="AD78" i="8" s="1"/>
  <c r="H79" i="8"/>
  <c r="AD79" i="8" s="1"/>
  <c r="H80" i="8"/>
  <c r="AD80" i="8" s="1"/>
  <c r="H81" i="8"/>
  <c r="AD81" i="8" s="1"/>
  <c r="H82" i="8"/>
  <c r="AD82" i="8" s="1"/>
  <c r="H83" i="8"/>
  <c r="AD83" i="8" s="1"/>
  <c r="H84" i="8"/>
  <c r="AD84" i="8" s="1"/>
  <c r="H85" i="8"/>
  <c r="AD85" i="8" s="1"/>
  <c r="H86" i="8"/>
  <c r="AD86" i="8" s="1"/>
  <c r="H87" i="8"/>
  <c r="AD87" i="8" s="1"/>
  <c r="H88" i="8"/>
  <c r="AD88" i="8" s="1"/>
  <c r="H89" i="8"/>
  <c r="AD89" i="8" s="1"/>
  <c r="H90" i="8"/>
  <c r="AD90" i="8" s="1"/>
  <c r="H91" i="8"/>
  <c r="AD91" i="8" s="1"/>
  <c r="H92" i="8"/>
  <c r="AD92" i="8" s="1"/>
  <c r="H93" i="8"/>
  <c r="AD93" i="8" s="1"/>
  <c r="H94" i="8"/>
  <c r="AD94" i="8" s="1"/>
  <c r="H95" i="8"/>
  <c r="AD95" i="8" s="1"/>
  <c r="H96" i="8"/>
  <c r="AD96" i="8" s="1"/>
  <c r="H97" i="8"/>
  <c r="AD97" i="8" s="1"/>
  <c r="H98" i="8"/>
  <c r="AD98" i="8" s="1"/>
  <c r="H99" i="8"/>
  <c r="AD99" i="8" s="1"/>
  <c r="H100" i="8"/>
  <c r="AD100" i="8" s="1"/>
  <c r="H101" i="8"/>
  <c r="AD101" i="8" s="1"/>
  <c r="H102" i="8"/>
  <c r="AD102" i="8" s="1"/>
  <c r="H103" i="8"/>
  <c r="AD103" i="8" s="1"/>
  <c r="H104" i="8"/>
  <c r="AD104" i="8" s="1"/>
  <c r="H105" i="8"/>
  <c r="AD105" i="8" s="1"/>
  <c r="H106" i="8"/>
  <c r="AD106" i="8" s="1"/>
  <c r="H107" i="8"/>
  <c r="AD107" i="8" s="1"/>
  <c r="H108" i="8"/>
  <c r="AD108" i="8" s="1"/>
  <c r="H109" i="8"/>
  <c r="AD109" i="8" s="1"/>
  <c r="H110" i="8"/>
  <c r="AD110" i="8" s="1"/>
  <c r="H111" i="8"/>
  <c r="AD111" i="8" s="1"/>
  <c r="H112" i="8"/>
  <c r="AD112" i="8" s="1"/>
  <c r="H113" i="8"/>
  <c r="AD113" i="8" s="1"/>
  <c r="H114" i="8"/>
  <c r="AD114" i="8" s="1"/>
  <c r="H115" i="8"/>
  <c r="AD115" i="8" s="1"/>
  <c r="H116" i="8"/>
  <c r="AD116" i="8" s="1"/>
  <c r="H117" i="8"/>
  <c r="AD117" i="8" s="1"/>
  <c r="H118" i="8"/>
  <c r="AD118" i="8" s="1"/>
  <c r="H119" i="8"/>
  <c r="AD119" i="8" s="1"/>
  <c r="H120" i="8"/>
  <c r="AD120" i="8" s="1"/>
  <c r="H121" i="8"/>
  <c r="AD121" i="8" s="1"/>
  <c r="H122" i="8"/>
  <c r="AD122" i="8" s="1"/>
  <c r="H123" i="8"/>
  <c r="AD123" i="8" s="1"/>
  <c r="H124" i="8"/>
  <c r="AD124" i="8" s="1"/>
  <c r="H125" i="8"/>
  <c r="AD125" i="8" s="1"/>
  <c r="H126" i="8"/>
  <c r="AD126" i="8" s="1"/>
  <c r="H127" i="8"/>
  <c r="AD127" i="8" s="1"/>
  <c r="H128" i="8"/>
  <c r="AD128" i="8" s="1"/>
  <c r="H129" i="8"/>
  <c r="AD129" i="8" s="1"/>
  <c r="H130" i="8"/>
  <c r="AD130" i="8" s="1"/>
  <c r="H131" i="8"/>
  <c r="AD131" i="8" s="1"/>
  <c r="H132" i="8"/>
  <c r="AD132" i="8" s="1"/>
  <c r="H133" i="8"/>
  <c r="AD133" i="8" s="1"/>
  <c r="H134" i="8"/>
  <c r="AD134" i="8" s="1"/>
  <c r="H135" i="8"/>
  <c r="AD135" i="8" s="1"/>
  <c r="H136" i="8"/>
  <c r="AD136" i="8" s="1"/>
  <c r="H137" i="8"/>
  <c r="AD137" i="8" s="1"/>
  <c r="H138" i="8"/>
  <c r="AD138" i="8" s="1"/>
  <c r="H139" i="8"/>
  <c r="AD139" i="8" s="1"/>
  <c r="H140" i="8"/>
  <c r="AD140" i="8" s="1"/>
  <c r="H141" i="8"/>
  <c r="AD141" i="8" s="1"/>
  <c r="H142" i="8"/>
  <c r="AD142" i="8" s="1"/>
  <c r="H143" i="8"/>
  <c r="AD143" i="8" s="1"/>
  <c r="H144" i="8"/>
  <c r="AD144" i="8" s="1"/>
  <c r="H145" i="8"/>
  <c r="AD145" i="8" s="1"/>
  <c r="H146" i="8"/>
  <c r="AD146" i="8" s="1"/>
  <c r="H147" i="8"/>
  <c r="AD147" i="8" s="1"/>
  <c r="H148" i="8"/>
  <c r="AD148" i="8" s="1"/>
  <c r="H149" i="8"/>
  <c r="AD149" i="8" s="1"/>
  <c r="H150" i="8"/>
  <c r="AD150" i="8" s="1"/>
  <c r="H151" i="8"/>
  <c r="AD151" i="8" s="1"/>
  <c r="H152" i="8"/>
  <c r="AD152" i="8" s="1"/>
  <c r="H153" i="8"/>
  <c r="AD153" i="8" s="1"/>
  <c r="H154" i="8"/>
  <c r="AD154" i="8" s="1"/>
  <c r="H155" i="8"/>
  <c r="AD155" i="8" s="1"/>
  <c r="H156" i="8"/>
  <c r="AD156" i="8" s="1"/>
  <c r="H157" i="8"/>
  <c r="AD157" i="8" s="1"/>
  <c r="H158" i="8"/>
  <c r="AD158" i="8" s="1"/>
  <c r="H159" i="8"/>
  <c r="AD159" i="8" s="1"/>
  <c r="H160" i="8"/>
  <c r="AD160" i="8" s="1"/>
  <c r="H161" i="8"/>
  <c r="AD161" i="8" s="1"/>
  <c r="H162" i="8"/>
  <c r="AD162" i="8" s="1"/>
  <c r="H163" i="8"/>
  <c r="AD163" i="8" s="1"/>
  <c r="H164" i="8"/>
  <c r="AD164" i="8" s="1"/>
  <c r="H165" i="8"/>
  <c r="AD165" i="8" s="1"/>
  <c r="H166" i="8"/>
  <c r="AD166" i="8" s="1"/>
  <c r="H167" i="8"/>
  <c r="AD167" i="8" s="1"/>
  <c r="H168" i="8"/>
  <c r="AD168" i="8" s="1"/>
  <c r="H169" i="8"/>
  <c r="AD169" i="8" s="1"/>
  <c r="H170" i="8"/>
  <c r="AD170" i="8" s="1"/>
  <c r="H171" i="8"/>
  <c r="AD171" i="8" s="1"/>
  <c r="H172" i="8"/>
  <c r="AD172" i="8" s="1"/>
  <c r="H173" i="8"/>
  <c r="AD173" i="8" s="1"/>
  <c r="H174" i="8"/>
  <c r="AD174" i="8" s="1"/>
  <c r="H175" i="8"/>
  <c r="AD175" i="8" s="1"/>
  <c r="H176" i="8"/>
  <c r="AD176" i="8" s="1"/>
  <c r="H177" i="8"/>
  <c r="AD177" i="8" s="1"/>
  <c r="H178" i="8"/>
  <c r="AD178" i="8" s="1"/>
  <c r="H179" i="8"/>
  <c r="AD179" i="8" s="1"/>
  <c r="H180" i="8"/>
  <c r="AD180" i="8" s="1"/>
  <c r="H181" i="8"/>
  <c r="AD181" i="8" s="1"/>
  <c r="H182" i="8"/>
  <c r="AD182" i="8" s="1"/>
  <c r="H183" i="8"/>
  <c r="AD183" i="8" s="1"/>
  <c r="H184" i="8"/>
  <c r="AD184" i="8" s="1"/>
  <c r="H185" i="8"/>
  <c r="AD185" i="8" s="1"/>
  <c r="H186" i="8"/>
  <c r="AD186" i="8" s="1"/>
  <c r="H187" i="8"/>
  <c r="AD187" i="8" s="1"/>
  <c r="H188" i="8"/>
  <c r="AD188" i="8" s="1"/>
  <c r="H189" i="8"/>
  <c r="AD189" i="8" s="1"/>
  <c r="H190" i="8"/>
  <c r="AD190" i="8" s="1"/>
  <c r="H191" i="8"/>
  <c r="AD191" i="8" s="1"/>
  <c r="H192" i="8"/>
  <c r="AD192" i="8" s="1"/>
  <c r="H193" i="8"/>
  <c r="AD193" i="8" s="1"/>
  <c r="H194" i="8"/>
  <c r="AD194" i="8" s="1"/>
  <c r="H195" i="8"/>
  <c r="AD195" i="8" s="1"/>
  <c r="H196" i="8"/>
  <c r="AD196" i="8" s="1"/>
  <c r="H197" i="8"/>
  <c r="AD197" i="8" s="1"/>
  <c r="H198" i="8"/>
  <c r="AD198" i="8" s="1"/>
  <c r="H199" i="8"/>
  <c r="AD199" i="8" s="1"/>
  <c r="H200" i="8"/>
  <c r="AD200" i="8" s="1"/>
  <c r="H201" i="8"/>
  <c r="AD201" i="8" s="1"/>
  <c r="H202" i="8"/>
  <c r="AD202" i="8" s="1"/>
  <c r="H203" i="8"/>
  <c r="AD203" i="8" s="1"/>
  <c r="H204" i="8"/>
  <c r="AD204" i="8" s="1"/>
  <c r="H205" i="8"/>
  <c r="AD205" i="8" s="1"/>
  <c r="H206" i="8"/>
  <c r="AD206" i="8" s="1"/>
  <c r="H207" i="8"/>
  <c r="AD207" i="8" s="1"/>
  <c r="H208" i="8"/>
  <c r="AD208" i="8" s="1"/>
  <c r="H209" i="8"/>
  <c r="AD209" i="8" s="1"/>
  <c r="H210" i="8"/>
  <c r="AD210" i="8" s="1"/>
  <c r="H211" i="8"/>
  <c r="AD211" i="8" s="1"/>
  <c r="H212" i="8"/>
  <c r="AD212" i="8" s="1"/>
  <c r="H213" i="8"/>
  <c r="AD213" i="8" s="1"/>
  <c r="H214" i="8"/>
  <c r="AD214" i="8" s="1"/>
  <c r="H215" i="8"/>
  <c r="AD215" i="8" s="1"/>
  <c r="H216" i="8"/>
  <c r="AD216" i="8" s="1"/>
  <c r="H217" i="8"/>
  <c r="AD217" i="8" s="1"/>
  <c r="H218" i="8"/>
  <c r="AD218" i="8" s="1"/>
  <c r="H219" i="8"/>
  <c r="AD219" i="8" s="1"/>
  <c r="H220" i="8"/>
  <c r="AD220" i="8" s="1"/>
  <c r="H221" i="8"/>
  <c r="AD221" i="8" s="1"/>
  <c r="H222" i="8"/>
  <c r="AD222" i="8" s="1"/>
  <c r="H223" i="8"/>
  <c r="AD223" i="8" s="1"/>
  <c r="H224" i="8"/>
  <c r="AD224" i="8" s="1"/>
  <c r="H225" i="8"/>
  <c r="AD225" i="8" s="1"/>
  <c r="H226" i="8"/>
  <c r="AD226" i="8" s="1"/>
  <c r="H227" i="8"/>
  <c r="AD227" i="8" s="1"/>
  <c r="H228" i="8"/>
  <c r="AD228" i="8" s="1"/>
  <c r="H229" i="8"/>
  <c r="AD229" i="8" s="1"/>
  <c r="H230" i="8"/>
  <c r="AD230" i="8" s="1"/>
  <c r="H231" i="8"/>
  <c r="AD231" i="8" s="1"/>
  <c r="H232" i="8"/>
  <c r="AD232" i="8" s="1"/>
  <c r="H233" i="8"/>
  <c r="AD233" i="8" s="1"/>
  <c r="H234" i="8"/>
  <c r="AD234" i="8" s="1"/>
  <c r="H235" i="8"/>
  <c r="AD235" i="8" s="1"/>
  <c r="H236" i="8"/>
  <c r="AD236" i="8" s="1"/>
  <c r="H237" i="8"/>
  <c r="AD237" i="8" s="1"/>
  <c r="H238" i="8"/>
  <c r="AD238" i="8" s="1"/>
  <c r="H239" i="8"/>
  <c r="AD239" i="8" s="1"/>
  <c r="H240" i="8"/>
  <c r="AD240" i="8" s="1"/>
  <c r="H241" i="8"/>
  <c r="AD241" i="8" s="1"/>
  <c r="H242" i="8"/>
  <c r="AD242" i="8" s="1"/>
  <c r="H243" i="8"/>
  <c r="AD243" i="8" s="1"/>
  <c r="H244" i="8"/>
  <c r="AD244" i="8" s="1"/>
  <c r="H245" i="8"/>
  <c r="AD245" i="8" s="1"/>
  <c r="H246" i="8"/>
  <c r="AD246" i="8" s="1"/>
  <c r="H247" i="8"/>
  <c r="AD247" i="8" s="1"/>
  <c r="H248" i="8"/>
  <c r="AD248" i="8" s="1"/>
  <c r="H249" i="8"/>
  <c r="AD249" i="8" s="1"/>
  <c r="H250" i="8"/>
  <c r="AD250" i="8" s="1"/>
  <c r="H251" i="8"/>
  <c r="AD251" i="8" s="1"/>
  <c r="H252" i="8"/>
  <c r="AD252" i="8" s="1"/>
  <c r="H253" i="8"/>
  <c r="AD253" i="8" s="1"/>
  <c r="H254" i="8"/>
  <c r="AD254" i="8" s="1"/>
  <c r="H255" i="8"/>
  <c r="AD255" i="8" s="1"/>
  <c r="H256" i="8"/>
  <c r="AD256" i="8" s="1"/>
  <c r="H257" i="8"/>
  <c r="AD257" i="8" s="1"/>
  <c r="H258" i="8"/>
  <c r="AD258" i="8" s="1"/>
  <c r="H259" i="8"/>
  <c r="AD259" i="8" s="1"/>
  <c r="H260" i="8"/>
  <c r="AD260" i="8" s="1"/>
  <c r="H261" i="8"/>
  <c r="AD261" i="8" s="1"/>
  <c r="H262" i="8"/>
  <c r="AD262" i="8" s="1"/>
  <c r="H263" i="8"/>
  <c r="AD263" i="8" s="1"/>
  <c r="H264" i="8"/>
  <c r="AD264" i="8" s="1"/>
  <c r="H265" i="8"/>
  <c r="AD265" i="8" s="1"/>
  <c r="H266" i="8"/>
  <c r="AD266" i="8" s="1"/>
  <c r="H267" i="8"/>
  <c r="AD267" i="8" s="1"/>
  <c r="H268" i="8"/>
  <c r="AD268" i="8" s="1"/>
  <c r="H269" i="8"/>
  <c r="AD269" i="8" s="1"/>
  <c r="H270" i="8"/>
  <c r="AD270" i="8" s="1"/>
  <c r="H271" i="8"/>
  <c r="AD271" i="8" s="1"/>
  <c r="H272" i="8"/>
  <c r="AD272" i="8" s="1"/>
  <c r="H273" i="8"/>
  <c r="AD273" i="8" s="1"/>
  <c r="H274" i="8"/>
  <c r="AD274" i="8" s="1"/>
  <c r="H275" i="8"/>
  <c r="AD275" i="8" s="1"/>
  <c r="H276" i="8"/>
  <c r="AD276" i="8" s="1"/>
  <c r="H277" i="8"/>
  <c r="AD277" i="8" s="1"/>
  <c r="H278" i="8"/>
  <c r="AD278" i="8" s="1"/>
  <c r="H279" i="8"/>
  <c r="AD279" i="8" s="1"/>
  <c r="H280" i="8"/>
  <c r="AD280" i="8" s="1"/>
  <c r="H281" i="8"/>
  <c r="AD281" i="8" s="1"/>
  <c r="H282" i="8"/>
  <c r="AD282" i="8" s="1"/>
  <c r="H283" i="8"/>
  <c r="AD283" i="8" s="1"/>
  <c r="H284" i="8"/>
  <c r="AD284" i="8" s="1"/>
  <c r="H285" i="8"/>
  <c r="AD285" i="8" s="1"/>
  <c r="H286" i="8"/>
  <c r="AD286" i="8" s="1"/>
  <c r="H287" i="8"/>
  <c r="AD287" i="8" s="1"/>
  <c r="H288" i="8"/>
  <c r="AD288" i="8" s="1"/>
  <c r="H289" i="8"/>
  <c r="AD289" i="8" s="1"/>
  <c r="H290" i="8"/>
  <c r="AD290" i="8" s="1"/>
  <c r="H291" i="8"/>
  <c r="AD291" i="8" s="1"/>
  <c r="H292" i="8"/>
  <c r="AD292" i="8" s="1"/>
  <c r="H293" i="8"/>
  <c r="AD293" i="8" s="1"/>
  <c r="H294" i="8"/>
  <c r="AD294" i="8" s="1"/>
  <c r="H295" i="8"/>
  <c r="AD295" i="8" s="1"/>
  <c r="H296" i="8"/>
  <c r="AD296" i="8" s="1"/>
  <c r="H297" i="8"/>
  <c r="AD297" i="8" s="1"/>
  <c r="H298" i="8"/>
  <c r="AD298" i="8" s="1"/>
  <c r="H299" i="8"/>
  <c r="AD299" i="8" s="1"/>
  <c r="H300" i="8"/>
  <c r="AD300" i="8" s="1"/>
  <c r="H301" i="8"/>
  <c r="AD301" i="8" s="1"/>
  <c r="H302" i="8"/>
  <c r="AD302" i="8" s="1"/>
  <c r="H303" i="8"/>
  <c r="AD303" i="8" s="1"/>
  <c r="H304" i="8"/>
  <c r="AD304" i="8" s="1"/>
  <c r="H305" i="8"/>
  <c r="AD305" i="8" s="1"/>
  <c r="H306" i="8"/>
  <c r="AD306" i="8" s="1"/>
  <c r="H307" i="8"/>
  <c r="AD307" i="8" s="1"/>
  <c r="H308" i="8"/>
  <c r="AD308" i="8" s="1"/>
  <c r="H309" i="8"/>
  <c r="AD309" i="8" s="1"/>
  <c r="H310" i="8"/>
  <c r="AD310" i="8" s="1"/>
  <c r="H311" i="8"/>
  <c r="AD311" i="8" s="1"/>
  <c r="H312" i="8"/>
  <c r="AD312" i="8" s="1"/>
  <c r="H313" i="8"/>
  <c r="AD313" i="8" s="1"/>
  <c r="H314" i="8"/>
  <c r="AD314" i="8" s="1"/>
  <c r="H315" i="8"/>
  <c r="AD315" i="8" s="1"/>
  <c r="H316" i="8"/>
  <c r="AD316" i="8" s="1"/>
  <c r="H317" i="8"/>
  <c r="AD317" i="8" s="1"/>
  <c r="H318" i="8"/>
  <c r="AD318" i="8" s="1"/>
  <c r="H319" i="8"/>
  <c r="AD319" i="8" s="1"/>
  <c r="H320" i="8"/>
  <c r="AD320" i="8" s="1"/>
  <c r="H321" i="8"/>
  <c r="AD321" i="8" s="1"/>
  <c r="H322" i="8"/>
  <c r="AD322" i="8" s="1"/>
  <c r="H323" i="8"/>
  <c r="AD323" i="8" s="1"/>
  <c r="H324" i="8"/>
  <c r="AD324" i="8" s="1"/>
  <c r="H325" i="8"/>
  <c r="AD325" i="8" s="1"/>
  <c r="H326" i="8"/>
  <c r="AD326" i="8" s="1"/>
  <c r="H327" i="8"/>
  <c r="AD327" i="8" s="1"/>
  <c r="H328" i="8"/>
  <c r="AD328" i="8" s="1"/>
  <c r="H329" i="8"/>
  <c r="AD329" i="8" s="1"/>
  <c r="H330" i="8"/>
  <c r="AD330" i="8" s="1"/>
  <c r="H331" i="8"/>
  <c r="AD331" i="8" s="1"/>
  <c r="H332" i="8"/>
  <c r="AD332" i="8" s="1"/>
  <c r="H333" i="8"/>
  <c r="AD333" i="8" s="1"/>
  <c r="H334" i="8"/>
  <c r="AD334" i="8" s="1"/>
  <c r="H335" i="8"/>
  <c r="AD335" i="8" s="1"/>
  <c r="H336" i="8"/>
  <c r="AD336" i="8" s="1"/>
  <c r="H337" i="8"/>
  <c r="AD337" i="8" s="1"/>
  <c r="H338" i="8"/>
  <c r="AD338" i="8" s="1"/>
  <c r="H339" i="8"/>
  <c r="AD339" i="8" s="1"/>
  <c r="H340" i="8"/>
  <c r="AD340" i="8" s="1"/>
  <c r="H341" i="8"/>
  <c r="AD341" i="8" s="1"/>
  <c r="H342" i="8"/>
  <c r="AD342" i="8" s="1"/>
  <c r="H343" i="8"/>
  <c r="AD343" i="8" s="1"/>
  <c r="H344" i="8"/>
  <c r="AD344" i="8" s="1"/>
  <c r="H345" i="8"/>
  <c r="AD345" i="8" s="1"/>
  <c r="H346" i="8"/>
  <c r="AD346" i="8" s="1"/>
  <c r="H347" i="8"/>
  <c r="AD347" i="8" s="1"/>
  <c r="H348" i="8"/>
  <c r="AD348" i="8" s="1"/>
  <c r="H349" i="8"/>
  <c r="AD349" i="8" s="1"/>
  <c r="H350" i="8"/>
  <c r="AD350" i="8" s="1"/>
  <c r="H351" i="8"/>
  <c r="AD351" i="8" s="1"/>
  <c r="H352" i="8"/>
  <c r="AD352" i="8" s="1"/>
  <c r="H353" i="8"/>
  <c r="AD353" i="8" s="1"/>
  <c r="H354" i="8"/>
  <c r="AD354" i="8" s="1"/>
  <c r="H355" i="8"/>
  <c r="AD355" i="8" s="1"/>
  <c r="H356" i="8"/>
  <c r="AD356" i="8" s="1"/>
  <c r="H357" i="8"/>
  <c r="AD357" i="8" s="1"/>
  <c r="H358" i="8"/>
  <c r="AD358" i="8" s="1"/>
  <c r="H359" i="8"/>
  <c r="AD359" i="8" s="1"/>
  <c r="H360" i="8"/>
  <c r="AD360" i="8" s="1"/>
  <c r="H361" i="8"/>
  <c r="AD361" i="8" s="1"/>
  <c r="H362" i="8"/>
  <c r="AD362" i="8" s="1"/>
  <c r="H363" i="8"/>
  <c r="AD363" i="8" s="1"/>
  <c r="H364" i="8"/>
  <c r="AD364" i="8" s="1"/>
  <c r="H365" i="8"/>
  <c r="AD365" i="8" s="1"/>
  <c r="H366" i="8"/>
  <c r="AD366" i="8" s="1"/>
  <c r="H367" i="8"/>
  <c r="AD367" i="8" s="1"/>
  <c r="H368" i="8"/>
  <c r="AD368" i="8" s="1"/>
  <c r="H369" i="8"/>
  <c r="AD369" i="8" s="1"/>
  <c r="H370" i="8"/>
  <c r="AD370" i="8" s="1"/>
  <c r="H371" i="8"/>
  <c r="AD371" i="8" s="1"/>
  <c r="H372" i="8"/>
  <c r="AD372" i="8" s="1"/>
  <c r="H373" i="8"/>
  <c r="AD373" i="8" s="1"/>
  <c r="H374" i="8"/>
  <c r="AD374" i="8" s="1"/>
  <c r="H375" i="8"/>
  <c r="AD375" i="8" s="1"/>
  <c r="H376" i="8"/>
  <c r="AD376" i="8" s="1"/>
  <c r="H377" i="8"/>
  <c r="AD377" i="8" s="1"/>
  <c r="H378" i="8"/>
  <c r="AD378" i="8" s="1"/>
  <c r="H379" i="8"/>
  <c r="AD379" i="8" s="1"/>
  <c r="H380" i="8"/>
  <c r="AD380" i="8" s="1"/>
  <c r="H381" i="8"/>
  <c r="AD381" i="8" s="1"/>
  <c r="H382" i="8"/>
  <c r="AD382" i="8" s="1"/>
  <c r="H383" i="8"/>
  <c r="AD383" i="8" s="1"/>
  <c r="H384" i="8"/>
  <c r="AD384" i="8" s="1"/>
  <c r="H385" i="8"/>
  <c r="AD385" i="8" s="1"/>
  <c r="H386" i="8"/>
  <c r="AD386" i="8" s="1"/>
  <c r="H387" i="8"/>
  <c r="AD387" i="8" s="1"/>
  <c r="H388" i="8"/>
  <c r="AD388" i="8" s="1"/>
  <c r="H389" i="8"/>
  <c r="AD389" i="8" s="1"/>
  <c r="H390" i="8"/>
  <c r="AD390" i="8" s="1"/>
  <c r="H391" i="8"/>
  <c r="AD391" i="8" s="1"/>
  <c r="H392" i="8"/>
  <c r="AD392" i="8" s="1"/>
  <c r="H393" i="8"/>
  <c r="AD393" i="8" s="1"/>
  <c r="H394" i="8"/>
  <c r="AD394" i="8" s="1"/>
  <c r="H395" i="8"/>
  <c r="AD395" i="8" s="1"/>
  <c r="H396" i="8"/>
  <c r="AD396" i="8" s="1"/>
  <c r="H397" i="8"/>
  <c r="AD397" i="8" s="1"/>
  <c r="H398" i="8"/>
  <c r="AD398" i="8" s="1"/>
  <c r="H399" i="8"/>
  <c r="AD399" i="8" s="1"/>
  <c r="H400" i="8"/>
  <c r="AD400" i="8" s="1"/>
  <c r="H401" i="8"/>
  <c r="AD401" i="8" s="1"/>
  <c r="H402" i="8"/>
  <c r="AD402" i="8" s="1"/>
  <c r="H403" i="8"/>
  <c r="AD403" i="8" s="1"/>
  <c r="H404" i="8"/>
  <c r="AD404" i="8" s="1"/>
  <c r="H405" i="8"/>
  <c r="AD405" i="8" s="1"/>
  <c r="H406" i="8"/>
  <c r="AD406" i="8" s="1"/>
  <c r="H407" i="8"/>
  <c r="AD407" i="8" s="1"/>
  <c r="H408" i="8"/>
  <c r="AD408" i="8" s="1"/>
  <c r="H409" i="8"/>
  <c r="AD409" i="8" s="1"/>
  <c r="H410" i="8"/>
  <c r="AD410" i="8" s="1"/>
  <c r="H411" i="8"/>
  <c r="AD411" i="8" s="1"/>
  <c r="H412" i="8"/>
  <c r="AD412" i="8" s="1"/>
  <c r="H413" i="8"/>
  <c r="AD413" i="8" s="1"/>
  <c r="H414" i="8"/>
  <c r="AD414" i="8" s="1"/>
  <c r="H415" i="8"/>
  <c r="AD415" i="8" s="1"/>
  <c r="H416" i="8"/>
  <c r="AD416" i="8" s="1"/>
  <c r="H417" i="8"/>
  <c r="AD417" i="8" s="1"/>
  <c r="H418" i="8"/>
  <c r="AD418" i="8" s="1"/>
  <c r="H419" i="8"/>
  <c r="AD419" i="8" s="1"/>
  <c r="H420" i="8"/>
  <c r="AD420" i="8" s="1"/>
  <c r="H421" i="8"/>
  <c r="AD421" i="8" s="1"/>
  <c r="H422" i="8"/>
  <c r="AD422" i="8" s="1"/>
  <c r="H423" i="8"/>
  <c r="AD423" i="8" s="1"/>
  <c r="H424" i="8"/>
  <c r="AD424" i="8" s="1"/>
  <c r="H425" i="8"/>
  <c r="AD425" i="8" s="1"/>
  <c r="H426" i="8"/>
  <c r="AD426" i="8" s="1"/>
  <c r="H427" i="8"/>
  <c r="AD427" i="8" s="1"/>
  <c r="H428" i="8"/>
  <c r="AD428" i="8" s="1"/>
  <c r="H429" i="8"/>
  <c r="AD429" i="8" s="1"/>
  <c r="H430" i="8"/>
  <c r="AD430" i="8" s="1"/>
  <c r="H431" i="8"/>
  <c r="AD431" i="8" s="1"/>
  <c r="H432" i="8"/>
  <c r="AD432" i="8" s="1"/>
  <c r="H433" i="8"/>
  <c r="AD433" i="8" s="1"/>
  <c r="H434" i="8"/>
  <c r="AD434" i="8" s="1"/>
  <c r="H435" i="8"/>
  <c r="AD435" i="8" s="1"/>
  <c r="H436" i="8"/>
  <c r="AD436" i="8" s="1"/>
  <c r="H437" i="8"/>
  <c r="AD437" i="8" s="1"/>
  <c r="H438" i="8"/>
  <c r="AD438" i="8" s="1"/>
  <c r="H439" i="8"/>
  <c r="AD439" i="8" s="1"/>
  <c r="H440" i="8"/>
  <c r="AD440" i="8" s="1"/>
  <c r="H441" i="8"/>
  <c r="AD441" i="8" s="1"/>
  <c r="H442" i="8"/>
  <c r="AD442" i="8" s="1"/>
  <c r="H443" i="8"/>
  <c r="AD443" i="8" s="1"/>
  <c r="H444" i="8"/>
  <c r="AD444" i="8" s="1"/>
  <c r="H445" i="8"/>
  <c r="AD445" i="8" s="1"/>
  <c r="H446" i="8"/>
  <c r="AD446" i="8" s="1"/>
  <c r="H447" i="8"/>
  <c r="AD447" i="8" s="1"/>
  <c r="H448" i="8"/>
  <c r="AD448" i="8" s="1"/>
  <c r="H449" i="8"/>
  <c r="AD449" i="8" s="1"/>
  <c r="H450" i="8"/>
  <c r="AD450" i="8" s="1"/>
  <c r="H451" i="8"/>
  <c r="AD451" i="8" s="1"/>
  <c r="H452" i="8"/>
  <c r="AD452" i="8" s="1"/>
  <c r="H453" i="8"/>
  <c r="AD453" i="8" s="1"/>
  <c r="H454" i="8"/>
  <c r="AD454" i="8" s="1"/>
  <c r="H455" i="8"/>
  <c r="AD455" i="8" s="1"/>
  <c r="H456" i="8"/>
  <c r="AD456" i="8" s="1"/>
  <c r="H457" i="8"/>
  <c r="AD457" i="8" s="1"/>
  <c r="H458" i="8"/>
  <c r="AD458" i="8" s="1"/>
  <c r="H459" i="8"/>
  <c r="AD459" i="8" s="1"/>
  <c r="H460" i="8"/>
  <c r="AD460" i="8" s="1"/>
  <c r="H461" i="8"/>
  <c r="AD461" i="8" s="1"/>
  <c r="H462" i="8"/>
  <c r="AD462" i="8" s="1"/>
  <c r="H463" i="8"/>
  <c r="AD463" i="8" s="1"/>
  <c r="H464" i="8"/>
  <c r="AD464" i="8" s="1"/>
  <c r="H465" i="8"/>
  <c r="AD465" i="8" s="1"/>
  <c r="H466" i="8"/>
  <c r="AD466" i="8" s="1"/>
  <c r="H467" i="8"/>
  <c r="AD467" i="8" s="1"/>
  <c r="H468" i="8"/>
  <c r="AD468" i="8" s="1"/>
  <c r="H469" i="8"/>
  <c r="AD469" i="8" s="1"/>
  <c r="H470" i="8"/>
  <c r="AD470" i="8" s="1"/>
  <c r="H471" i="8"/>
  <c r="AD471" i="8" s="1"/>
  <c r="H472" i="8"/>
  <c r="AD472" i="8" s="1"/>
  <c r="H473" i="8"/>
  <c r="AD473" i="8" s="1"/>
  <c r="H474" i="8"/>
  <c r="AD474" i="8" s="1"/>
  <c r="H475" i="8"/>
  <c r="AD475" i="8" s="1"/>
  <c r="H476" i="8"/>
  <c r="AD476" i="8" s="1"/>
  <c r="H477" i="8"/>
  <c r="AD477" i="8" s="1"/>
  <c r="H478" i="8"/>
  <c r="AD478" i="8" s="1"/>
  <c r="H479" i="8"/>
  <c r="AD479" i="8" s="1"/>
  <c r="H480" i="8"/>
  <c r="AD480" i="8" s="1"/>
  <c r="H481" i="8"/>
  <c r="AD481" i="8" s="1"/>
  <c r="H482" i="8"/>
  <c r="AD482" i="8" s="1"/>
  <c r="H483" i="8"/>
  <c r="AD483" i="8" s="1"/>
  <c r="H484" i="8"/>
  <c r="AD484" i="8" s="1"/>
  <c r="H485" i="8"/>
  <c r="AD485" i="8" s="1"/>
  <c r="H486" i="8"/>
  <c r="AD486" i="8" s="1"/>
  <c r="H487" i="8"/>
  <c r="AD487" i="8" s="1"/>
  <c r="H488" i="8"/>
  <c r="AD488" i="8" s="1"/>
  <c r="H489" i="8"/>
  <c r="AD489" i="8" s="1"/>
  <c r="H490" i="8"/>
  <c r="AD490" i="8" s="1"/>
  <c r="H491" i="8"/>
  <c r="AD491" i="8" s="1"/>
  <c r="H492" i="8"/>
  <c r="AD492" i="8" s="1"/>
  <c r="H493" i="8"/>
  <c r="AD493" i="8" s="1"/>
  <c r="H494" i="8"/>
  <c r="AD494" i="8" s="1"/>
  <c r="H495" i="8"/>
  <c r="AD495" i="8" s="1"/>
  <c r="H496" i="8"/>
  <c r="AD496" i="8" s="1"/>
  <c r="H497" i="8"/>
  <c r="AD497" i="8" s="1"/>
  <c r="H498" i="8"/>
  <c r="AD498" i="8" s="1"/>
  <c r="H499" i="8"/>
  <c r="AD499" i="8" s="1"/>
  <c r="H500" i="8"/>
  <c r="AD500" i="8" s="1"/>
  <c r="H501" i="8"/>
  <c r="AD501" i="8" s="1"/>
  <c r="J2" i="8"/>
  <c r="I2" i="8"/>
  <c r="H2" i="8"/>
  <c r="AD2" i="8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2" i="8"/>
  <c r="G3" i="5"/>
  <c r="H3" i="5"/>
  <c r="I3" i="5"/>
  <c r="J3" i="5"/>
  <c r="G4" i="5"/>
  <c r="H4" i="5"/>
  <c r="I4" i="5"/>
  <c r="J4" i="5"/>
  <c r="G5" i="5"/>
  <c r="H5" i="5"/>
  <c r="I5" i="5"/>
  <c r="J5" i="5"/>
  <c r="G6" i="5"/>
  <c r="H6" i="5"/>
  <c r="I6" i="5"/>
  <c r="J6" i="5"/>
  <c r="G7" i="5"/>
  <c r="H7" i="5"/>
  <c r="I7" i="5"/>
  <c r="J7" i="5"/>
  <c r="G8" i="5"/>
  <c r="H8" i="5"/>
  <c r="I8" i="5"/>
  <c r="J8" i="5"/>
  <c r="G9" i="5"/>
  <c r="H9" i="5"/>
  <c r="I9" i="5"/>
  <c r="J9" i="5"/>
  <c r="G10" i="5"/>
  <c r="H10" i="5"/>
  <c r="I10" i="5"/>
  <c r="J10" i="5"/>
  <c r="G11" i="5"/>
  <c r="H11" i="5"/>
  <c r="I11" i="5"/>
  <c r="J11" i="5"/>
  <c r="H2" i="5"/>
  <c r="J2" i="5"/>
  <c r="I2" i="5"/>
  <c r="G2" i="5"/>
  <c r="F3" i="5"/>
  <c r="F4" i="5"/>
  <c r="F5" i="5"/>
  <c r="F6" i="5"/>
  <c r="F7" i="5"/>
  <c r="F8" i="5"/>
  <c r="F9" i="5"/>
  <c r="F10" i="5"/>
  <c r="F11" i="5"/>
  <c r="F2" i="5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301" i="8"/>
  <c r="Y302" i="8"/>
  <c r="Y303" i="8"/>
  <c r="Y304" i="8"/>
  <c r="Y305" i="8"/>
  <c r="Y306" i="8"/>
  <c r="Y307" i="8"/>
  <c r="Y308" i="8"/>
  <c r="Y309" i="8"/>
  <c r="Y310" i="8"/>
  <c r="Y311" i="8"/>
  <c r="Y31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Y327" i="8"/>
  <c r="Y328" i="8"/>
  <c r="Y329" i="8"/>
  <c r="Y330" i="8"/>
  <c r="Y331" i="8"/>
  <c r="Y332" i="8"/>
  <c r="Y333" i="8"/>
  <c r="Y334" i="8"/>
  <c r="Y335" i="8"/>
  <c r="Y336" i="8"/>
  <c r="Y337" i="8"/>
  <c r="Y338" i="8"/>
  <c r="Y339" i="8"/>
  <c r="Y340" i="8"/>
  <c r="Y341" i="8"/>
  <c r="Y342" i="8"/>
  <c r="Y343" i="8"/>
  <c r="Y344" i="8"/>
  <c r="Y345" i="8"/>
  <c r="Y346" i="8"/>
  <c r="Y347" i="8"/>
  <c r="Y34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Y363" i="8"/>
  <c r="Y364" i="8"/>
  <c r="Y365" i="8"/>
  <c r="Y366" i="8"/>
  <c r="Y367" i="8"/>
  <c r="Y368" i="8"/>
  <c r="Y369" i="8"/>
  <c r="Y370" i="8"/>
  <c r="Y371" i="8"/>
  <c r="Y372" i="8"/>
  <c r="Y373" i="8"/>
  <c r="Y374" i="8"/>
  <c r="Y375" i="8"/>
  <c r="Y376" i="8"/>
  <c r="Y377" i="8"/>
  <c r="Y378" i="8"/>
  <c r="Y379" i="8"/>
  <c r="Y380" i="8"/>
  <c r="Y381" i="8"/>
  <c r="Y382" i="8"/>
  <c r="Y383" i="8"/>
  <c r="Y38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Y399" i="8"/>
  <c r="Y400" i="8"/>
  <c r="Y401" i="8"/>
  <c r="Y402" i="8"/>
  <c r="Y403" i="8"/>
  <c r="Y404" i="8"/>
  <c r="Y405" i="8"/>
  <c r="Y406" i="8"/>
  <c r="Y407" i="8"/>
  <c r="Y408" i="8"/>
  <c r="Y409" i="8"/>
  <c r="Y410" i="8"/>
  <c r="Y411" i="8"/>
  <c r="Y412" i="8"/>
  <c r="Y413" i="8"/>
  <c r="Y414" i="8"/>
  <c r="Y415" i="8"/>
  <c r="Y416" i="8"/>
  <c r="Y417" i="8"/>
  <c r="Y418" i="8"/>
  <c r="Y419" i="8"/>
  <c r="Y42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Y435" i="8"/>
  <c r="Y436" i="8"/>
  <c r="Y437" i="8"/>
  <c r="Y438" i="8"/>
  <c r="Y439" i="8"/>
  <c r="Y440" i="8"/>
  <c r="Y441" i="8"/>
  <c r="Y442" i="8"/>
  <c r="Y443" i="8"/>
  <c r="Y444" i="8"/>
  <c r="Y445" i="8"/>
  <c r="Y446" i="8"/>
  <c r="Y447" i="8"/>
  <c r="Y448" i="8"/>
  <c r="Y449" i="8"/>
  <c r="Y450" i="8"/>
  <c r="Y451" i="8"/>
  <c r="Y452" i="8"/>
  <c r="Y453" i="8"/>
  <c r="Y454" i="8"/>
  <c r="Y455" i="8"/>
  <c r="Y45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Y471" i="8"/>
  <c r="Y472" i="8"/>
  <c r="Y473" i="8"/>
  <c r="Y474" i="8"/>
  <c r="Y475" i="8"/>
  <c r="Y476" i="8"/>
  <c r="Y477" i="8"/>
  <c r="Y478" i="8"/>
  <c r="Y479" i="8"/>
  <c r="Y480" i="8"/>
  <c r="Y481" i="8"/>
  <c r="Y482" i="8"/>
  <c r="Y483" i="8"/>
  <c r="Y484" i="8"/>
  <c r="Y485" i="8"/>
  <c r="Y486" i="8"/>
  <c r="Y487" i="8"/>
  <c r="Y488" i="8"/>
  <c r="Y489" i="8"/>
  <c r="Y490" i="8"/>
  <c r="Y491" i="8"/>
  <c r="Y492" i="8"/>
  <c r="Y493" i="8"/>
  <c r="Y494" i="8"/>
  <c r="Y495" i="8"/>
  <c r="Y496" i="8"/>
  <c r="Y497" i="8"/>
  <c r="Y498" i="8"/>
  <c r="Y499" i="8"/>
  <c r="Y500" i="8"/>
  <c r="Y501" i="8"/>
  <c r="Y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2" i="8"/>
  <c r="X3" i="8"/>
  <c r="Z3" i="8" s="1"/>
  <c r="X4" i="8"/>
  <c r="Z4" i="8" s="1"/>
  <c r="X5" i="8"/>
  <c r="Z5" i="8" s="1"/>
  <c r="X6" i="8"/>
  <c r="Z6" i="8" s="1"/>
  <c r="X7" i="8"/>
  <c r="Z7" i="8" s="1"/>
  <c r="X8" i="8"/>
  <c r="Z8" i="8" s="1"/>
  <c r="X9" i="8"/>
  <c r="Z9" i="8" s="1"/>
  <c r="X10" i="8"/>
  <c r="Z10" i="8" s="1"/>
  <c r="X11" i="8"/>
  <c r="Z11" i="8" s="1"/>
  <c r="X12" i="8"/>
  <c r="Z12" i="8" s="1"/>
  <c r="X13" i="8"/>
  <c r="Z13" i="8" s="1"/>
  <c r="X14" i="8"/>
  <c r="Z14" i="8" s="1"/>
  <c r="X15" i="8"/>
  <c r="Z15" i="8" s="1"/>
  <c r="X16" i="8"/>
  <c r="Z16" i="8" s="1"/>
  <c r="X17" i="8"/>
  <c r="Z17" i="8" s="1"/>
  <c r="X18" i="8"/>
  <c r="Z18" i="8" s="1"/>
  <c r="X19" i="8"/>
  <c r="Z19" i="8" s="1"/>
  <c r="X20" i="8"/>
  <c r="Z20" i="8" s="1"/>
  <c r="X21" i="8"/>
  <c r="Z21" i="8" s="1"/>
  <c r="X22" i="8"/>
  <c r="Z22" i="8" s="1"/>
  <c r="X23" i="8"/>
  <c r="Z23" i="8" s="1"/>
  <c r="X24" i="8"/>
  <c r="Z24" i="8" s="1"/>
  <c r="X25" i="8"/>
  <c r="Z25" i="8" s="1"/>
  <c r="X26" i="8"/>
  <c r="Z26" i="8" s="1"/>
  <c r="X27" i="8"/>
  <c r="Z27" i="8" s="1"/>
  <c r="X28" i="8"/>
  <c r="Z28" i="8" s="1"/>
  <c r="X29" i="8"/>
  <c r="Z29" i="8" s="1"/>
  <c r="X30" i="8"/>
  <c r="Z30" i="8" s="1"/>
  <c r="X31" i="8"/>
  <c r="Z31" i="8" s="1"/>
  <c r="X32" i="8"/>
  <c r="Z32" i="8" s="1"/>
  <c r="X33" i="8"/>
  <c r="Z33" i="8" s="1"/>
  <c r="X34" i="8"/>
  <c r="Z34" i="8" s="1"/>
  <c r="X35" i="8"/>
  <c r="Z35" i="8" s="1"/>
  <c r="X36" i="8"/>
  <c r="Z36" i="8" s="1"/>
  <c r="X37" i="8"/>
  <c r="Z37" i="8" s="1"/>
  <c r="X38" i="8"/>
  <c r="Z38" i="8" s="1"/>
  <c r="X39" i="8"/>
  <c r="Z39" i="8" s="1"/>
  <c r="X40" i="8"/>
  <c r="Z40" i="8" s="1"/>
  <c r="X41" i="8"/>
  <c r="Z41" i="8" s="1"/>
  <c r="X42" i="8"/>
  <c r="Z42" i="8" s="1"/>
  <c r="X43" i="8"/>
  <c r="Z43" i="8" s="1"/>
  <c r="X44" i="8"/>
  <c r="Z44" i="8" s="1"/>
  <c r="X45" i="8"/>
  <c r="Z45" i="8" s="1"/>
  <c r="X46" i="8"/>
  <c r="Z46" i="8" s="1"/>
  <c r="X47" i="8"/>
  <c r="Z47" i="8" s="1"/>
  <c r="X48" i="8"/>
  <c r="Z48" i="8" s="1"/>
  <c r="X49" i="8"/>
  <c r="Z49" i="8" s="1"/>
  <c r="X50" i="8"/>
  <c r="Z50" i="8" s="1"/>
  <c r="X51" i="8"/>
  <c r="Z51" i="8" s="1"/>
  <c r="X52" i="8"/>
  <c r="Z52" i="8" s="1"/>
  <c r="X53" i="8"/>
  <c r="Z53" i="8" s="1"/>
  <c r="X54" i="8"/>
  <c r="Z54" i="8" s="1"/>
  <c r="X55" i="8"/>
  <c r="Z55" i="8" s="1"/>
  <c r="X56" i="8"/>
  <c r="Z56" i="8" s="1"/>
  <c r="X57" i="8"/>
  <c r="Z57" i="8" s="1"/>
  <c r="X58" i="8"/>
  <c r="Z58" i="8" s="1"/>
  <c r="X59" i="8"/>
  <c r="Z59" i="8" s="1"/>
  <c r="X60" i="8"/>
  <c r="Z60" i="8" s="1"/>
  <c r="X61" i="8"/>
  <c r="Z61" i="8" s="1"/>
  <c r="X62" i="8"/>
  <c r="Z62" i="8" s="1"/>
  <c r="X63" i="8"/>
  <c r="Z63" i="8" s="1"/>
  <c r="X64" i="8"/>
  <c r="Z64" i="8" s="1"/>
  <c r="X65" i="8"/>
  <c r="Z65" i="8" s="1"/>
  <c r="X66" i="8"/>
  <c r="Z66" i="8" s="1"/>
  <c r="X67" i="8"/>
  <c r="Z67" i="8" s="1"/>
  <c r="X68" i="8"/>
  <c r="Z68" i="8" s="1"/>
  <c r="X69" i="8"/>
  <c r="Z69" i="8" s="1"/>
  <c r="X70" i="8"/>
  <c r="Z70" i="8" s="1"/>
  <c r="X71" i="8"/>
  <c r="Z71" i="8" s="1"/>
  <c r="X72" i="8"/>
  <c r="Z72" i="8" s="1"/>
  <c r="X73" i="8"/>
  <c r="Z73" i="8" s="1"/>
  <c r="X74" i="8"/>
  <c r="Z74" i="8" s="1"/>
  <c r="X75" i="8"/>
  <c r="Z75" i="8" s="1"/>
  <c r="X76" i="8"/>
  <c r="Z76" i="8" s="1"/>
  <c r="X77" i="8"/>
  <c r="Z77" i="8" s="1"/>
  <c r="X78" i="8"/>
  <c r="Z78" i="8" s="1"/>
  <c r="X79" i="8"/>
  <c r="Z79" i="8" s="1"/>
  <c r="X80" i="8"/>
  <c r="Z80" i="8" s="1"/>
  <c r="X81" i="8"/>
  <c r="Z81" i="8" s="1"/>
  <c r="X82" i="8"/>
  <c r="Z82" i="8" s="1"/>
  <c r="X83" i="8"/>
  <c r="Z83" i="8" s="1"/>
  <c r="X84" i="8"/>
  <c r="Z84" i="8" s="1"/>
  <c r="X85" i="8"/>
  <c r="Z85" i="8" s="1"/>
  <c r="X86" i="8"/>
  <c r="Z86" i="8" s="1"/>
  <c r="X87" i="8"/>
  <c r="Z87" i="8" s="1"/>
  <c r="X88" i="8"/>
  <c r="Z88" i="8" s="1"/>
  <c r="X89" i="8"/>
  <c r="Z89" i="8" s="1"/>
  <c r="X90" i="8"/>
  <c r="Z90" i="8" s="1"/>
  <c r="X91" i="8"/>
  <c r="Z91" i="8" s="1"/>
  <c r="X92" i="8"/>
  <c r="Z92" i="8" s="1"/>
  <c r="X93" i="8"/>
  <c r="Z93" i="8" s="1"/>
  <c r="X94" i="8"/>
  <c r="Z94" i="8" s="1"/>
  <c r="X95" i="8"/>
  <c r="Z95" i="8" s="1"/>
  <c r="X96" i="8"/>
  <c r="Z96" i="8" s="1"/>
  <c r="X97" i="8"/>
  <c r="Z97" i="8" s="1"/>
  <c r="X98" i="8"/>
  <c r="Z98" i="8" s="1"/>
  <c r="X99" i="8"/>
  <c r="Z99" i="8" s="1"/>
  <c r="X100" i="8"/>
  <c r="Z100" i="8" s="1"/>
  <c r="X101" i="8"/>
  <c r="Z101" i="8" s="1"/>
  <c r="X102" i="8"/>
  <c r="Z102" i="8" s="1"/>
  <c r="X103" i="8"/>
  <c r="Z103" i="8" s="1"/>
  <c r="X104" i="8"/>
  <c r="Z104" i="8" s="1"/>
  <c r="X105" i="8"/>
  <c r="Z105" i="8" s="1"/>
  <c r="X106" i="8"/>
  <c r="Z106" i="8" s="1"/>
  <c r="X107" i="8"/>
  <c r="Z107" i="8" s="1"/>
  <c r="X108" i="8"/>
  <c r="Z108" i="8" s="1"/>
  <c r="X109" i="8"/>
  <c r="Z109" i="8" s="1"/>
  <c r="X110" i="8"/>
  <c r="Z110" i="8" s="1"/>
  <c r="X111" i="8"/>
  <c r="Z111" i="8" s="1"/>
  <c r="X112" i="8"/>
  <c r="Z112" i="8" s="1"/>
  <c r="X113" i="8"/>
  <c r="Z113" i="8" s="1"/>
  <c r="X114" i="8"/>
  <c r="Z114" i="8" s="1"/>
  <c r="X115" i="8"/>
  <c r="Z115" i="8" s="1"/>
  <c r="X116" i="8"/>
  <c r="Z116" i="8" s="1"/>
  <c r="X117" i="8"/>
  <c r="Z117" i="8" s="1"/>
  <c r="X118" i="8"/>
  <c r="Z118" i="8" s="1"/>
  <c r="X119" i="8"/>
  <c r="Z119" i="8" s="1"/>
  <c r="X120" i="8"/>
  <c r="Z120" i="8" s="1"/>
  <c r="X121" i="8"/>
  <c r="Z121" i="8" s="1"/>
  <c r="X122" i="8"/>
  <c r="Z122" i="8" s="1"/>
  <c r="X123" i="8"/>
  <c r="Z123" i="8" s="1"/>
  <c r="X124" i="8"/>
  <c r="Z124" i="8" s="1"/>
  <c r="X125" i="8"/>
  <c r="Z125" i="8" s="1"/>
  <c r="X126" i="8"/>
  <c r="Z126" i="8" s="1"/>
  <c r="X127" i="8"/>
  <c r="Z127" i="8" s="1"/>
  <c r="X128" i="8"/>
  <c r="Z128" i="8" s="1"/>
  <c r="X129" i="8"/>
  <c r="Z129" i="8" s="1"/>
  <c r="X130" i="8"/>
  <c r="Z130" i="8" s="1"/>
  <c r="X131" i="8"/>
  <c r="Z131" i="8" s="1"/>
  <c r="X132" i="8"/>
  <c r="Z132" i="8" s="1"/>
  <c r="X133" i="8"/>
  <c r="Z133" i="8" s="1"/>
  <c r="X134" i="8"/>
  <c r="Z134" i="8" s="1"/>
  <c r="X135" i="8"/>
  <c r="Z135" i="8" s="1"/>
  <c r="X136" i="8"/>
  <c r="Z136" i="8" s="1"/>
  <c r="X137" i="8"/>
  <c r="Z137" i="8" s="1"/>
  <c r="X138" i="8"/>
  <c r="Z138" i="8" s="1"/>
  <c r="X139" i="8"/>
  <c r="Z139" i="8" s="1"/>
  <c r="X140" i="8"/>
  <c r="Z140" i="8" s="1"/>
  <c r="X141" i="8"/>
  <c r="Z141" i="8" s="1"/>
  <c r="X142" i="8"/>
  <c r="Z142" i="8" s="1"/>
  <c r="X143" i="8"/>
  <c r="Z143" i="8" s="1"/>
  <c r="X144" i="8"/>
  <c r="Z144" i="8" s="1"/>
  <c r="X145" i="8"/>
  <c r="Z145" i="8" s="1"/>
  <c r="X146" i="8"/>
  <c r="Z146" i="8" s="1"/>
  <c r="X147" i="8"/>
  <c r="Z147" i="8" s="1"/>
  <c r="X148" i="8"/>
  <c r="Z148" i="8" s="1"/>
  <c r="X149" i="8"/>
  <c r="Z149" i="8" s="1"/>
  <c r="X150" i="8"/>
  <c r="Z150" i="8" s="1"/>
  <c r="X151" i="8"/>
  <c r="Z151" i="8" s="1"/>
  <c r="X152" i="8"/>
  <c r="Z152" i="8" s="1"/>
  <c r="X153" i="8"/>
  <c r="Z153" i="8" s="1"/>
  <c r="X154" i="8"/>
  <c r="Z154" i="8" s="1"/>
  <c r="X155" i="8"/>
  <c r="Z155" i="8" s="1"/>
  <c r="X156" i="8"/>
  <c r="Z156" i="8" s="1"/>
  <c r="X157" i="8"/>
  <c r="Z157" i="8" s="1"/>
  <c r="X158" i="8"/>
  <c r="Z158" i="8" s="1"/>
  <c r="X159" i="8"/>
  <c r="Z159" i="8" s="1"/>
  <c r="X160" i="8"/>
  <c r="Z160" i="8" s="1"/>
  <c r="X161" i="8"/>
  <c r="Z161" i="8" s="1"/>
  <c r="X162" i="8"/>
  <c r="Z162" i="8" s="1"/>
  <c r="X163" i="8"/>
  <c r="Z163" i="8" s="1"/>
  <c r="X164" i="8"/>
  <c r="Z164" i="8" s="1"/>
  <c r="X165" i="8"/>
  <c r="Z165" i="8" s="1"/>
  <c r="X166" i="8"/>
  <c r="Z166" i="8" s="1"/>
  <c r="X167" i="8"/>
  <c r="Z167" i="8" s="1"/>
  <c r="X168" i="8"/>
  <c r="Z168" i="8" s="1"/>
  <c r="X169" i="8"/>
  <c r="Z169" i="8" s="1"/>
  <c r="X170" i="8"/>
  <c r="Z170" i="8" s="1"/>
  <c r="X171" i="8"/>
  <c r="Z171" i="8" s="1"/>
  <c r="X172" i="8"/>
  <c r="Z172" i="8" s="1"/>
  <c r="X173" i="8"/>
  <c r="Z173" i="8" s="1"/>
  <c r="X174" i="8"/>
  <c r="Z174" i="8" s="1"/>
  <c r="X175" i="8"/>
  <c r="Z175" i="8" s="1"/>
  <c r="X176" i="8"/>
  <c r="Z176" i="8" s="1"/>
  <c r="X177" i="8"/>
  <c r="Z177" i="8" s="1"/>
  <c r="X178" i="8"/>
  <c r="Z178" i="8" s="1"/>
  <c r="X179" i="8"/>
  <c r="Z179" i="8" s="1"/>
  <c r="X180" i="8"/>
  <c r="Z180" i="8" s="1"/>
  <c r="X181" i="8"/>
  <c r="Z181" i="8" s="1"/>
  <c r="X182" i="8"/>
  <c r="Z182" i="8" s="1"/>
  <c r="X183" i="8"/>
  <c r="Z183" i="8" s="1"/>
  <c r="X184" i="8"/>
  <c r="Z184" i="8" s="1"/>
  <c r="X185" i="8"/>
  <c r="Z185" i="8" s="1"/>
  <c r="X186" i="8"/>
  <c r="Z186" i="8" s="1"/>
  <c r="X187" i="8"/>
  <c r="Z187" i="8" s="1"/>
  <c r="X188" i="8"/>
  <c r="Z188" i="8" s="1"/>
  <c r="X189" i="8"/>
  <c r="Z189" i="8" s="1"/>
  <c r="X190" i="8"/>
  <c r="Z190" i="8" s="1"/>
  <c r="X191" i="8"/>
  <c r="Z191" i="8" s="1"/>
  <c r="X192" i="8"/>
  <c r="Z192" i="8" s="1"/>
  <c r="X193" i="8"/>
  <c r="Z193" i="8" s="1"/>
  <c r="X194" i="8"/>
  <c r="Z194" i="8" s="1"/>
  <c r="X195" i="8"/>
  <c r="Z195" i="8" s="1"/>
  <c r="X196" i="8"/>
  <c r="Z196" i="8" s="1"/>
  <c r="X197" i="8"/>
  <c r="Z197" i="8" s="1"/>
  <c r="X198" i="8"/>
  <c r="Z198" i="8" s="1"/>
  <c r="X199" i="8"/>
  <c r="Z199" i="8" s="1"/>
  <c r="X200" i="8"/>
  <c r="Z200" i="8" s="1"/>
  <c r="X201" i="8"/>
  <c r="Z201" i="8" s="1"/>
  <c r="X202" i="8"/>
  <c r="Z202" i="8" s="1"/>
  <c r="X203" i="8"/>
  <c r="Z203" i="8" s="1"/>
  <c r="X204" i="8"/>
  <c r="Z204" i="8" s="1"/>
  <c r="X205" i="8"/>
  <c r="Z205" i="8" s="1"/>
  <c r="X206" i="8"/>
  <c r="Z206" i="8" s="1"/>
  <c r="X207" i="8"/>
  <c r="Z207" i="8" s="1"/>
  <c r="X208" i="8"/>
  <c r="Z208" i="8" s="1"/>
  <c r="X209" i="8"/>
  <c r="Z209" i="8" s="1"/>
  <c r="X210" i="8"/>
  <c r="Z210" i="8" s="1"/>
  <c r="X211" i="8"/>
  <c r="Z211" i="8" s="1"/>
  <c r="X212" i="8"/>
  <c r="Z212" i="8" s="1"/>
  <c r="X213" i="8"/>
  <c r="Z213" i="8" s="1"/>
  <c r="X214" i="8"/>
  <c r="Z214" i="8" s="1"/>
  <c r="X215" i="8"/>
  <c r="Z215" i="8" s="1"/>
  <c r="X216" i="8"/>
  <c r="Z216" i="8" s="1"/>
  <c r="X217" i="8"/>
  <c r="Z217" i="8" s="1"/>
  <c r="X218" i="8"/>
  <c r="Z218" i="8" s="1"/>
  <c r="X219" i="8"/>
  <c r="Z219" i="8" s="1"/>
  <c r="X220" i="8"/>
  <c r="Z220" i="8" s="1"/>
  <c r="X221" i="8"/>
  <c r="Z221" i="8" s="1"/>
  <c r="X222" i="8"/>
  <c r="Z222" i="8" s="1"/>
  <c r="X223" i="8"/>
  <c r="Z223" i="8" s="1"/>
  <c r="X224" i="8"/>
  <c r="Z224" i="8" s="1"/>
  <c r="X225" i="8"/>
  <c r="Z225" i="8" s="1"/>
  <c r="X226" i="8"/>
  <c r="Z226" i="8" s="1"/>
  <c r="X227" i="8"/>
  <c r="Z227" i="8" s="1"/>
  <c r="X228" i="8"/>
  <c r="Z228" i="8" s="1"/>
  <c r="X229" i="8"/>
  <c r="Z229" i="8" s="1"/>
  <c r="X230" i="8"/>
  <c r="Z230" i="8" s="1"/>
  <c r="X231" i="8"/>
  <c r="Z231" i="8" s="1"/>
  <c r="X232" i="8"/>
  <c r="Z232" i="8" s="1"/>
  <c r="X233" i="8"/>
  <c r="Z233" i="8" s="1"/>
  <c r="X234" i="8"/>
  <c r="Z234" i="8" s="1"/>
  <c r="X235" i="8"/>
  <c r="Z235" i="8" s="1"/>
  <c r="X236" i="8"/>
  <c r="Z236" i="8" s="1"/>
  <c r="X237" i="8"/>
  <c r="Z237" i="8" s="1"/>
  <c r="X238" i="8"/>
  <c r="Z238" i="8" s="1"/>
  <c r="X239" i="8"/>
  <c r="Z239" i="8" s="1"/>
  <c r="X240" i="8"/>
  <c r="Z240" i="8" s="1"/>
  <c r="X241" i="8"/>
  <c r="Z241" i="8" s="1"/>
  <c r="X242" i="8"/>
  <c r="Z242" i="8" s="1"/>
  <c r="X243" i="8"/>
  <c r="Z243" i="8" s="1"/>
  <c r="X244" i="8"/>
  <c r="Z244" i="8" s="1"/>
  <c r="X245" i="8"/>
  <c r="Z245" i="8" s="1"/>
  <c r="X246" i="8"/>
  <c r="Z246" i="8" s="1"/>
  <c r="X247" i="8"/>
  <c r="Z247" i="8" s="1"/>
  <c r="X248" i="8"/>
  <c r="Z248" i="8" s="1"/>
  <c r="X249" i="8"/>
  <c r="Z249" i="8" s="1"/>
  <c r="X250" i="8"/>
  <c r="Z250" i="8" s="1"/>
  <c r="X251" i="8"/>
  <c r="Z251" i="8" s="1"/>
  <c r="X252" i="8"/>
  <c r="Z252" i="8" s="1"/>
  <c r="X253" i="8"/>
  <c r="Z253" i="8" s="1"/>
  <c r="X254" i="8"/>
  <c r="Z254" i="8" s="1"/>
  <c r="X255" i="8"/>
  <c r="Z255" i="8" s="1"/>
  <c r="X256" i="8"/>
  <c r="Z256" i="8" s="1"/>
  <c r="X257" i="8"/>
  <c r="Z257" i="8" s="1"/>
  <c r="X258" i="8"/>
  <c r="Z258" i="8" s="1"/>
  <c r="X259" i="8"/>
  <c r="Z259" i="8" s="1"/>
  <c r="X260" i="8"/>
  <c r="Z260" i="8" s="1"/>
  <c r="X261" i="8"/>
  <c r="Z261" i="8" s="1"/>
  <c r="X262" i="8"/>
  <c r="Z262" i="8" s="1"/>
  <c r="X263" i="8"/>
  <c r="Z263" i="8" s="1"/>
  <c r="X264" i="8"/>
  <c r="Z264" i="8" s="1"/>
  <c r="X265" i="8"/>
  <c r="Z265" i="8" s="1"/>
  <c r="X266" i="8"/>
  <c r="Z266" i="8" s="1"/>
  <c r="X267" i="8"/>
  <c r="Z267" i="8" s="1"/>
  <c r="X268" i="8"/>
  <c r="Z268" i="8" s="1"/>
  <c r="X269" i="8"/>
  <c r="Z269" i="8" s="1"/>
  <c r="X270" i="8"/>
  <c r="Z270" i="8" s="1"/>
  <c r="X271" i="8"/>
  <c r="Z271" i="8" s="1"/>
  <c r="X272" i="8"/>
  <c r="Z272" i="8" s="1"/>
  <c r="X273" i="8"/>
  <c r="Z273" i="8" s="1"/>
  <c r="X274" i="8"/>
  <c r="Z274" i="8" s="1"/>
  <c r="X275" i="8"/>
  <c r="Z275" i="8" s="1"/>
  <c r="X276" i="8"/>
  <c r="Z276" i="8" s="1"/>
  <c r="X277" i="8"/>
  <c r="Z277" i="8" s="1"/>
  <c r="X278" i="8"/>
  <c r="Z278" i="8" s="1"/>
  <c r="X279" i="8"/>
  <c r="Z279" i="8" s="1"/>
  <c r="X280" i="8"/>
  <c r="Z280" i="8" s="1"/>
  <c r="X281" i="8"/>
  <c r="Z281" i="8" s="1"/>
  <c r="X282" i="8"/>
  <c r="Z282" i="8" s="1"/>
  <c r="X283" i="8"/>
  <c r="Z283" i="8" s="1"/>
  <c r="X284" i="8"/>
  <c r="Z284" i="8" s="1"/>
  <c r="X285" i="8"/>
  <c r="Z285" i="8" s="1"/>
  <c r="X286" i="8"/>
  <c r="Z286" i="8" s="1"/>
  <c r="X287" i="8"/>
  <c r="Z287" i="8" s="1"/>
  <c r="X288" i="8"/>
  <c r="Z288" i="8" s="1"/>
  <c r="X289" i="8"/>
  <c r="Z289" i="8" s="1"/>
  <c r="X290" i="8"/>
  <c r="Z290" i="8" s="1"/>
  <c r="X291" i="8"/>
  <c r="Z291" i="8" s="1"/>
  <c r="X292" i="8"/>
  <c r="Z292" i="8" s="1"/>
  <c r="X293" i="8"/>
  <c r="Z293" i="8" s="1"/>
  <c r="X294" i="8"/>
  <c r="Z294" i="8" s="1"/>
  <c r="X295" i="8"/>
  <c r="Z295" i="8" s="1"/>
  <c r="X296" i="8"/>
  <c r="Z296" i="8" s="1"/>
  <c r="X297" i="8"/>
  <c r="Z297" i="8" s="1"/>
  <c r="X298" i="8"/>
  <c r="Z298" i="8" s="1"/>
  <c r="X299" i="8"/>
  <c r="Z299" i="8" s="1"/>
  <c r="X300" i="8"/>
  <c r="Z300" i="8" s="1"/>
  <c r="X301" i="8"/>
  <c r="Z301" i="8" s="1"/>
  <c r="X302" i="8"/>
  <c r="Z302" i="8" s="1"/>
  <c r="X303" i="8"/>
  <c r="Z303" i="8" s="1"/>
  <c r="X304" i="8"/>
  <c r="Z304" i="8" s="1"/>
  <c r="X305" i="8"/>
  <c r="Z305" i="8" s="1"/>
  <c r="X306" i="8"/>
  <c r="Z306" i="8" s="1"/>
  <c r="X307" i="8"/>
  <c r="Z307" i="8" s="1"/>
  <c r="X308" i="8"/>
  <c r="Z308" i="8" s="1"/>
  <c r="X309" i="8"/>
  <c r="Z309" i="8" s="1"/>
  <c r="X310" i="8"/>
  <c r="Z310" i="8" s="1"/>
  <c r="X311" i="8"/>
  <c r="Z311" i="8" s="1"/>
  <c r="X312" i="8"/>
  <c r="Z312" i="8" s="1"/>
  <c r="X313" i="8"/>
  <c r="Z313" i="8" s="1"/>
  <c r="X314" i="8"/>
  <c r="Z314" i="8" s="1"/>
  <c r="X315" i="8"/>
  <c r="Z315" i="8" s="1"/>
  <c r="X316" i="8"/>
  <c r="Z316" i="8" s="1"/>
  <c r="X317" i="8"/>
  <c r="Z317" i="8" s="1"/>
  <c r="X318" i="8"/>
  <c r="Z318" i="8" s="1"/>
  <c r="X319" i="8"/>
  <c r="Z319" i="8" s="1"/>
  <c r="X320" i="8"/>
  <c r="Z320" i="8" s="1"/>
  <c r="X321" i="8"/>
  <c r="Z321" i="8" s="1"/>
  <c r="X322" i="8"/>
  <c r="Z322" i="8" s="1"/>
  <c r="X323" i="8"/>
  <c r="Z323" i="8" s="1"/>
  <c r="X324" i="8"/>
  <c r="Z324" i="8" s="1"/>
  <c r="X325" i="8"/>
  <c r="Z325" i="8" s="1"/>
  <c r="X326" i="8"/>
  <c r="Z326" i="8" s="1"/>
  <c r="X327" i="8"/>
  <c r="Z327" i="8" s="1"/>
  <c r="X328" i="8"/>
  <c r="Z328" i="8" s="1"/>
  <c r="X329" i="8"/>
  <c r="Z329" i="8" s="1"/>
  <c r="X330" i="8"/>
  <c r="Z330" i="8" s="1"/>
  <c r="X331" i="8"/>
  <c r="Z331" i="8" s="1"/>
  <c r="X332" i="8"/>
  <c r="Z332" i="8" s="1"/>
  <c r="X333" i="8"/>
  <c r="Z333" i="8" s="1"/>
  <c r="X334" i="8"/>
  <c r="Z334" i="8" s="1"/>
  <c r="X335" i="8"/>
  <c r="Z335" i="8" s="1"/>
  <c r="X336" i="8"/>
  <c r="Z336" i="8" s="1"/>
  <c r="X337" i="8"/>
  <c r="Z337" i="8" s="1"/>
  <c r="X338" i="8"/>
  <c r="Z338" i="8" s="1"/>
  <c r="X339" i="8"/>
  <c r="Z339" i="8" s="1"/>
  <c r="X340" i="8"/>
  <c r="Z340" i="8" s="1"/>
  <c r="X341" i="8"/>
  <c r="Z341" i="8" s="1"/>
  <c r="X342" i="8"/>
  <c r="Z342" i="8" s="1"/>
  <c r="X343" i="8"/>
  <c r="Z343" i="8" s="1"/>
  <c r="X344" i="8"/>
  <c r="Z344" i="8" s="1"/>
  <c r="X345" i="8"/>
  <c r="Z345" i="8" s="1"/>
  <c r="X346" i="8"/>
  <c r="Z346" i="8" s="1"/>
  <c r="X347" i="8"/>
  <c r="Z347" i="8" s="1"/>
  <c r="X348" i="8"/>
  <c r="Z348" i="8" s="1"/>
  <c r="X349" i="8"/>
  <c r="Z349" i="8" s="1"/>
  <c r="X350" i="8"/>
  <c r="Z350" i="8" s="1"/>
  <c r="X351" i="8"/>
  <c r="Z351" i="8" s="1"/>
  <c r="X352" i="8"/>
  <c r="Z352" i="8" s="1"/>
  <c r="X353" i="8"/>
  <c r="Z353" i="8" s="1"/>
  <c r="X354" i="8"/>
  <c r="Z354" i="8" s="1"/>
  <c r="X355" i="8"/>
  <c r="Z355" i="8" s="1"/>
  <c r="X356" i="8"/>
  <c r="Z356" i="8" s="1"/>
  <c r="X357" i="8"/>
  <c r="Z357" i="8" s="1"/>
  <c r="X358" i="8"/>
  <c r="Z358" i="8" s="1"/>
  <c r="X359" i="8"/>
  <c r="Z359" i="8" s="1"/>
  <c r="X360" i="8"/>
  <c r="Z360" i="8" s="1"/>
  <c r="X361" i="8"/>
  <c r="Z361" i="8" s="1"/>
  <c r="X362" i="8"/>
  <c r="Z362" i="8" s="1"/>
  <c r="X363" i="8"/>
  <c r="Z363" i="8" s="1"/>
  <c r="X364" i="8"/>
  <c r="Z364" i="8" s="1"/>
  <c r="X365" i="8"/>
  <c r="Z365" i="8" s="1"/>
  <c r="X366" i="8"/>
  <c r="Z366" i="8" s="1"/>
  <c r="X367" i="8"/>
  <c r="Z367" i="8" s="1"/>
  <c r="X368" i="8"/>
  <c r="Z368" i="8" s="1"/>
  <c r="X369" i="8"/>
  <c r="Z369" i="8" s="1"/>
  <c r="X370" i="8"/>
  <c r="Z370" i="8" s="1"/>
  <c r="X371" i="8"/>
  <c r="Z371" i="8" s="1"/>
  <c r="X372" i="8"/>
  <c r="Z372" i="8" s="1"/>
  <c r="X373" i="8"/>
  <c r="Z373" i="8" s="1"/>
  <c r="X374" i="8"/>
  <c r="Z374" i="8" s="1"/>
  <c r="X375" i="8"/>
  <c r="Z375" i="8" s="1"/>
  <c r="X376" i="8"/>
  <c r="Z376" i="8" s="1"/>
  <c r="X377" i="8"/>
  <c r="Z377" i="8" s="1"/>
  <c r="X378" i="8"/>
  <c r="Z378" i="8" s="1"/>
  <c r="X379" i="8"/>
  <c r="Z379" i="8" s="1"/>
  <c r="X380" i="8"/>
  <c r="Z380" i="8" s="1"/>
  <c r="X381" i="8"/>
  <c r="Z381" i="8" s="1"/>
  <c r="X382" i="8"/>
  <c r="Z382" i="8" s="1"/>
  <c r="X383" i="8"/>
  <c r="Z383" i="8" s="1"/>
  <c r="X384" i="8"/>
  <c r="Z384" i="8" s="1"/>
  <c r="X385" i="8"/>
  <c r="Z385" i="8" s="1"/>
  <c r="X386" i="8"/>
  <c r="Z386" i="8" s="1"/>
  <c r="X387" i="8"/>
  <c r="Z387" i="8" s="1"/>
  <c r="X388" i="8"/>
  <c r="Z388" i="8" s="1"/>
  <c r="X389" i="8"/>
  <c r="Z389" i="8" s="1"/>
  <c r="X390" i="8"/>
  <c r="Z390" i="8" s="1"/>
  <c r="X391" i="8"/>
  <c r="Z391" i="8" s="1"/>
  <c r="X392" i="8"/>
  <c r="Z392" i="8" s="1"/>
  <c r="X393" i="8"/>
  <c r="Z393" i="8" s="1"/>
  <c r="X394" i="8"/>
  <c r="Z394" i="8" s="1"/>
  <c r="X395" i="8"/>
  <c r="Z395" i="8" s="1"/>
  <c r="X396" i="8"/>
  <c r="Z396" i="8" s="1"/>
  <c r="X397" i="8"/>
  <c r="Z397" i="8" s="1"/>
  <c r="X398" i="8"/>
  <c r="Z398" i="8" s="1"/>
  <c r="X399" i="8"/>
  <c r="Z399" i="8" s="1"/>
  <c r="X400" i="8"/>
  <c r="Z400" i="8" s="1"/>
  <c r="X401" i="8"/>
  <c r="Z401" i="8" s="1"/>
  <c r="X402" i="8"/>
  <c r="Z402" i="8" s="1"/>
  <c r="X403" i="8"/>
  <c r="Z403" i="8" s="1"/>
  <c r="X404" i="8"/>
  <c r="Z404" i="8" s="1"/>
  <c r="X405" i="8"/>
  <c r="Z405" i="8" s="1"/>
  <c r="X406" i="8"/>
  <c r="Z406" i="8" s="1"/>
  <c r="X407" i="8"/>
  <c r="Z407" i="8" s="1"/>
  <c r="X408" i="8"/>
  <c r="Z408" i="8" s="1"/>
  <c r="X409" i="8"/>
  <c r="Z409" i="8" s="1"/>
  <c r="X410" i="8"/>
  <c r="Z410" i="8" s="1"/>
  <c r="X411" i="8"/>
  <c r="Z411" i="8" s="1"/>
  <c r="X412" i="8"/>
  <c r="Z412" i="8" s="1"/>
  <c r="X413" i="8"/>
  <c r="Z413" i="8" s="1"/>
  <c r="X414" i="8"/>
  <c r="Z414" i="8" s="1"/>
  <c r="X415" i="8"/>
  <c r="Z415" i="8" s="1"/>
  <c r="X416" i="8"/>
  <c r="Z416" i="8" s="1"/>
  <c r="X417" i="8"/>
  <c r="Z417" i="8" s="1"/>
  <c r="X418" i="8"/>
  <c r="Z418" i="8" s="1"/>
  <c r="X419" i="8"/>
  <c r="Z419" i="8" s="1"/>
  <c r="X420" i="8"/>
  <c r="Z420" i="8" s="1"/>
  <c r="X421" i="8"/>
  <c r="Z421" i="8" s="1"/>
  <c r="X422" i="8"/>
  <c r="Z422" i="8" s="1"/>
  <c r="X423" i="8"/>
  <c r="Z423" i="8" s="1"/>
  <c r="X424" i="8"/>
  <c r="Z424" i="8" s="1"/>
  <c r="X425" i="8"/>
  <c r="Z425" i="8" s="1"/>
  <c r="X426" i="8"/>
  <c r="Z426" i="8" s="1"/>
  <c r="X427" i="8"/>
  <c r="Z427" i="8" s="1"/>
  <c r="X428" i="8"/>
  <c r="Z428" i="8" s="1"/>
  <c r="X429" i="8"/>
  <c r="Z429" i="8" s="1"/>
  <c r="X430" i="8"/>
  <c r="Z430" i="8" s="1"/>
  <c r="X431" i="8"/>
  <c r="Z431" i="8" s="1"/>
  <c r="X432" i="8"/>
  <c r="Z432" i="8" s="1"/>
  <c r="X433" i="8"/>
  <c r="Z433" i="8" s="1"/>
  <c r="X434" i="8"/>
  <c r="Z434" i="8" s="1"/>
  <c r="X435" i="8"/>
  <c r="Z435" i="8" s="1"/>
  <c r="X436" i="8"/>
  <c r="Z436" i="8" s="1"/>
  <c r="X437" i="8"/>
  <c r="Z437" i="8" s="1"/>
  <c r="X438" i="8"/>
  <c r="Z438" i="8" s="1"/>
  <c r="X439" i="8"/>
  <c r="Z439" i="8" s="1"/>
  <c r="X440" i="8"/>
  <c r="Z440" i="8" s="1"/>
  <c r="X441" i="8"/>
  <c r="Z441" i="8" s="1"/>
  <c r="X442" i="8"/>
  <c r="Z442" i="8" s="1"/>
  <c r="X443" i="8"/>
  <c r="Z443" i="8" s="1"/>
  <c r="X444" i="8"/>
  <c r="Z444" i="8" s="1"/>
  <c r="X445" i="8"/>
  <c r="Z445" i="8" s="1"/>
  <c r="X446" i="8"/>
  <c r="Z446" i="8" s="1"/>
  <c r="X447" i="8"/>
  <c r="Z447" i="8" s="1"/>
  <c r="X448" i="8"/>
  <c r="Z448" i="8" s="1"/>
  <c r="X449" i="8"/>
  <c r="Z449" i="8" s="1"/>
  <c r="X450" i="8"/>
  <c r="Z450" i="8" s="1"/>
  <c r="X451" i="8"/>
  <c r="Z451" i="8" s="1"/>
  <c r="X452" i="8"/>
  <c r="Z452" i="8" s="1"/>
  <c r="X453" i="8"/>
  <c r="Z453" i="8" s="1"/>
  <c r="X454" i="8"/>
  <c r="Z454" i="8" s="1"/>
  <c r="X455" i="8"/>
  <c r="Z455" i="8" s="1"/>
  <c r="X456" i="8"/>
  <c r="Z456" i="8" s="1"/>
  <c r="X457" i="8"/>
  <c r="Z457" i="8" s="1"/>
  <c r="X458" i="8"/>
  <c r="Z458" i="8" s="1"/>
  <c r="X459" i="8"/>
  <c r="Z459" i="8" s="1"/>
  <c r="X460" i="8"/>
  <c r="Z460" i="8" s="1"/>
  <c r="X461" i="8"/>
  <c r="Z461" i="8" s="1"/>
  <c r="X462" i="8"/>
  <c r="Z462" i="8" s="1"/>
  <c r="X463" i="8"/>
  <c r="Z463" i="8" s="1"/>
  <c r="X464" i="8"/>
  <c r="Z464" i="8" s="1"/>
  <c r="X465" i="8"/>
  <c r="Z465" i="8" s="1"/>
  <c r="X466" i="8"/>
  <c r="Z466" i="8" s="1"/>
  <c r="X467" i="8"/>
  <c r="Z467" i="8" s="1"/>
  <c r="X468" i="8"/>
  <c r="Z468" i="8" s="1"/>
  <c r="X469" i="8"/>
  <c r="Z469" i="8" s="1"/>
  <c r="X470" i="8"/>
  <c r="Z470" i="8" s="1"/>
  <c r="X471" i="8"/>
  <c r="Z471" i="8" s="1"/>
  <c r="X472" i="8"/>
  <c r="Z472" i="8" s="1"/>
  <c r="X473" i="8"/>
  <c r="Z473" i="8" s="1"/>
  <c r="X474" i="8"/>
  <c r="Z474" i="8" s="1"/>
  <c r="X475" i="8"/>
  <c r="Z475" i="8" s="1"/>
  <c r="X476" i="8"/>
  <c r="Z476" i="8" s="1"/>
  <c r="X477" i="8"/>
  <c r="Z477" i="8" s="1"/>
  <c r="X478" i="8"/>
  <c r="Z478" i="8" s="1"/>
  <c r="X479" i="8"/>
  <c r="Z479" i="8" s="1"/>
  <c r="X480" i="8"/>
  <c r="Z480" i="8" s="1"/>
  <c r="X481" i="8"/>
  <c r="Z481" i="8" s="1"/>
  <c r="X482" i="8"/>
  <c r="Z482" i="8" s="1"/>
  <c r="X483" i="8"/>
  <c r="Z483" i="8" s="1"/>
  <c r="X484" i="8"/>
  <c r="Z484" i="8" s="1"/>
  <c r="X485" i="8"/>
  <c r="Z485" i="8" s="1"/>
  <c r="X486" i="8"/>
  <c r="Z486" i="8" s="1"/>
  <c r="X487" i="8"/>
  <c r="Z487" i="8" s="1"/>
  <c r="X488" i="8"/>
  <c r="Z488" i="8" s="1"/>
  <c r="X489" i="8"/>
  <c r="Z489" i="8" s="1"/>
  <c r="X490" i="8"/>
  <c r="Z490" i="8" s="1"/>
  <c r="X491" i="8"/>
  <c r="Z491" i="8" s="1"/>
  <c r="X492" i="8"/>
  <c r="Z492" i="8" s="1"/>
  <c r="X493" i="8"/>
  <c r="Z493" i="8" s="1"/>
  <c r="X494" i="8"/>
  <c r="Z494" i="8" s="1"/>
  <c r="X495" i="8"/>
  <c r="Z495" i="8" s="1"/>
  <c r="X496" i="8"/>
  <c r="Z496" i="8" s="1"/>
  <c r="X497" i="8"/>
  <c r="Z497" i="8" s="1"/>
  <c r="X498" i="8"/>
  <c r="Z498" i="8" s="1"/>
  <c r="X499" i="8"/>
  <c r="Z499" i="8" s="1"/>
  <c r="X500" i="8"/>
  <c r="Z500" i="8" s="1"/>
  <c r="X501" i="8"/>
  <c r="Z501" i="8" s="1"/>
  <c r="X2" i="8"/>
  <c r="Z2" i="8" s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2" i="8"/>
  <c r="I9" i="18" s="1"/>
  <c r="AC181" i="8" l="1"/>
  <c r="AC182" i="8"/>
  <c r="AC180" i="8"/>
  <c r="W9" i="18"/>
  <c r="T16" i="18"/>
  <c r="AC183" i="8"/>
  <c r="AC184" i="8"/>
  <c r="AC185" i="8"/>
  <c r="AC186" i="8"/>
  <c r="AC195" i="8"/>
  <c r="AC196" i="8"/>
  <c r="AC197" i="8"/>
  <c r="AC198" i="8"/>
  <c r="AC246" i="8"/>
  <c r="C13" i="18"/>
  <c r="AC187" i="8"/>
  <c r="AC188" i="8"/>
  <c r="AC189" i="8"/>
  <c r="AC190" i="8"/>
  <c r="AC191" i="8"/>
  <c r="AC192" i="8"/>
  <c r="AC193" i="8"/>
  <c r="AC194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330" i="8"/>
  <c r="AC331" i="8"/>
  <c r="AC332" i="8"/>
  <c r="AC333" i="8"/>
  <c r="AC334" i="8"/>
  <c r="AC335" i="8"/>
  <c r="AC336" i="8"/>
  <c r="AC337" i="8"/>
  <c r="AC338" i="8"/>
  <c r="AC339" i="8"/>
  <c r="AC340" i="8"/>
  <c r="AC341" i="8"/>
  <c r="AC342" i="8"/>
  <c r="AC343" i="8"/>
  <c r="AC344" i="8"/>
  <c r="AC345" i="8"/>
  <c r="AC346" i="8"/>
  <c r="AC347" i="8"/>
  <c r="AC348" i="8"/>
  <c r="AC349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7" i="8"/>
  <c r="AC378" i="8"/>
  <c r="AC379" i="8"/>
  <c r="AC380" i="8"/>
  <c r="AC381" i="8"/>
  <c r="AC382" i="8"/>
  <c r="AC383" i="8"/>
  <c r="AC384" i="8"/>
  <c r="AC385" i="8"/>
  <c r="AC386" i="8"/>
  <c r="AC387" i="8"/>
  <c r="AC388" i="8"/>
  <c r="AC389" i="8"/>
  <c r="AC390" i="8"/>
  <c r="AC391" i="8"/>
  <c r="AC392" i="8"/>
  <c r="AC393" i="8"/>
  <c r="AC394" i="8"/>
  <c r="AC395" i="8"/>
  <c r="AC396" i="8"/>
  <c r="AC397" i="8"/>
  <c r="AC398" i="8"/>
  <c r="AC399" i="8"/>
  <c r="AC400" i="8"/>
  <c r="AC401" i="8"/>
  <c r="AC402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424" i="8"/>
  <c r="AC425" i="8"/>
  <c r="AC426" i="8"/>
  <c r="AC427" i="8"/>
  <c r="AC428" i="8"/>
  <c r="AC429" i="8"/>
  <c r="AC430" i="8"/>
  <c r="AC431" i="8"/>
  <c r="AC432" i="8"/>
  <c r="AC433" i="8"/>
  <c r="AC434" i="8"/>
  <c r="AC435" i="8"/>
  <c r="AC436" i="8"/>
  <c r="AC437" i="8"/>
  <c r="AC438" i="8"/>
  <c r="AC439" i="8"/>
  <c r="AC440" i="8"/>
  <c r="AC441" i="8"/>
  <c r="AC442" i="8"/>
  <c r="AC443" i="8"/>
  <c r="AC444" i="8"/>
  <c r="AC445" i="8"/>
  <c r="AC446" i="8"/>
  <c r="AC447" i="8"/>
  <c r="AC448" i="8"/>
  <c r="AC449" i="8"/>
  <c r="AC450" i="8"/>
  <c r="AC451" i="8"/>
  <c r="AC452" i="8"/>
  <c r="AC453" i="8"/>
  <c r="AC454" i="8"/>
  <c r="AC455" i="8"/>
  <c r="AC456" i="8"/>
  <c r="AC457" i="8"/>
  <c r="AC458" i="8"/>
  <c r="AC459" i="8"/>
  <c r="AC460" i="8"/>
  <c r="AC461" i="8"/>
  <c r="AC462" i="8"/>
  <c r="AC463" i="8"/>
  <c r="AC464" i="8"/>
  <c r="AC465" i="8"/>
  <c r="AC466" i="8"/>
  <c r="AC467" i="8"/>
  <c r="AC468" i="8"/>
  <c r="AC469" i="8"/>
  <c r="AC470" i="8"/>
  <c r="AC471" i="8"/>
  <c r="AC472" i="8"/>
  <c r="AC473" i="8"/>
  <c r="AC474" i="8"/>
  <c r="AC475" i="8"/>
  <c r="AC476" i="8"/>
  <c r="AC477" i="8"/>
  <c r="AC478" i="8"/>
  <c r="AC479" i="8"/>
  <c r="AC480" i="8"/>
  <c r="AC481" i="8"/>
  <c r="AC482" i="8"/>
  <c r="AC483" i="8"/>
  <c r="AC484" i="8"/>
  <c r="AC485" i="8"/>
  <c r="AC486" i="8"/>
  <c r="AC487" i="8"/>
  <c r="AC488" i="8"/>
  <c r="AC489" i="8"/>
  <c r="AC490" i="8"/>
  <c r="AC491" i="8"/>
  <c r="AC492" i="8"/>
  <c r="AC493" i="8"/>
  <c r="AC494" i="8"/>
  <c r="AC495" i="8"/>
  <c r="AC496" i="8"/>
  <c r="AC497" i="8"/>
  <c r="AC498" i="8"/>
  <c r="AC499" i="8"/>
  <c r="AC500" i="8"/>
  <c r="AC501" i="8"/>
  <c r="AC2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320" i="8"/>
  <c r="AC321" i="8"/>
  <c r="AC322" i="8"/>
  <c r="AC323" i="8"/>
  <c r="AC324" i="8"/>
  <c r="AC325" i="8"/>
  <c r="AC326" i="8"/>
  <c r="AC327" i="8"/>
  <c r="AC328" i="8"/>
  <c r="AC329" i="8"/>
  <c r="Q2" i="8"/>
  <c r="Q324" i="8"/>
  <c r="B6" i="18" s="1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4" i="8"/>
  <c r="Q356" i="8"/>
  <c r="Q357" i="8"/>
  <c r="Q359" i="8"/>
  <c r="Q361" i="8"/>
  <c r="Q362" i="8"/>
  <c r="Q364" i="8"/>
  <c r="Q365" i="8"/>
  <c r="Q367" i="8"/>
  <c r="Q369" i="8"/>
  <c r="Q371" i="8"/>
  <c r="Q372" i="8"/>
  <c r="Q374" i="8"/>
  <c r="Q376" i="8"/>
  <c r="Q378" i="8"/>
  <c r="Q380" i="8"/>
  <c r="Q382" i="8"/>
  <c r="Q383" i="8"/>
  <c r="Q386" i="8"/>
  <c r="Q388" i="8"/>
  <c r="Q391" i="8"/>
  <c r="Q393" i="8"/>
  <c r="Q395" i="8"/>
  <c r="Q397" i="8"/>
  <c r="Q400" i="8"/>
  <c r="Q402" i="8"/>
  <c r="Q404" i="8"/>
  <c r="Q406" i="8"/>
  <c r="Q408" i="8"/>
  <c r="Q410" i="8"/>
  <c r="Q412" i="8"/>
  <c r="Q413" i="8"/>
  <c r="Q414" i="8"/>
  <c r="Q416" i="8"/>
  <c r="Q418" i="8"/>
  <c r="Q420" i="8"/>
  <c r="Q422" i="8"/>
  <c r="Q424" i="8"/>
  <c r="Q427" i="8"/>
  <c r="Q429" i="8"/>
  <c r="Q431" i="8"/>
  <c r="Q433" i="8"/>
  <c r="Q435" i="8"/>
  <c r="Q437" i="8"/>
  <c r="Q439" i="8"/>
  <c r="Q441" i="8"/>
  <c r="Q443" i="8"/>
  <c r="Q445" i="8"/>
  <c r="Q447" i="8"/>
  <c r="Q449" i="8"/>
  <c r="Q451" i="8"/>
  <c r="Q453" i="8"/>
  <c r="Q455" i="8"/>
  <c r="Q457" i="8"/>
  <c r="Q459" i="8"/>
  <c r="Q461" i="8"/>
  <c r="Q463" i="8"/>
  <c r="Q465" i="8"/>
  <c r="Q467" i="8"/>
  <c r="Q469" i="8"/>
  <c r="Q471" i="8"/>
  <c r="Q473" i="8"/>
  <c r="Q495" i="8"/>
  <c r="Q498" i="8"/>
  <c r="Q501" i="8"/>
  <c r="Q329" i="8"/>
  <c r="Q353" i="8"/>
  <c r="Q355" i="8"/>
  <c r="Q358" i="8"/>
  <c r="Q360" i="8"/>
  <c r="Q363" i="8"/>
  <c r="Q366" i="8"/>
  <c r="Q368" i="8"/>
  <c r="Q370" i="8"/>
  <c r="Q373" i="8"/>
  <c r="Q375" i="8"/>
  <c r="Q377" i="8"/>
  <c r="Q379" i="8"/>
  <c r="Q381" i="8"/>
  <c r="Q384" i="8"/>
  <c r="Q385" i="8"/>
  <c r="Q387" i="8"/>
  <c r="Q389" i="8"/>
  <c r="Q390" i="8"/>
  <c r="Q392" i="8"/>
  <c r="Q394" i="8"/>
  <c r="Q396" i="8"/>
  <c r="Q398" i="8"/>
  <c r="Q399" i="8"/>
  <c r="Q401" i="8"/>
  <c r="Q403" i="8"/>
  <c r="Q405" i="8"/>
  <c r="Q407" i="8"/>
  <c r="Q409" i="8"/>
  <c r="Q411" i="8"/>
  <c r="Q415" i="8"/>
  <c r="Q417" i="8"/>
  <c r="Q419" i="8"/>
  <c r="Q421" i="8"/>
  <c r="Q423" i="8"/>
  <c r="Q425" i="8"/>
  <c r="Q426" i="8"/>
  <c r="Q428" i="8"/>
  <c r="Q430" i="8"/>
  <c r="Q432" i="8"/>
  <c r="Q434" i="8"/>
  <c r="Q436" i="8"/>
  <c r="Q438" i="8"/>
  <c r="Q440" i="8"/>
  <c r="Q442" i="8"/>
  <c r="Q444" i="8"/>
  <c r="Q446" i="8"/>
  <c r="Q448" i="8"/>
  <c r="Q450" i="8"/>
  <c r="Q452" i="8"/>
  <c r="Q454" i="8"/>
  <c r="Q456" i="8"/>
  <c r="Q458" i="8"/>
  <c r="Q460" i="8"/>
  <c r="Q462" i="8"/>
  <c r="Q464" i="8"/>
  <c r="Q466" i="8"/>
  <c r="Q468" i="8"/>
  <c r="Q470" i="8"/>
  <c r="Q472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6" i="8"/>
  <c r="Q497" i="8"/>
  <c r="Q499" i="8"/>
  <c r="Q500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7" i="8"/>
  <c r="Q108" i="8"/>
  <c r="Q109" i="8"/>
  <c r="Q110" i="8"/>
  <c r="Q112" i="8"/>
  <c r="Q113" i="8"/>
  <c r="Q115" i="8"/>
  <c r="Q117" i="8"/>
  <c r="Q119" i="8"/>
  <c r="Q120" i="8"/>
  <c r="Q121" i="8"/>
  <c r="Q123" i="8"/>
  <c r="Q125" i="8"/>
  <c r="Q133" i="8"/>
  <c r="Q135" i="8"/>
  <c r="Q137" i="8"/>
  <c r="Q138" i="8"/>
  <c r="Q141" i="8"/>
  <c r="Q143" i="8"/>
  <c r="Q145" i="8"/>
  <c r="Q147" i="8"/>
  <c r="Q148" i="8"/>
  <c r="Q149" i="8"/>
  <c r="Q151" i="8"/>
  <c r="Q152" i="8"/>
  <c r="Q153" i="8"/>
  <c r="Q155" i="8"/>
  <c r="Q156" i="8"/>
  <c r="Q157" i="8"/>
  <c r="Q159" i="8"/>
  <c r="Q160" i="8"/>
  <c r="Q161" i="8"/>
  <c r="Q163" i="8"/>
  <c r="Q164" i="8"/>
  <c r="Q165" i="8"/>
  <c r="Q167" i="8"/>
  <c r="Q169" i="8"/>
  <c r="Q170" i="8"/>
  <c r="Q172" i="8"/>
  <c r="Q173" i="8"/>
  <c r="Q174" i="8"/>
  <c r="Q176" i="8"/>
  <c r="Q177" i="8"/>
  <c r="Q179" i="8"/>
  <c r="Q180" i="8"/>
  <c r="Q181" i="8"/>
  <c r="Q183" i="8"/>
  <c r="Q185" i="8"/>
  <c r="Q187" i="8"/>
  <c r="Q188" i="8"/>
  <c r="Q189" i="8"/>
  <c r="Q190" i="8"/>
  <c r="Q191" i="8"/>
  <c r="Q192" i="8"/>
  <c r="Q193" i="8"/>
  <c r="Q195" i="8"/>
  <c r="Q196" i="8"/>
  <c r="Q198" i="8"/>
  <c r="Q199" i="8"/>
  <c r="Q200" i="8"/>
  <c r="Q202" i="8"/>
  <c r="Q204" i="8"/>
  <c r="Q205" i="8"/>
  <c r="Q206" i="8"/>
  <c r="Q208" i="8"/>
  <c r="Q209" i="8"/>
  <c r="Q211" i="8"/>
  <c r="Q212" i="8"/>
  <c r="Q214" i="8"/>
  <c r="Q216" i="8"/>
  <c r="Q217" i="8"/>
  <c r="Q219" i="8"/>
  <c r="Q220" i="8"/>
  <c r="Q222" i="8"/>
  <c r="Q224" i="8"/>
  <c r="Q225" i="8"/>
  <c r="Q228" i="8"/>
  <c r="Q230" i="8"/>
  <c r="Q232" i="8"/>
  <c r="Q234" i="8"/>
  <c r="Q236" i="8"/>
  <c r="Q237" i="8"/>
  <c r="Q239" i="8"/>
  <c r="Q240" i="8"/>
  <c r="Q241" i="8"/>
  <c r="Q243" i="8"/>
  <c r="Q244" i="8"/>
  <c r="Q246" i="8"/>
  <c r="Q247" i="8"/>
  <c r="Q248" i="8"/>
  <c r="Q250" i="8"/>
  <c r="Q251" i="8"/>
  <c r="Q253" i="8"/>
  <c r="Q255" i="8"/>
  <c r="Q256" i="8"/>
  <c r="Q258" i="8"/>
  <c r="Q260" i="8"/>
  <c r="Q261" i="8"/>
  <c r="Q262" i="8"/>
  <c r="Q263" i="8"/>
  <c r="Q264" i="8"/>
  <c r="Q266" i="8"/>
  <c r="Q267" i="8"/>
  <c r="Q268" i="8"/>
  <c r="Q270" i="8"/>
  <c r="Q271" i="8"/>
  <c r="Q272" i="8"/>
  <c r="Q274" i="8"/>
  <c r="Q276" i="8"/>
  <c r="Q277" i="8"/>
  <c r="Q278" i="8"/>
  <c r="Q280" i="8"/>
  <c r="Q281" i="8"/>
  <c r="Q282" i="8"/>
  <c r="Q284" i="8"/>
  <c r="Q285" i="8"/>
  <c r="Q287" i="8"/>
  <c r="Q288" i="8"/>
  <c r="Q289" i="8"/>
  <c r="Q291" i="8"/>
  <c r="Q292" i="8"/>
  <c r="Q294" i="8"/>
  <c r="Q295" i="8"/>
  <c r="Q297" i="8"/>
  <c r="Q299" i="8"/>
  <c r="Q300" i="8"/>
  <c r="Q302" i="8"/>
  <c r="Q303" i="8"/>
  <c r="Q304" i="8"/>
  <c r="Q305" i="8"/>
  <c r="Q307" i="8"/>
  <c r="Q308" i="8"/>
  <c r="Q310" i="8"/>
  <c r="Q312" i="8"/>
  <c r="Q314" i="8"/>
  <c r="Q315" i="8"/>
  <c r="Q317" i="8"/>
  <c r="Q318" i="8"/>
  <c r="Q320" i="8"/>
  <c r="Q321" i="8"/>
  <c r="Q323" i="8"/>
  <c r="Q325" i="8"/>
  <c r="Q326" i="8"/>
  <c r="Q327" i="8"/>
  <c r="Q328" i="8"/>
  <c r="Q86" i="8"/>
  <c r="Q106" i="8"/>
  <c r="Q111" i="8"/>
  <c r="Q114" i="8"/>
  <c r="Q116" i="8"/>
  <c r="Q118" i="8"/>
  <c r="Q122" i="8"/>
  <c r="Q124" i="8"/>
  <c r="Q126" i="8"/>
  <c r="Q127" i="8"/>
  <c r="Q128" i="8"/>
  <c r="Q129" i="8"/>
  <c r="Q130" i="8"/>
  <c r="Q131" i="8"/>
  <c r="Q132" i="8"/>
  <c r="Q134" i="8"/>
  <c r="Q136" i="8"/>
  <c r="Q139" i="8"/>
  <c r="Q140" i="8"/>
  <c r="Q142" i="8"/>
  <c r="Q144" i="8"/>
  <c r="Q146" i="8"/>
  <c r="Q150" i="8"/>
  <c r="Q154" i="8"/>
  <c r="Q158" i="8"/>
  <c r="Q162" i="8"/>
  <c r="Q166" i="8"/>
  <c r="Q168" i="8"/>
  <c r="Q171" i="8"/>
  <c r="Q175" i="8"/>
  <c r="Q178" i="8"/>
  <c r="Q182" i="8"/>
  <c r="Q184" i="8"/>
  <c r="Q186" i="8"/>
  <c r="Q194" i="8"/>
  <c r="Q197" i="8"/>
  <c r="Q201" i="8"/>
  <c r="Q203" i="8"/>
  <c r="Q207" i="8"/>
  <c r="Q210" i="8"/>
  <c r="Q213" i="8"/>
  <c r="Q215" i="8"/>
  <c r="Q218" i="8"/>
  <c r="Q221" i="8"/>
  <c r="Q223" i="8"/>
  <c r="Q226" i="8"/>
  <c r="Q227" i="8"/>
  <c r="Q229" i="8"/>
  <c r="Q231" i="8"/>
  <c r="Q233" i="8"/>
  <c r="Q235" i="8"/>
  <c r="Q238" i="8"/>
  <c r="Q242" i="8"/>
  <c r="Q245" i="8"/>
  <c r="Q249" i="8"/>
  <c r="Q252" i="8"/>
  <c r="Q254" i="8"/>
  <c r="Q257" i="8"/>
  <c r="Q259" i="8"/>
  <c r="Q265" i="8"/>
  <c r="Q269" i="8"/>
  <c r="Q273" i="8"/>
  <c r="Q275" i="8"/>
  <c r="Q279" i="8"/>
  <c r="Q283" i="8"/>
  <c r="Q286" i="8"/>
  <c r="Q290" i="8"/>
  <c r="Q293" i="8"/>
  <c r="Q296" i="8"/>
  <c r="Q298" i="8"/>
  <c r="Q301" i="8"/>
  <c r="Q306" i="8"/>
  <c r="Q309" i="8"/>
  <c r="Q311" i="8"/>
  <c r="Q313" i="8"/>
  <c r="Q316" i="8"/>
  <c r="Q319" i="8"/>
  <c r="Q322" i="8"/>
  <c r="T6" i="18" l="1"/>
  <c r="M13" i="18"/>
</calcChain>
</file>

<file path=xl/sharedStrings.xml><?xml version="1.0" encoding="utf-8"?>
<sst xmlns="http://schemas.openxmlformats.org/spreadsheetml/2006/main" count="33949" uniqueCount="2249">
  <si>
    <t>Order_ID</t>
  </si>
  <si>
    <t>Customer_ID</t>
  </si>
  <si>
    <t>Product_ID</t>
  </si>
  <si>
    <t>Order_Date</t>
  </si>
  <si>
    <t>Delivery_Date</t>
  </si>
  <si>
    <t>Customer_Name</t>
  </si>
  <si>
    <t>Gender</t>
  </si>
  <si>
    <t>DOB</t>
  </si>
  <si>
    <t>City</t>
  </si>
  <si>
    <t>Region</t>
  </si>
  <si>
    <t>Category</t>
  </si>
  <si>
    <t>Product_Name</t>
  </si>
  <si>
    <t>Quantity</t>
  </si>
  <si>
    <t>Unit_Price</t>
  </si>
  <si>
    <t>Discount_%</t>
  </si>
  <si>
    <t>Sales</t>
  </si>
  <si>
    <t>Rating</t>
  </si>
  <si>
    <t>Payment_Mode</t>
  </si>
  <si>
    <t>Salesperson</t>
  </si>
  <si>
    <t>Email</t>
  </si>
  <si>
    <t>Phone</t>
  </si>
  <si>
    <t>Order_Status</t>
  </si>
  <si>
    <t>ORD10001</t>
  </si>
  <si>
    <t>C008</t>
  </si>
  <si>
    <t>P202</t>
  </si>
  <si>
    <t>18/09/2025</t>
  </si>
  <si>
    <t>22/09/2025</t>
  </si>
  <si>
    <t>Kavya Nair</t>
  </si>
  <si>
    <t>Female</t>
  </si>
  <si>
    <t>01/08/1976</t>
  </si>
  <si>
    <t>Hyderabad</t>
  </si>
  <si>
    <t>South</t>
  </si>
  <si>
    <t>Home Appliances</t>
  </si>
  <si>
    <t>Iron</t>
  </si>
  <si>
    <t>Cash</t>
  </si>
  <si>
    <t>Ritika</t>
  </si>
  <si>
    <t>KAvya.nair@company.com</t>
  </si>
  <si>
    <t>9431429797</t>
  </si>
  <si>
    <t>Completed</t>
  </si>
  <si>
    <t>ORD10002</t>
  </si>
  <si>
    <t>P104</t>
  </si>
  <si>
    <t>27/04/2025</t>
  </si>
  <si>
    <t>04/05/2025</t>
  </si>
  <si>
    <t>16/10/2000</t>
  </si>
  <si>
    <t>Delhi</t>
  </si>
  <si>
    <t>North</t>
  </si>
  <si>
    <t>Electronics</t>
  </si>
  <si>
    <t>Monitor</t>
  </si>
  <si>
    <t>NetBanking</t>
  </si>
  <si>
    <t>Rahul</t>
  </si>
  <si>
    <t>kavya.nair@company.com</t>
  </si>
  <si>
    <t>9129865339</t>
  </si>
  <si>
    <t>ORD10003</t>
  </si>
  <si>
    <t>C010</t>
  </si>
  <si>
    <t>P101</t>
  </si>
  <si>
    <t>03/09/2025</t>
  </si>
  <si>
    <t>14/09/2025</t>
  </si>
  <si>
    <t>pooja      shah</t>
  </si>
  <si>
    <t>16/09/1994</t>
  </si>
  <si>
    <t>Bengaluru</t>
  </si>
  <si>
    <t>Laptop</t>
  </si>
  <si>
    <t>Aisha</t>
  </si>
  <si>
    <t>pooja.shah@company.com</t>
  </si>
  <si>
    <t>9380975626</t>
  </si>
  <si>
    <t>Pending</t>
  </si>
  <si>
    <t>21/03/2026</t>
  </si>
  <si>
    <t>02/04/2026</t>
  </si>
  <si>
    <t>07/03/2004</t>
  </si>
  <si>
    <t>9600261125</t>
  </si>
  <si>
    <t>Cancelled</t>
  </si>
  <si>
    <t>ORD10005</t>
  </si>
  <si>
    <t>C009</t>
  </si>
  <si>
    <t>P103</t>
  </si>
  <si>
    <t>27/09/2025</t>
  </si>
  <si>
    <t>07/10/2025</t>
  </si>
  <si>
    <t>Mohit     Verma</t>
  </si>
  <si>
    <t>Male</t>
  </si>
  <si>
    <t>13/04/1976</t>
  </si>
  <si>
    <t>Keyboard</t>
  </si>
  <si>
    <t>Card</t>
  </si>
  <si>
    <t>mohit.verma@company.com</t>
  </si>
  <si>
    <t>9724635978</t>
  </si>
  <si>
    <t>ORD10006</t>
  </si>
  <si>
    <t>C007</t>
  </si>
  <si>
    <t>04/01/2026</t>
  </si>
  <si>
    <t>12/01/2026</t>
  </si>
  <si>
    <t>arjun Rao</t>
  </si>
  <si>
    <t>07/02/1988</t>
  </si>
  <si>
    <t>UPI</t>
  </si>
  <si>
    <t>arjun.rao@company.com</t>
  </si>
  <si>
    <t>9780584905</t>
  </si>
  <si>
    <t>ORD10007</t>
  </si>
  <si>
    <t>P201</t>
  </si>
  <si>
    <t>31/02/2025</t>
  </si>
  <si>
    <t>25/02/2026</t>
  </si>
  <si>
    <t>Kavya      Nair</t>
  </si>
  <si>
    <t>20/03/2003</t>
  </si>
  <si>
    <t>Mixer</t>
  </si>
  <si>
    <t>9958252176</t>
  </si>
  <si>
    <t>ORD10008</t>
  </si>
  <si>
    <t>C002</t>
  </si>
  <si>
    <t>13/04/2025</t>
  </si>
  <si>
    <t>19/04/2025</t>
  </si>
  <si>
    <t>Priya Patel</t>
  </si>
  <si>
    <t>07/03/1995</t>
  </si>
  <si>
    <t>Mumbai</t>
  </si>
  <si>
    <t>West</t>
  </si>
  <si>
    <t>priYa.patel@company.com</t>
  </si>
  <si>
    <t>9705521654</t>
  </si>
  <si>
    <t>ORD10009</t>
  </si>
  <si>
    <t>31/01/2026</t>
  </si>
  <si>
    <t>02/02/2026</t>
  </si>
  <si>
    <t>kavya Nair</t>
  </si>
  <si>
    <t>06/04/1997</t>
  </si>
  <si>
    <t>Pune</t>
  </si>
  <si>
    <t>Neha</t>
  </si>
  <si>
    <t>9588041011</t>
  </si>
  <si>
    <t>ORD10010</t>
  </si>
  <si>
    <t>P301</t>
  </si>
  <si>
    <t>25/03/2025</t>
  </si>
  <si>
    <t>27/03/2025</t>
  </si>
  <si>
    <t>07/01/1990</t>
  </si>
  <si>
    <t>Stationery</t>
  </si>
  <si>
    <t>Notebook</t>
  </si>
  <si>
    <t>PRiya.patel@company.com</t>
  </si>
  <si>
    <t>9340540608</t>
  </si>
  <si>
    <t>ORD10011</t>
  </si>
  <si>
    <t>C003</t>
  </si>
  <si>
    <t>19/09/2025</t>
  </si>
  <si>
    <t>23/09/2025</t>
  </si>
  <si>
    <t xml:space="preserve">               Rohit Singh</t>
  </si>
  <si>
    <t>10/05/1982</t>
  </si>
  <si>
    <t>rohit.singh@company.com</t>
  </si>
  <si>
    <t>9521710321</t>
  </si>
  <si>
    <t>ORD10012</t>
  </si>
  <si>
    <t>08/03/2025</t>
  </si>
  <si>
    <t>15/03/2025</t>
  </si>
  <si>
    <t>23/01/1982</t>
  </si>
  <si>
    <t>Ahmedabad</t>
  </si>
  <si>
    <t>9123535241</t>
  </si>
  <si>
    <t>ORD10013</t>
  </si>
  <si>
    <t>10/01/2025</t>
  </si>
  <si>
    <t>15/01/2025</t>
  </si>
  <si>
    <t>06/07/1992</t>
  </si>
  <si>
    <t>priya.patel@company.com</t>
  </si>
  <si>
    <t>9367316892</t>
  </si>
  <si>
    <t>ORD10014</t>
  </si>
  <si>
    <t>09/03/2025</t>
  </si>
  <si>
    <t>13/03/2025</t>
  </si>
  <si>
    <t>rohit Singh</t>
  </si>
  <si>
    <t>19/03/2002</t>
  </si>
  <si>
    <t>Karan</t>
  </si>
  <si>
    <t>rOhit.singh@company.com</t>
  </si>
  <si>
    <t>9778489803</t>
  </si>
  <si>
    <t>ORD10015</t>
  </si>
  <si>
    <t>26/07/2025</t>
  </si>
  <si>
    <t>07/08/2025</t>
  </si>
  <si>
    <t xml:space="preserve">    Kavya nair</t>
  </si>
  <si>
    <t>17/01/2001</t>
  </si>
  <si>
    <t>9582960180</t>
  </si>
  <si>
    <t>ORD10016</t>
  </si>
  <si>
    <t>08/04/2026</t>
  </si>
  <si>
    <t>11/04/2026</t>
  </si>
  <si>
    <t>Pooja Shah</t>
  </si>
  <si>
    <t>11/04/2002</t>
  </si>
  <si>
    <t>pooja.shahcompany.com</t>
  </si>
  <si>
    <t>9611394005</t>
  </si>
  <si>
    <t>ORD10017</t>
  </si>
  <si>
    <t>C004</t>
  </si>
  <si>
    <t>P203</t>
  </si>
  <si>
    <t>22/02/2026</t>
  </si>
  <si>
    <t>03/03/2026</t>
  </si>
  <si>
    <t xml:space="preserve">  Amit Sharma </t>
  </si>
  <si>
    <t>16/01/2002</t>
  </si>
  <si>
    <t>Microwave</t>
  </si>
  <si>
    <t>anita.gupta@company.com</t>
  </si>
  <si>
    <t>9692599404</t>
  </si>
  <si>
    <t>ORD10018</t>
  </si>
  <si>
    <t>28/02/2026</t>
  </si>
  <si>
    <t>05/03/2026</t>
  </si>
  <si>
    <t>Arjun Rao</t>
  </si>
  <si>
    <t>09/10/1989</t>
  </si>
  <si>
    <t>9426119622</t>
  </si>
  <si>
    <t>ORD10019</t>
  </si>
  <si>
    <t>P102</t>
  </si>
  <si>
    <t>01/12/2025</t>
  </si>
  <si>
    <t>04/12/2025</t>
  </si>
  <si>
    <t>arjun rao</t>
  </si>
  <si>
    <t>28/10/1991</t>
  </si>
  <si>
    <t>Mouse</t>
  </si>
  <si>
    <t>arjun.Rao@company.com</t>
  </si>
  <si>
    <t>9184436009</t>
  </si>
  <si>
    <t>ORD10020</t>
  </si>
  <si>
    <t>25/06/2025</t>
  </si>
  <si>
    <t>03/07/2025</t>
  </si>
  <si>
    <t>01/03/1990</t>
  </si>
  <si>
    <t>9263774934</t>
  </si>
  <si>
    <t>ORD10021</t>
  </si>
  <si>
    <t>26/04/2025</t>
  </si>
  <si>
    <t>05/05/2025</t>
  </si>
  <si>
    <t>Rohit Singh</t>
  </si>
  <si>
    <t>18/07/2002</t>
  </si>
  <si>
    <t>electronics</t>
  </si>
  <si>
    <t>9473159572</t>
  </si>
  <si>
    <t>ORD10022</t>
  </si>
  <si>
    <t>03/01/2025</t>
  </si>
  <si>
    <t>08/01/2025</t>
  </si>
  <si>
    <t>15/12/2004</t>
  </si>
  <si>
    <t>9660493688</t>
  </si>
  <si>
    <t>ORD10023</t>
  </si>
  <si>
    <t>30/04/2025</t>
  </si>
  <si>
    <t>04/07/1984</t>
  </si>
  <si>
    <t>Jaipur</t>
  </si>
  <si>
    <t>9513325819</t>
  </si>
  <si>
    <t>ORD10024</t>
  </si>
  <si>
    <t>22/12/2025</t>
  </si>
  <si>
    <t>01/01/2026</t>
  </si>
  <si>
    <t>Mohit Verma</t>
  </si>
  <si>
    <t>25/02/1978</t>
  </si>
  <si>
    <t>9641063242</t>
  </si>
  <si>
    <t>ORD10025</t>
  </si>
  <si>
    <t>C005</t>
  </si>
  <si>
    <t>P302</t>
  </si>
  <si>
    <t>09/04/2026</t>
  </si>
  <si>
    <t>20/04/2026</t>
  </si>
  <si>
    <t>Vikas Mehta</t>
  </si>
  <si>
    <t>03/08/1991</t>
  </si>
  <si>
    <t>Pen</t>
  </si>
  <si>
    <t>vikas.mehta@company.com</t>
  </si>
  <si>
    <t>9277372518</t>
  </si>
  <si>
    <t>ORD10026</t>
  </si>
  <si>
    <t>24/06/2025</t>
  </si>
  <si>
    <t>02/07/2025</t>
  </si>
  <si>
    <t>11/12/1977</t>
  </si>
  <si>
    <t>9193154372</t>
  </si>
  <si>
    <t>ORD10027</t>
  </si>
  <si>
    <t>22/05/2025</t>
  </si>
  <si>
    <t>25/05/2025</t>
  </si>
  <si>
    <t>08/02/1992</t>
  </si>
  <si>
    <t>9400073244</t>
  </si>
  <si>
    <t>ORD10028</t>
  </si>
  <si>
    <t>13/03/2026</t>
  </si>
  <si>
    <t>20/03/2026</t>
  </si>
  <si>
    <t>05/06/2004</t>
  </si>
  <si>
    <t>9771556720</t>
  </si>
  <si>
    <t>ORD10029</t>
  </si>
  <si>
    <t>08/09/2025</t>
  </si>
  <si>
    <t>20/09/2025</t>
  </si>
  <si>
    <t>11/08/2001</t>
  </si>
  <si>
    <t>9127480734</t>
  </si>
  <si>
    <t>ORD10030</t>
  </si>
  <si>
    <t>C006</t>
  </si>
  <si>
    <t>11/01/2026</t>
  </si>
  <si>
    <t>16/01/2026</t>
  </si>
  <si>
    <t>Sneha Joshi</t>
  </si>
  <si>
    <t>04/04/1981</t>
  </si>
  <si>
    <t>sneha.joshi@company.com</t>
  </si>
  <si>
    <t>9512997042</t>
  </si>
  <si>
    <t>ORD10031</t>
  </si>
  <si>
    <t>P303</t>
  </si>
  <si>
    <t>16/06/2025</t>
  </si>
  <si>
    <t>26/06/2025</t>
  </si>
  <si>
    <t>02/07/1996</t>
  </si>
  <si>
    <t>Marker</t>
  </si>
  <si>
    <t>9372748661</t>
  </si>
  <si>
    <t>ORD10032</t>
  </si>
  <si>
    <t>01/07/2025</t>
  </si>
  <si>
    <t>13/07/2025</t>
  </si>
  <si>
    <t>Priya    Patel</t>
  </si>
  <si>
    <t>15/11/1976</t>
  </si>
  <si>
    <t>9570437805</t>
  </si>
  <si>
    <t>ORD10033</t>
  </si>
  <si>
    <t>07/03/2025</t>
  </si>
  <si>
    <t>28/10/1988</t>
  </si>
  <si>
    <t>9310669113</t>
  </si>
  <si>
    <t>ORD10034</t>
  </si>
  <si>
    <t>04/07/2025</t>
  </si>
  <si>
    <t>23/06/2004</t>
  </si>
  <si>
    <t>wrongmail</t>
  </si>
  <si>
    <t>9437132894</t>
  </si>
  <si>
    <t>ORD10035</t>
  </si>
  <si>
    <t>09/10/2025</t>
  </si>
  <si>
    <t>19/10/2025</t>
  </si>
  <si>
    <t>22/04/1996</t>
  </si>
  <si>
    <t>9762437243</t>
  </si>
  <si>
    <t>ORD10036</t>
  </si>
  <si>
    <t>19/11/2025</t>
  </si>
  <si>
    <t>26/11/2025</t>
  </si>
  <si>
    <t>07/07/1979</t>
  </si>
  <si>
    <t>9149046970</t>
  </si>
  <si>
    <t>ORD10037</t>
  </si>
  <si>
    <t>05/11/2025</t>
  </si>
  <si>
    <t>14/11/2025</t>
  </si>
  <si>
    <t>27/09/1980</t>
  </si>
  <si>
    <t>Kolkata</t>
  </si>
  <si>
    <t>East</t>
  </si>
  <si>
    <t>9869182901</t>
  </si>
  <si>
    <t>ORD10038</t>
  </si>
  <si>
    <t>08/03/2026</t>
  </si>
  <si>
    <t>21/06/1980</t>
  </si>
  <si>
    <t>9283578533</t>
  </si>
  <si>
    <t>ORD10039</t>
  </si>
  <si>
    <t>13/02/2025</t>
  </si>
  <si>
    <t>19/02/2025</t>
  </si>
  <si>
    <t>17/06/1979</t>
  </si>
  <si>
    <t xml:space="preserve">1200 </t>
  </si>
  <si>
    <t>9963005771</t>
  </si>
  <si>
    <t>ORD10040</t>
  </si>
  <si>
    <t>05/10/2025</t>
  </si>
  <si>
    <t>15/10/2025</t>
  </si>
  <si>
    <t>18/06/1992</t>
  </si>
  <si>
    <t>9484632635</t>
  </si>
  <si>
    <t>ORD10041</t>
  </si>
  <si>
    <t>10/02/2026</t>
  </si>
  <si>
    <t>12/02/2026</t>
  </si>
  <si>
    <t>06/06/1994</t>
  </si>
  <si>
    <t>9276319484</t>
  </si>
  <si>
    <t>ORD10042</t>
  </si>
  <si>
    <t>04/06/2025</t>
  </si>
  <si>
    <t>22/09/1988</t>
  </si>
  <si>
    <t>9619034852</t>
  </si>
  <si>
    <t>ORD10043</t>
  </si>
  <si>
    <t>08/02/2026</t>
  </si>
  <si>
    <t>14/02/2026</t>
  </si>
  <si>
    <t>14/07/2001</t>
  </si>
  <si>
    <t>9636416962</t>
  </si>
  <si>
    <t>ORD10044</t>
  </si>
  <si>
    <t>C001</t>
  </si>
  <si>
    <t>30/03/2025</t>
  </si>
  <si>
    <t>31/03/2025</t>
  </si>
  <si>
    <t>amit Sharma</t>
  </si>
  <si>
    <t>09/08/1991</t>
  </si>
  <si>
    <t>amit.sharma@company.com</t>
  </si>
  <si>
    <t>9357133880</t>
  </si>
  <si>
    <t>ORD10045</t>
  </si>
  <si>
    <t>25/04/2025</t>
  </si>
  <si>
    <t>28/04/2025</t>
  </si>
  <si>
    <t>21/10/1988</t>
  </si>
  <si>
    <t>9575210324</t>
  </si>
  <si>
    <t>ORD10046</t>
  </si>
  <si>
    <t>13/10/2025</t>
  </si>
  <si>
    <t>23/10/2025</t>
  </si>
  <si>
    <t>19/11/2002</t>
  </si>
  <si>
    <t>9276080204</t>
  </si>
  <si>
    <t>ORD10047</t>
  </si>
  <si>
    <t>11/10/2025</t>
  </si>
  <si>
    <t>14/10/2025</t>
  </si>
  <si>
    <t>06/07/2000</t>
  </si>
  <si>
    <t>sneha.joshicompany.com</t>
  </si>
  <si>
    <t>9856624471</t>
  </si>
  <si>
    <t>ORD10048</t>
  </si>
  <si>
    <t>27/11/2025</t>
  </si>
  <si>
    <t>03/12/2025</t>
  </si>
  <si>
    <t>26/11/1998</t>
  </si>
  <si>
    <t>9238141322</t>
  </si>
  <si>
    <t>ORD10049</t>
  </si>
  <si>
    <t>19/04/2026</t>
  </si>
  <si>
    <t>03/06/1996</t>
  </si>
  <si>
    <t>9890380030</t>
  </si>
  <si>
    <t>ORD10050</t>
  </si>
  <si>
    <t>21/04/2026</t>
  </si>
  <si>
    <t>Anita Gupta</t>
  </si>
  <si>
    <t>15/03/1987</t>
  </si>
  <si>
    <t>9495893170</t>
  </si>
  <si>
    <t>ORD10051</t>
  </si>
  <si>
    <t>28/03/2025</t>
  </si>
  <si>
    <t>07/04/2025</t>
  </si>
  <si>
    <t>POoja Shah</t>
  </si>
  <si>
    <t>20/02/1979</t>
  </si>
  <si>
    <t>9485166307</t>
  </si>
  <si>
    <t>ORD10052</t>
  </si>
  <si>
    <t>25/08/2025</t>
  </si>
  <si>
    <t>28/08/2025</t>
  </si>
  <si>
    <t>09/08/2000</t>
  </si>
  <si>
    <t>9924709648</t>
  </si>
  <si>
    <t>ORD10053</t>
  </si>
  <si>
    <t>19/08/2025</t>
  </si>
  <si>
    <t>23/08/2025</t>
  </si>
  <si>
    <t>17/01/1976</t>
  </si>
  <si>
    <t>9350554626</t>
  </si>
  <si>
    <t>ORD10054</t>
  </si>
  <si>
    <t>27/07/2025</t>
  </si>
  <si>
    <t>05/08/2025</t>
  </si>
  <si>
    <t>04/04/1975</t>
  </si>
  <si>
    <t>9743295580</t>
  </si>
  <si>
    <t>ORD10055</t>
  </si>
  <si>
    <t>21/02/2025</t>
  </si>
  <si>
    <t>26/02/2025</t>
  </si>
  <si>
    <t>RoHit Singh</t>
  </si>
  <si>
    <t>11/12/1976</t>
  </si>
  <si>
    <t>9822926495</t>
  </si>
  <si>
    <t>ORD10056</t>
  </si>
  <si>
    <t>10/08/2025</t>
  </si>
  <si>
    <t>11/08/2025</t>
  </si>
  <si>
    <t>Amit Sharma</t>
  </si>
  <si>
    <t>03/12/1979</t>
  </si>
  <si>
    <t>9518298190</t>
  </si>
  <si>
    <t>ORD10057</t>
  </si>
  <si>
    <t>24/03/2026</t>
  </si>
  <si>
    <t>30/03/2026</t>
  </si>
  <si>
    <t>27/12/1978</t>
  </si>
  <si>
    <t>amit.sharmcompany.com</t>
  </si>
  <si>
    <t>9366223547</t>
  </si>
  <si>
    <t>ORD10058</t>
  </si>
  <si>
    <t>19/03/2026</t>
  </si>
  <si>
    <t>15/04/1975</t>
  </si>
  <si>
    <t>9701988524</t>
  </si>
  <si>
    <t>ORD10059</t>
  </si>
  <si>
    <t>15/06/2025</t>
  </si>
  <si>
    <t>19/12/1988</t>
  </si>
  <si>
    <t>9836327649</t>
  </si>
  <si>
    <t>completed</t>
  </si>
  <si>
    <t>ORD10060</t>
  </si>
  <si>
    <t>05/03/2025</t>
  </si>
  <si>
    <t>06/03/2025</t>
  </si>
  <si>
    <t>07/03/1979</t>
  </si>
  <si>
    <t>Vikas.mehta@company.com</t>
  </si>
  <si>
    <t>9261800516</t>
  </si>
  <si>
    <t>ORD10061</t>
  </si>
  <si>
    <t>17/12/2003</t>
  </si>
  <si>
    <t>9950802015</t>
  </si>
  <si>
    <t>ORD10062</t>
  </si>
  <si>
    <t>16/08/2025</t>
  </si>
  <si>
    <t>05/04/1984</t>
  </si>
  <si>
    <t>9595183767</t>
  </si>
  <si>
    <t>ORD10063</t>
  </si>
  <si>
    <t>13/05/2026</t>
  </si>
  <si>
    <t>20/05/2026</t>
  </si>
  <si>
    <t>13/04/1996</t>
  </si>
  <si>
    <t>9560201307</t>
  </si>
  <si>
    <t>ORD10064</t>
  </si>
  <si>
    <t>01/03/2025</t>
  </si>
  <si>
    <t>08/09/2003</t>
  </si>
  <si>
    <t>9826484650</t>
  </si>
  <si>
    <t>ORD10065</t>
  </si>
  <si>
    <t>09/02/2025</t>
  </si>
  <si>
    <t>12/02/2025</t>
  </si>
  <si>
    <t>24/09/1992</t>
  </si>
  <si>
    <t>9219978007</t>
  </si>
  <si>
    <t>ORD10066</t>
  </si>
  <si>
    <t>09/01/2026</t>
  </si>
  <si>
    <t>10/01/2026</t>
  </si>
  <si>
    <t>19/09/1986</t>
  </si>
  <si>
    <t>9662063276</t>
  </si>
  <si>
    <t>ORD10067</t>
  </si>
  <si>
    <t>01/09/2025</t>
  </si>
  <si>
    <t>05/09/2025</t>
  </si>
  <si>
    <t>28/05/1985</t>
  </si>
  <si>
    <t>9190393639</t>
  </si>
  <si>
    <t>ORD10068</t>
  </si>
  <si>
    <t>09/02/2026</t>
  </si>
  <si>
    <t>27/08/1979</t>
  </si>
  <si>
    <t>9106328582</t>
  </si>
  <si>
    <t>ORD10069</t>
  </si>
  <si>
    <t>14/12/2025</t>
  </si>
  <si>
    <t>19/12/2025</t>
  </si>
  <si>
    <t>22/12/1976</t>
  </si>
  <si>
    <t>9264401015</t>
  </si>
  <si>
    <t>ORD10070</t>
  </si>
  <si>
    <t>10/04/2025</t>
  </si>
  <si>
    <t>05/02/2000</t>
  </si>
  <si>
    <t>9959237375</t>
  </si>
  <si>
    <t>ORD10071</t>
  </si>
  <si>
    <t>24/12/2025</t>
  </si>
  <si>
    <t>03/01/2026</t>
  </si>
  <si>
    <t>24/02/1987</t>
  </si>
  <si>
    <t>Anita.gupta@company.com</t>
  </si>
  <si>
    <t>9561836580</t>
  </si>
  <si>
    <t>ORD10072</t>
  </si>
  <si>
    <t>30/08/2025</t>
  </si>
  <si>
    <t>24/07/1984</t>
  </si>
  <si>
    <t>9512666401</t>
  </si>
  <si>
    <t>ORD10073</t>
  </si>
  <si>
    <t>13/12/2025</t>
  </si>
  <si>
    <t>23/12/2025</t>
  </si>
  <si>
    <t>22/09/1981</t>
  </si>
  <si>
    <t>9808988530</t>
  </si>
  <si>
    <t>ORD10074</t>
  </si>
  <si>
    <t>04/02/2026</t>
  </si>
  <si>
    <t>16/02/2026</t>
  </si>
  <si>
    <t>20/06/1980</t>
  </si>
  <si>
    <t>9286410494</t>
  </si>
  <si>
    <t>ORD10075</t>
  </si>
  <si>
    <t>26/01/2026</t>
  </si>
  <si>
    <t>28/01/2026</t>
  </si>
  <si>
    <t>02/11/1982</t>
  </si>
  <si>
    <t>9311555196</t>
  </si>
  <si>
    <t>ORD10076</t>
  </si>
  <si>
    <t>27/06/2025</t>
  </si>
  <si>
    <t>07/07/2025</t>
  </si>
  <si>
    <t>10/01/1980</t>
  </si>
  <si>
    <t>9101810266</t>
  </si>
  <si>
    <t>ORD10077</t>
  </si>
  <si>
    <t>17/03/2026</t>
  </si>
  <si>
    <t>27/04/1981</t>
  </si>
  <si>
    <t>9464556593</t>
  </si>
  <si>
    <t>ORD10078</t>
  </si>
  <si>
    <t>09/06/2025</t>
  </si>
  <si>
    <t>18/06/2025</t>
  </si>
  <si>
    <t>12/03/1985</t>
  </si>
  <si>
    <t>9338278358</t>
  </si>
  <si>
    <t>ORD10079</t>
  </si>
  <si>
    <t>15/11/2025</t>
  </si>
  <si>
    <t>16/11/2025</t>
  </si>
  <si>
    <t>15/03/1999</t>
  </si>
  <si>
    <t>9621410770</t>
  </si>
  <si>
    <t>ORD10080</t>
  </si>
  <si>
    <t>06/11/2025</t>
  </si>
  <si>
    <t>10/11/2025</t>
  </si>
  <si>
    <t>07/07/1983</t>
  </si>
  <si>
    <t>9981333189</t>
  </si>
  <si>
    <t>ORD10081</t>
  </si>
  <si>
    <t>01/01/2025</t>
  </si>
  <si>
    <t>07/01/2025</t>
  </si>
  <si>
    <t>06/03/1989</t>
  </si>
  <si>
    <t>9723450355</t>
  </si>
  <si>
    <t>ORD10082</t>
  </si>
  <si>
    <t>25/04/2026</t>
  </si>
  <si>
    <t>03/05/2026</t>
  </si>
  <si>
    <t>20/06/1982</t>
  </si>
  <si>
    <t>9886243907</t>
  </si>
  <si>
    <t>ORD10083</t>
  </si>
  <si>
    <t>23/06/2001</t>
  </si>
  <si>
    <t>9473931904</t>
  </si>
  <si>
    <t>ORD10084</t>
  </si>
  <si>
    <t>18/03/2025</t>
  </si>
  <si>
    <t>21/03/2025</t>
  </si>
  <si>
    <t>19/07/1983</t>
  </si>
  <si>
    <t>9287159610</t>
  </si>
  <si>
    <t>ORD10085</t>
  </si>
  <si>
    <t>30/10/2025</t>
  </si>
  <si>
    <t>31/10/2025</t>
  </si>
  <si>
    <t>24/03/1993</t>
  </si>
  <si>
    <t>9876513858</t>
  </si>
  <si>
    <t>ORD10086</t>
  </si>
  <si>
    <t>11/11/2025</t>
  </si>
  <si>
    <t>10/05/1995</t>
  </si>
  <si>
    <t>9237400853</t>
  </si>
  <si>
    <t>ORD10087</t>
  </si>
  <si>
    <t>18/04/2025</t>
  </si>
  <si>
    <t>15/02/2001</t>
  </si>
  <si>
    <t>9599597595</t>
  </si>
  <si>
    <t>ORD10088</t>
  </si>
  <si>
    <t>16/03/2026</t>
  </si>
  <si>
    <t>26/03/2026</t>
  </si>
  <si>
    <t>14/08/1999</t>
  </si>
  <si>
    <t>9230007509</t>
  </si>
  <si>
    <t>ORD10089</t>
  </si>
  <si>
    <t>15/09/2025</t>
  </si>
  <si>
    <t>24/09/2025</t>
  </si>
  <si>
    <t>20/03/2002</t>
  </si>
  <si>
    <t>north</t>
  </si>
  <si>
    <t>9823428025</t>
  </si>
  <si>
    <t>ORD10090</t>
  </si>
  <si>
    <t>11/03/2026</t>
  </si>
  <si>
    <t>13/06/1992</t>
  </si>
  <si>
    <t>9505048912</t>
  </si>
  <si>
    <t>ORD10091</t>
  </si>
  <si>
    <t>20/08/2025</t>
  </si>
  <si>
    <t>18/06/1996</t>
  </si>
  <si>
    <t>9508068393</t>
  </si>
  <si>
    <t>ORD10092</t>
  </si>
  <si>
    <t>13/08/2025</t>
  </si>
  <si>
    <t>14/08/2025</t>
  </si>
  <si>
    <t>08/11/1982</t>
  </si>
  <si>
    <t>9785807771</t>
  </si>
  <si>
    <t>ORD10093</t>
  </si>
  <si>
    <t>16/03/2025</t>
  </si>
  <si>
    <t>20/03/2025</t>
  </si>
  <si>
    <t>25/06/1984</t>
  </si>
  <si>
    <t>9215250979</t>
  </si>
  <si>
    <t>ORD10094</t>
  </si>
  <si>
    <t>04/09/2025</t>
  </si>
  <si>
    <t>10/09/2025</t>
  </si>
  <si>
    <t>21/06/1994</t>
  </si>
  <si>
    <t>9845884906</t>
  </si>
  <si>
    <t>ORD10095</t>
  </si>
  <si>
    <t>12/04/2025</t>
  </si>
  <si>
    <t>15/04/2025</t>
  </si>
  <si>
    <t>17/10/1990</t>
  </si>
  <si>
    <t>9393097397</t>
  </si>
  <si>
    <t>ORD10096</t>
  </si>
  <si>
    <t>04/05/2026</t>
  </si>
  <si>
    <t>07/05/2026</t>
  </si>
  <si>
    <t>28/01/1987</t>
  </si>
  <si>
    <t>9958032109</t>
  </si>
  <si>
    <t>ORD10097</t>
  </si>
  <si>
    <t>18/01/2026</t>
  </si>
  <si>
    <t>27/01/2026</t>
  </si>
  <si>
    <t>21/09/1983</t>
  </si>
  <si>
    <t>9755082957</t>
  </si>
  <si>
    <t>ORD10098</t>
  </si>
  <si>
    <t>14/03/2026</t>
  </si>
  <si>
    <t>04/04/1989</t>
  </si>
  <si>
    <t>9872235856</t>
  </si>
  <si>
    <t>ORD10099</t>
  </si>
  <si>
    <t>09/05/2025</t>
  </si>
  <si>
    <t>11/05/2025</t>
  </si>
  <si>
    <t>25/09/1987</t>
  </si>
  <si>
    <t>9335138816</t>
  </si>
  <si>
    <t>ORD10100</t>
  </si>
  <si>
    <t>10/05/2026</t>
  </si>
  <si>
    <t>07/08/1982</t>
  </si>
  <si>
    <t>9750365609</t>
  </si>
  <si>
    <t>ORD10101</t>
  </si>
  <si>
    <t>21/04/2025</t>
  </si>
  <si>
    <t>29/04/2025</t>
  </si>
  <si>
    <t>17/07/1986</t>
  </si>
  <si>
    <t>9736812737</t>
  </si>
  <si>
    <t>ORD10102</t>
  </si>
  <si>
    <t>11/12/2025</t>
  </si>
  <si>
    <t>20/12/2025</t>
  </si>
  <si>
    <t>06/04/1987</t>
  </si>
  <si>
    <t>9271420931</t>
  </si>
  <si>
    <t>ORD10103</t>
  </si>
  <si>
    <t>15/05/2026</t>
  </si>
  <si>
    <t>25/02/2004</t>
  </si>
  <si>
    <t>9781411370</t>
  </si>
  <si>
    <t>ORD10104</t>
  </si>
  <si>
    <t>13/01/2025</t>
  </si>
  <si>
    <t>20/01/2025</t>
  </si>
  <si>
    <t>24/04/2001</t>
  </si>
  <si>
    <t>9584152818</t>
  </si>
  <si>
    <t>ORD10105</t>
  </si>
  <si>
    <t>17/03/2025</t>
  </si>
  <si>
    <t>01/07/1996</t>
  </si>
  <si>
    <t>9507986836</t>
  </si>
  <si>
    <t>ORD10106</t>
  </si>
  <si>
    <t>25/02/2025</t>
  </si>
  <si>
    <t>06/02/1979</t>
  </si>
  <si>
    <t>9518249687</t>
  </si>
  <si>
    <t>ORD10107</t>
  </si>
  <si>
    <t>27/02/2025</t>
  </si>
  <si>
    <t>12/12/1985</t>
  </si>
  <si>
    <t>9179328207</t>
  </si>
  <si>
    <t>ORD10108</t>
  </si>
  <si>
    <t>18/03/2026</t>
  </si>
  <si>
    <t>28/01/1992</t>
  </si>
  <si>
    <t>9778490728</t>
  </si>
  <si>
    <t>ORD10109</t>
  </si>
  <si>
    <t>10/07/2025</t>
  </si>
  <si>
    <t>12/07/2025</t>
  </si>
  <si>
    <t>05/07/1993</t>
  </si>
  <si>
    <t>9223058722</t>
  </si>
  <si>
    <t>ORD10110</t>
  </si>
  <si>
    <t>18/11/2025</t>
  </si>
  <si>
    <t>13/09/1977</t>
  </si>
  <si>
    <t>9999889465</t>
  </si>
  <si>
    <t>ORD10111</t>
  </si>
  <si>
    <t>11/10/1985</t>
  </si>
  <si>
    <t>9489687402</t>
  </si>
  <si>
    <t>ORD10112</t>
  </si>
  <si>
    <t>09/04/2025</t>
  </si>
  <si>
    <t>02/10/2001</t>
  </si>
  <si>
    <t>9236963301</t>
  </si>
  <si>
    <t>ORD10113</t>
  </si>
  <si>
    <t>03/04/2026</t>
  </si>
  <si>
    <t>10/04/2026</t>
  </si>
  <si>
    <t>08/04/1986</t>
  </si>
  <si>
    <t>9653594592</t>
  </si>
  <si>
    <t>ORD10114</t>
  </si>
  <si>
    <t>28/10/2025</t>
  </si>
  <si>
    <t>21/07/1990</t>
  </si>
  <si>
    <t>9781970426</t>
  </si>
  <si>
    <t>ORD10115</t>
  </si>
  <si>
    <t>03/04/2025</t>
  </si>
  <si>
    <t>14/04/2025</t>
  </si>
  <si>
    <t>11/04/1994</t>
  </si>
  <si>
    <t>9862165194</t>
  </si>
  <si>
    <t>ORD10116</t>
  </si>
  <si>
    <t>04/05/1992</t>
  </si>
  <si>
    <t>9661280388</t>
  </si>
  <si>
    <t>ORD10117</t>
  </si>
  <si>
    <t>24/08/2025</t>
  </si>
  <si>
    <t>31/08/2025</t>
  </si>
  <si>
    <t>13/05/1980</t>
  </si>
  <si>
    <t>9896985355</t>
  </si>
  <si>
    <t>ORD10118</t>
  </si>
  <si>
    <t>31/05/2025</t>
  </si>
  <si>
    <t>11/06/2025</t>
  </si>
  <si>
    <t>07/09/1995</t>
  </si>
  <si>
    <t>9807154421</t>
  </si>
  <si>
    <t>ORD10119</t>
  </si>
  <si>
    <t>30/05/2025</t>
  </si>
  <si>
    <t>02/06/2025</t>
  </si>
  <si>
    <t>08/03/1988</t>
  </si>
  <si>
    <t>Ten</t>
  </si>
  <si>
    <t>9919834000</t>
  </si>
  <si>
    <t>ORD10120</t>
  </si>
  <si>
    <t>07/07/1989</t>
  </si>
  <si>
    <t>9739798818</t>
  </si>
  <si>
    <t>ORD10121</t>
  </si>
  <si>
    <t>16/12/2025</t>
  </si>
  <si>
    <t>11/11/1993</t>
  </si>
  <si>
    <t>9208625306</t>
  </si>
  <si>
    <t>ORD10122</t>
  </si>
  <si>
    <t>01/02/2000</t>
  </si>
  <si>
    <t>9970178536</t>
  </si>
  <si>
    <t>ORD10123</t>
  </si>
  <si>
    <t>22/06/1986</t>
  </si>
  <si>
    <t>9633745195</t>
  </si>
  <si>
    <t>ORD10124</t>
  </si>
  <si>
    <t>20/10/2025</t>
  </si>
  <si>
    <t>26/10/2025</t>
  </si>
  <si>
    <t>16/02/1986</t>
  </si>
  <si>
    <t>9922102053</t>
  </si>
  <si>
    <t>ORD10125</t>
  </si>
  <si>
    <t>21/05/2025</t>
  </si>
  <si>
    <t>18/09/1991</t>
  </si>
  <si>
    <t>9135963930</t>
  </si>
  <si>
    <t>ORD10126</t>
  </si>
  <si>
    <t>02/01/2026</t>
  </si>
  <si>
    <t>06/01/2026</t>
  </si>
  <si>
    <t>04/01/1981</t>
  </si>
  <si>
    <t>9429405275</t>
  </si>
  <si>
    <t>ORD10127</t>
  </si>
  <si>
    <t>26/04/2026</t>
  </si>
  <si>
    <t>12/10/2004</t>
  </si>
  <si>
    <t>9521757571</t>
  </si>
  <si>
    <t>ORD10128</t>
  </si>
  <si>
    <t>04/08/2025</t>
  </si>
  <si>
    <t>25/03/1984</t>
  </si>
  <si>
    <t>9467375455</t>
  </si>
  <si>
    <t>ORD10129</t>
  </si>
  <si>
    <t>18/08/2025</t>
  </si>
  <si>
    <t>09/09/1982</t>
  </si>
  <si>
    <t>9838809695</t>
  </si>
  <si>
    <t>ORD10130</t>
  </si>
  <si>
    <t>15/02/1993</t>
  </si>
  <si>
    <t>9296609782</t>
  </si>
  <si>
    <t>ORD10131</t>
  </si>
  <si>
    <t>27/04/2026</t>
  </si>
  <si>
    <t>30/04/2026</t>
  </si>
  <si>
    <t>08/04/2003</t>
  </si>
  <si>
    <t>9848259992</t>
  </si>
  <si>
    <t>ORD10132</t>
  </si>
  <si>
    <t>17/02/2026</t>
  </si>
  <si>
    <t>20/10/1989</t>
  </si>
  <si>
    <t>9254082295</t>
  </si>
  <si>
    <t>ORD10133</t>
  </si>
  <si>
    <t>04/04/2026</t>
  </si>
  <si>
    <t>15/09/1995</t>
  </si>
  <si>
    <t>9687923860</t>
  </si>
  <si>
    <t>ORD10134</t>
  </si>
  <si>
    <t>07/04/1994</t>
  </si>
  <si>
    <t>9426459149</t>
  </si>
  <si>
    <t>ORD10135</t>
  </si>
  <si>
    <t>02/10/2003</t>
  </si>
  <si>
    <t>9155925975</t>
  </si>
  <si>
    <t>ORD10136</t>
  </si>
  <si>
    <t>08/06/2025</t>
  </si>
  <si>
    <t>10/06/2025</t>
  </si>
  <si>
    <t>14/07/1997</t>
  </si>
  <si>
    <t>9945247701</t>
  </si>
  <si>
    <t>ORD10137</t>
  </si>
  <si>
    <t>25/07/2025</t>
  </si>
  <si>
    <t>01/08/2025</t>
  </si>
  <si>
    <t>09/08/1979</t>
  </si>
  <si>
    <t>9597378398</t>
  </si>
  <si>
    <t>ORD10138</t>
  </si>
  <si>
    <t>16/01/2025</t>
  </si>
  <si>
    <t>21/01/2025</t>
  </si>
  <si>
    <t>20/10/2002</t>
  </si>
  <si>
    <t>9343963736</t>
  </si>
  <si>
    <t>ORD10139</t>
  </si>
  <si>
    <t>04/02/2025</t>
  </si>
  <si>
    <t>05/02/2025</t>
  </si>
  <si>
    <t>24/07/1985</t>
  </si>
  <si>
    <t>9548742147</t>
  </si>
  <si>
    <t>ORD10140</t>
  </si>
  <si>
    <t>22/01/2025</t>
  </si>
  <si>
    <t>30/01/2025</t>
  </si>
  <si>
    <t>23/08/1988</t>
  </si>
  <si>
    <t>9912945471</t>
  </si>
  <si>
    <t>ORD10141</t>
  </si>
  <si>
    <t>11/04/2025</t>
  </si>
  <si>
    <t>09/01/1979</t>
  </si>
  <si>
    <t>9912630684</t>
  </si>
  <si>
    <t>ORD10142</t>
  </si>
  <si>
    <t>14/07/2025</t>
  </si>
  <si>
    <t>25/08/1986</t>
  </si>
  <si>
    <t>9114017237</t>
  </si>
  <si>
    <t>ORD10143</t>
  </si>
  <si>
    <t>29/01/2025</t>
  </si>
  <si>
    <t>01/04/1977</t>
  </si>
  <si>
    <t>9872471236</t>
  </si>
  <si>
    <t>ORD10144</t>
  </si>
  <si>
    <t>17/12/2025</t>
  </si>
  <si>
    <t>18/12/2025</t>
  </si>
  <si>
    <t>04/08/1983</t>
  </si>
  <si>
    <t>9461383824</t>
  </si>
  <si>
    <t>ORD10145</t>
  </si>
  <si>
    <t>10/10/2025</t>
  </si>
  <si>
    <t>21/10/2025</t>
  </si>
  <si>
    <t>07/04/1978</t>
  </si>
  <si>
    <t>9243407457</t>
  </si>
  <si>
    <t>ORD10146</t>
  </si>
  <si>
    <t>07/03/2026</t>
  </si>
  <si>
    <t>10/03/2026</t>
  </si>
  <si>
    <t>04/03/1983</t>
  </si>
  <si>
    <t>9418672379</t>
  </si>
  <si>
    <t>ORD10147</t>
  </si>
  <si>
    <t>27/10/1987</t>
  </si>
  <si>
    <t>9222733065</t>
  </si>
  <si>
    <t>ORD10148</t>
  </si>
  <si>
    <t>19/04/2003</t>
  </si>
  <si>
    <t>9684246902</t>
  </si>
  <si>
    <t>14/02/2002</t>
  </si>
  <si>
    <t>9989580228</t>
  </si>
  <si>
    <t>ORD10150</t>
  </si>
  <si>
    <t>05/07/1975</t>
  </si>
  <si>
    <t>9110269572</t>
  </si>
  <si>
    <t>ORD10151</t>
  </si>
  <si>
    <t>05/03/1992</t>
  </si>
  <si>
    <t>9745972422</t>
  </si>
  <si>
    <t>ORD10152</t>
  </si>
  <si>
    <t>29/11/2025</t>
  </si>
  <si>
    <t>07/12/2025</t>
  </si>
  <si>
    <t>03/06/1998</t>
  </si>
  <si>
    <t>9123712257</t>
  </si>
  <si>
    <t>ORD10153</t>
  </si>
  <si>
    <t>19/07/2025</t>
  </si>
  <si>
    <t>28/09/1996</t>
  </si>
  <si>
    <t>9665525431</t>
  </si>
  <si>
    <t>ORD10154</t>
  </si>
  <si>
    <t>23/03/2025</t>
  </si>
  <si>
    <t>15/12/1995</t>
  </si>
  <si>
    <t>9682415134</t>
  </si>
  <si>
    <t>ORD10155</t>
  </si>
  <si>
    <t>22/07/2025</t>
  </si>
  <si>
    <t>23/07/2025</t>
  </si>
  <si>
    <t>24/07/1976</t>
  </si>
  <si>
    <t>9808223872</t>
  </si>
  <si>
    <t>ORD10156</t>
  </si>
  <si>
    <t>21/07/2025</t>
  </si>
  <si>
    <t>24/07/2025</t>
  </si>
  <si>
    <t>22/06/1984</t>
  </si>
  <si>
    <t>9193549730</t>
  </si>
  <si>
    <t>ORD10157</t>
  </si>
  <si>
    <t>29/07/2025</t>
  </si>
  <si>
    <t>06/08/1998</t>
  </si>
  <si>
    <t>9520617130</t>
  </si>
  <si>
    <t>ORD10158</t>
  </si>
  <si>
    <t>18/06/2001</t>
  </si>
  <si>
    <t>9264578122</t>
  </si>
  <si>
    <t>ORD10159</t>
  </si>
  <si>
    <t>23/05/2026</t>
  </si>
  <si>
    <t>11/09/1999</t>
  </si>
  <si>
    <t>9275071213</t>
  </si>
  <si>
    <t>ORD10160</t>
  </si>
  <si>
    <t>07/12/1995</t>
  </si>
  <si>
    <t>9715222543</t>
  </si>
  <si>
    <t>ORD10161</t>
  </si>
  <si>
    <t>Amit    Sharma</t>
  </si>
  <si>
    <t>22/07/1999</t>
  </si>
  <si>
    <t>9942010833</t>
  </si>
  <si>
    <t>ORD10162</t>
  </si>
  <si>
    <t>14/11/2000</t>
  </si>
  <si>
    <t>9347718932</t>
  </si>
  <si>
    <t>ORD10163</t>
  </si>
  <si>
    <t>17/09/2025</t>
  </si>
  <si>
    <t>24/07/2002</t>
  </si>
  <si>
    <t>9274808844</t>
  </si>
  <si>
    <t>ORD10164</t>
  </si>
  <si>
    <t>04/11/2025</t>
  </si>
  <si>
    <t>13/11/2025</t>
  </si>
  <si>
    <t>25/02/2002</t>
  </si>
  <si>
    <t>9798996063</t>
  </si>
  <si>
    <t>ORD10165</t>
  </si>
  <si>
    <t>16/07/1980</t>
  </si>
  <si>
    <t>9145200936</t>
  </si>
  <si>
    <t>ORD10166</t>
  </si>
  <si>
    <t>19/06/2025</t>
  </si>
  <si>
    <t>25/05/1996</t>
  </si>
  <si>
    <t>9697654418</t>
  </si>
  <si>
    <t>ORD10167</t>
  </si>
  <si>
    <t>26/03/2025</t>
  </si>
  <si>
    <t>06/04/2025</t>
  </si>
  <si>
    <t>11/05/1986</t>
  </si>
  <si>
    <t>9457923119</t>
  </si>
  <si>
    <t>ORD10168</t>
  </si>
  <si>
    <t>06/07/2025</t>
  </si>
  <si>
    <t>25/05/1989</t>
  </si>
  <si>
    <t>9236111271</t>
  </si>
  <si>
    <t>ORD10169</t>
  </si>
  <si>
    <t>25/08/1989</t>
  </si>
  <si>
    <t>9402569141</t>
  </si>
  <si>
    <t>ORD10170</t>
  </si>
  <si>
    <t>20/05/1997</t>
  </si>
  <si>
    <t>9138184056</t>
  </si>
  <si>
    <t>ORD10171</t>
  </si>
  <si>
    <t>01/04/2026</t>
  </si>
  <si>
    <t>07/04/2026</t>
  </si>
  <si>
    <t>03/05/1987</t>
  </si>
  <si>
    <t>9609598700</t>
  </si>
  <si>
    <t>ORD10172</t>
  </si>
  <si>
    <t>29/10/2025</t>
  </si>
  <si>
    <t>02/12/2002</t>
  </si>
  <si>
    <t>9385894399</t>
  </si>
  <si>
    <t>ORD10173</t>
  </si>
  <si>
    <t>06/02/2025</t>
  </si>
  <si>
    <t>17/02/2025</t>
  </si>
  <si>
    <t>25/05/1986</t>
  </si>
  <si>
    <t>9329448011</t>
  </si>
  <si>
    <t>ORD10174</t>
  </si>
  <si>
    <t xml:space="preserve">       Vikas Mehta</t>
  </si>
  <si>
    <t>22/02/1986</t>
  </si>
  <si>
    <t>vikas.mehtacompany.com</t>
  </si>
  <si>
    <t>9889544104</t>
  </si>
  <si>
    <t>ORD10175</t>
  </si>
  <si>
    <t>14/03/2025</t>
  </si>
  <si>
    <t>07/04/1988</t>
  </si>
  <si>
    <t>9101861045</t>
  </si>
  <si>
    <t>ORD10176</t>
  </si>
  <si>
    <t>16/07/2025</t>
  </si>
  <si>
    <t>27/06/1993</t>
  </si>
  <si>
    <t>9364712105</t>
  </si>
  <si>
    <t>ORD10177</t>
  </si>
  <si>
    <t>02/12/2025</t>
  </si>
  <si>
    <t>Sneha      Joshi</t>
  </si>
  <si>
    <t>18/06/2004</t>
  </si>
  <si>
    <t>9950206376</t>
  </si>
  <si>
    <t>ORD10178</t>
  </si>
  <si>
    <t>21/02/2026</t>
  </si>
  <si>
    <t>09/09/1993</t>
  </si>
  <si>
    <t>9235822094</t>
  </si>
  <si>
    <t>ORD10179</t>
  </si>
  <si>
    <t>09/11/2025</t>
  </si>
  <si>
    <t>Priya  Patel</t>
  </si>
  <si>
    <t>13/09/2001</t>
  </si>
  <si>
    <t>9311021344</t>
  </si>
  <si>
    <t>ORD10180</t>
  </si>
  <si>
    <t>07/02/2025</t>
  </si>
  <si>
    <t>15/11/1981</t>
  </si>
  <si>
    <t>9891358505</t>
  </si>
  <si>
    <t>ORD10181</t>
  </si>
  <si>
    <t>26/05/2025</t>
  </si>
  <si>
    <t>12/09/1980</t>
  </si>
  <si>
    <t>9910085332</t>
  </si>
  <si>
    <t>ORD10182</t>
  </si>
  <si>
    <t>04/10/2025</t>
  </si>
  <si>
    <t>06/10/2025</t>
  </si>
  <si>
    <t>9756908023</t>
  </si>
  <si>
    <t>ORD10183</t>
  </si>
  <si>
    <t>15/05/2025</t>
  </si>
  <si>
    <t>19/02/1988</t>
  </si>
  <si>
    <t>9645913247</t>
  </si>
  <si>
    <t>ORD10184</t>
  </si>
  <si>
    <t>14/06/2025</t>
  </si>
  <si>
    <t>23/06/2025</t>
  </si>
  <si>
    <t>03/12/1981</t>
  </si>
  <si>
    <t>9806914795</t>
  </si>
  <si>
    <t>ORD10185</t>
  </si>
  <si>
    <t>22/04/2025</t>
  </si>
  <si>
    <t>11/02/1984</t>
  </si>
  <si>
    <t>9276222829</t>
  </si>
  <si>
    <t>ORD10186</t>
  </si>
  <si>
    <t>24/01/2025</t>
  </si>
  <si>
    <t>07/12/1991</t>
  </si>
  <si>
    <t>9533835528</t>
  </si>
  <si>
    <t>ORD10187</t>
  </si>
  <si>
    <t>26/12/2025</t>
  </si>
  <si>
    <t>21/02/1976</t>
  </si>
  <si>
    <t>9654885820</t>
  </si>
  <si>
    <t>ORD10188</t>
  </si>
  <si>
    <t>28/06/2025</t>
  </si>
  <si>
    <t>28/08/1975</t>
  </si>
  <si>
    <t>9456029544</t>
  </si>
  <si>
    <t>ORD10189</t>
  </si>
  <si>
    <t>12/05/2026</t>
  </si>
  <si>
    <t>22/05/2026</t>
  </si>
  <si>
    <t>05/12/1987</t>
  </si>
  <si>
    <t>9914571493</t>
  </si>
  <si>
    <t>ORD10190</t>
  </si>
  <si>
    <t>26/08/2004</t>
  </si>
  <si>
    <t>9270726986</t>
  </si>
  <si>
    <t>ORD10191</t>
  </si>
  <si>
    <t>16/01/1994</t>
  </si>
  <si>
    <t>9570080664</t>
  </si>
  <si>
    <t>ORD10192</t>
  </si>
  <si>
    <t>20/11/2025</t>
  </si>
  <si>
    <t>28/10/2003</t>
  </si>
  <si>
    <t>9109009524</t>
  </si>
  <si>
    <t>ORD10193</t>
  </si>
  <si>
    <t>16/05/2000</t>
  </si>
  <si>
    <t>9701276770</t>
  </si>
  <si>
    <t>ORD10194</t>
  </si>
  <si>
    <t>16/02/2025</t>
  </si>
  <si>
    <t>18/02/2025</t>
  </si>
  <si>
    <t>04/07/1989</t>
  </si>
  <si>
    <t>9298278507</t>
  </si>
  <si>
    <t>ORD10195</t>
  </si>
  <si>
    <t>09/03/1998</t>
  </si>
  <si>
    <t>9895908093</t>
  </si>
  <si>
    <t>ORD10196</t>
  </si>
  <si>
    <t>21/05/1988</t>
  </si>
  <si>
    <t>9734108795</t>
  </si>
  <si>
    <t>ORD10197</t>
  </si>
  <si>
    <t>14/01/2026</t>
  </si>
  <si>
    <t>18/07/1994</t>
  </si>
  <si>
    <t>9799597413</t>
  </si>
  <si>
    <t>ORD10198</t>
  </si>
  <si>
    <t>15/11/1977</t>
  </si>
  <si>
    <t>9688987266</t>
  </si>
  <si>
    <t>ORD10199</t>
  </si>
  <si>
    <t>15/04/2026</t>
  </si>
  <si>
    <t>22/09/1982</t>
  </si>
  <si>
    <t>Stationary</t>
  </si>
  <si>
    <t>9867169037</t>
  </si>
  <si>
    <t>ORD10200</t>
  </si>
  <si>
    <t>20/02/2025</t>
  </si>
  <si>
    <t>14/09/1994</t>
  </si>
  <si>
    <t>9485547425</t>
  </si>
  <si>
    <t>ORD10201</t>
  </si>
  <si>
    <t>02/12/1995</t>
  </si>
  <si>
    <t>9889733076</t>
  </si>
  <si>
    <t>ORD10202</t>
  </si>
  <si>
    <t>24/05/2025</t>
  </si>
  <si>
    <t>27/05/2025</t>
  </si>
  <si>
    <t>10/07/1985</t>
  </si>
  <si>
    <t>9145434449</t>
  </si>
  <si>
    <t>ORD10203</t>
  </si>
  <si>
    <t>25/03/2001</t>
  </si>
  <si>
    <t>9598942148</t>
  </si>
  <si>
    <t>ORD10204</t>
  </si>
  <si>
    <t>09/03/2026</t>
  </si>
  <si>
    <t>9599252705</t>
  </si>
  <si>
    <t>ORD10205</t>
  </si>
  <si>
    <t>14/01/2003</t>
  </si>
  <si>
    <t>9626843681</t>
  </si>
  <si>
    <t>ORD10206</t>
  </si>
  <si>
    <t>12/03/2025</t>
  </si>
  <si>
    <t>02/10/1980</t>
  </si>
  <si>
    <t>9934933215</t>
  </si>
  <si>
    <t>ORD10207</t>
  </si>
  <si>
    <t>06/04/2026</t>
  </si>
  <si>
    <t>24/10/1990</t>
  </si>
  <si>
    <t>9508025585</t>
  </si>
  <si>
    <t>ORD10208</t>
  </si>
  <si>
    <t>17/01/2026</t>
  </si>
  <si>
    <t>20/01/2026</t>
  </si>
  <si>
    <t>24/09/1977</t>
  </si>
  <si>
    <t>9364681052</t>
  </si>
  <si>
    <t>ORD10209</t>
  </si>
  <si>
    <t>24/11/2025</t>
  </si>
  <si>
    <t>02/10/1996</t>
  </si>
  <si>
    <t>9117102884</t>
  </si>
  <si>
    <t>ORD10210</t>
  </si>
  <si>
    <t>21/09/2025</t>
  </si>
  <si>
    <t>17/05/1976</t>
  </si>
  <si>
    <t>9819453185</t>
  </si>
  <si>
    <t>ORD10211</t>
  </si>
  <si>
    <t>27/12/2025</t>
  </si>
  <si>
    <t>09/12/1987</t>
  </si>
  <si>
    <t>9511806701</t>
  </si>
  <si>
    <t>ORD10212</t>
  </si>
  <si>
    <t>16/07/1990</t>
  </si>
  <si>
    <t>9875249891</t>
  </si>
  <si>
    <t>ORD10213</t>
  </si>
  <si>
    <t>9438232503</t>
  </si>
  <si>
    <t>ORD10214</t>
  </si>
  <si>
    <t>22/04/2026</t>
  </si>
  <si>
    <t>26/12/1977</t>
  </si>
  <si>
    <t>9449953754</t>
  </si>
  <si>
    <t>ORD10215</t>
  </si>
  <si>
    <t>06/03/2026</t>
  </si>
  <si>
    <t>04/06/1995</t>
  </si>
  <si>
    <t>9833801891</t>
  </si>
  <si>
    <t>ORD10216</t>
  </si>
  <si>
    <t>28/02/2025</t>
  </si>
  <si>
    <t>16/11/1983</t>
  </si>
  <si>
    <t>9183949273</t>
  </si>
  <si>
    <t>ORD10217</t>
  </si>
  <si>
    <t>07/11/2025</t>
  </si>
  <si>
    <t>10/10/1985</t>
  </si>
  <si>
    <t>9168257367</t>
  </si>
  <si>
    <t>ORD10218</t>
  </si>
  <si>
    <t>30/01/2026</t>
  </si>
  <si>
    <t>07/01/2002</t>
  </si>
  <si>
    <t>9580903210</t>
  </si>
  <si>
    <t>ORD10219</t>
  </si>
  <si>
    <t>29/04/2026</t>
  </si>
  <si>
    <t>18/07/1999</t>
  </si>
  <si>
    <t>9602152945</t>
  </si>
  <si>
    <t>ORD10220</t>
  </si>
  <si>
    <t>18/05/2025</t>
  </si>
  <si>
    <t>20/05/2025</t>
  </si>
  <si>
    <t>02/09/1990</t>
  </si>
  <si>
    <t>9646917552</t>
  </si>
  <si>
    <t>ORD10221</t>
  </si>
  <si>
    <t>28/03/2026</t>
  </si>
  <si>
    <t>02/08/1992</t>
  </si>
  <si>
    <t>9127548552</t>
  </si>
  <si>
    <t>ORD10222</t>
  </si>
  <si>
    <t>19/01/2026</t>
  </si>
  <si>
    <t>09/02/1980</t>
  </si>
  <si>
    <t>9712805603</t>
  </si>
  <si>
    <t>ORD10223</t>
  </si>
  <si>
    <t>02/05/2026</t>
  </si>
  <si>
    <t>18/02/1989</t>
  </si>
  <si>
    <t>9798313682</t>
  </si>
  <si>
    <t>ORD10224</t>
  </si>
  <si>
    <t>02/11/2025</t>
  </si>
  <si>
    <t>10/09/1993</t>
  </si>
  <si>
    <t>9642822397</t>
  </si>
  <si>
    <t>ORD10225</t>
  </si>
  <si>
    <t>20/07/2025</t>
  </si>
  <si>
    <t>17/11/1981</t>
  </si>
  <si>
    <t>9490067655</t>
  </si>
  <si>
    <t>ORD10226</t>
  </si>
  <si>
    <t>24/02/2025</t>
  </si>
  <si>
    <t>24/08/2003</t>
  </si>
  <si>
    <t>9389792144</t>
  </si>
  <si>
    <t>ORD10227</t>
  </si>
  <si>
    <t>20/04/2025</t>
  </si>
  <si>
    <t>01/05/2025</t>
  </si>
  <si>
    <t>19/07/1985</t>
  </si>
  <si>
    <t>9736113863</t>
  </si>
  <si>
    <t>ORD10228</t>
  </si>
  <si>
    <t>05/06/2025</t>
  </si>
  <si>
    <t>13/06/2025</t>
  </si>
  <si>
    <t>10/05/1994</t>
  </si>
  <si>
    <t>9324634732</t>
  </si>
  <si>
    <t>ORD10229</t>
  </si>
  <si>
    <t>23/05/2025</t>
  </si>
  <si>
    <t>23/03/1993</t>
  </si>
  <si>
    <t>9529968110</t>
  </si>
  <si>
    <t>ORD10230</t>
  </si>
  <si>
    <t>24/01/2026</t>
  </si>
  <si>
    <t>13/06/1979</t>
  </si>
  <si>
    <t>9102417647</t>
  </si>
  <si>
    <t>ORD10231</t>
  </si>
  <si>
    <t>24/01/1991</t>
  </si>
  <si>
    <t>9630302865</t>
  </si>
  <si>
    <t>ORD10232</t>
  </si>
  <si>
    <t>22/02/2004</t>
  </si>
  <si>
    <t>9465353780</t>
  </si>
  <si>
    <t>ORD10233</t>
  </si>
  <si>
    <t>25/04/1977</t>
  </si>
  <si>
    <t>9837426414</t>
  </si>
  <si>
    <t>ORD10234</t>
  </si>
  <si>
    <t>20/02/2026</t>
  </si>
  <si>
    <t>04/03/2026</t>
  </si>
  <si>
    <t>22/07/1994</t>
  </si>
  <si>
    <t>9249918272</t>
  </si>
  <si>
    <t>ORD10235</t>
  </si>
  <si>
    <t>11/11/1979</t>
  </si>
  <si>
    <t>9265580582</t>
  </si>
  <si>
    <t>ORD10236</t>
  </si>
  <si>
    <t>09/07/2025</t>
  </si>
  <si>
    <t>27/05/1995</t>
  </si>
  <si>
    <t>9751049833</t>
  </si>
  <si>
    <t>ORD10237</t>
  </si>
  <si>
    <t>08/02/2025</t>
  </si>
  <si>
    <t>18/06/1998</t>
  </si>
  <si>
    <t>9741671507</t>
  </si>
  <si>
    <t>ORD10238</t>
  </si>
  <si>
    <t>04/03/2025</t>
  </si>
  <si>
    <t>21/01/1983</t>
  </si>
  <si>
    <t>9367541035</t>
  </si>
  <si>
    <t>ORD10239</t>
  </si>
  <si>
    <t>06/02/2026</t>
  </si>
  <si>
    <t>03/03/1978</t>
  </si>
  <si>
    <t>9323696971</t>
  </si>
  <si>
    <t>ORD10240</t>
  </si>
  <si>
    <t>08/01/2026</t>
  </si>
  <si>
    <t>24/06/1997</t>
  </si>
  <si>
    <t>9786384529</t>
  </si>
  <si>
    <t>ORD10241</t>
  </si>
  <si>
    <t>25/08/1976</t>
  </si>
  <si>
    <t>9444900541</t>
  </si>
  <si>
    <t>ORD10242</t>
  </si>
  <si>
    <t>12/09/2025</t>
  </si>
  <si>
    <t>04/04/1996</t>
  </si>
  <si>
    <t>9108024911</t>
  </si>
  <si>
    <t>ORD10243</t>
  </si>
  <si>
    <t>13/01/2026</t>
  </si>
  <si>
    <t>09/10/2001</t>
  </si>
  <si>
    <t>9897181325</t>
  </si>
  <si>
    <t>ORD10244</t>
  </si>
  <si>
    <t>16/05/2026</t>
  </si>
  <si>
    <t>19/05/2026</t>
  </si>
  <si>
    <t>11/04/1995</t>
  </si>
  <si>
    <t>9554719621</t>
  </si>
  <si>
    <t>ORD10245</t>
  </si>
  <si>
    <t>04/05/2000</t>
  </si>
  <si>
    <t>9815899217</t>
  </si>
  <si>
    <t>ORD10246</t>
  </si>
  <si>
    <t>01/06/2025</t>
  </si>
  <si>
    <t>01/03/2002</t>
  </si>
  <si>
    <t>9308497039</t>
  </si>
  <si>
    <t>ORD10247</t>
  </si>
  <si>
    <t>27/05/1975</t>
  </si>
  <si>
    <t>9882054354</t>
  </si>
  <si>
    <t>ORD10248</t>
  </si>
  <si>
    <t>02/12/1988</t>
  </si>
  <si>
    <t>9193016830</t>
  </si>
  <si>
    <t>ORD10249</t>
  </si>
  <si>
    <t>28/12/2025</t>
  </si>
  <si>
    <t>05/01/2026</t>
  </si>
  <si>
    <t>06/12/1984</t>
  </si>
  <si>
    <t>Crypto</t>
  </si>
  <si>
    <t>9921470418</t>
  </si>
  <si>
    <t>ORD10250</t>
  </si>
  <si>
    <t>17/05/2025</t>
  </si>
  <si>
    <t>01/05/1990</t>
  </si>
  <si>
    <t>9686979026</t>
  </si>
  <si>
    <t>ORD10251</t>
  </si>
  <si>
    <t>09/02/1988</t>
  </si>
  <si>
    <t>9569007422</t>
  </si>
  <si>
    <t>ORD10252</t>
  </si>
  <si>
    <t>28/03/1982</t>
  </si>
  <si>
    <t>9180820441</t>
  </si>
  <si>
    <t>ORD10253</t>
  </si>
  <si>
    <t>15/12/2025</t>
  </si>
  <si>
    <t>28/12/1976</t>
  </si>
  <si>
    <t>9769075826</t>
  </si>
  <si>
    <t>ORD10254</t>
  </si>
  <si>
    <t>03/08/2003</t>
  </si>
  <si>
    <t>9467916296</t>
  </si>
  <si>
    <t>ORD10255</t>
  </si>
  <si>
    <t>01/10/2025</t>
  </si>
  <si>
    <t>06/05/1986</t>
  </si>
  <si>
    <t>9477052923</t>
  </si>
  <si>
    <t>ORD10256</t>
  </si>
  <si>
    <t>03/11/2025</t>
  </si>
  <si>
    <t>04/02/1989</t>
  </si>
  <si>
    <t>9184311420</t>
  </si>
  <si>
    <t>ORD10257</t>
  </si>
  <si>
    <t>08/02/1980</t>
  </si>
  <si>
    <t>9630913127</t>
  </si>
  <si>
    <t>ORD10258</t>
  </si>
  <si>
    <t>13/01/1985</t>
  </si>
  <si>
    <t>9997515828</t>
  </si>
  <si>
    <t>ORD10259</t>
  </si>
  <si>
    <t>24/07/1979</t>
  </si>
  <si>
    <t>9394291182</t>
  </si>
  <si>
    <t>ORD10260</t>
  </si>
  <si>
    <t>09/05/2026</t>
  </si>
  <si>
    <t>03/08/1993</t>
  </si>
  <si>
    <t>9616853220</t>
  </si>
  <si>
    <t>ORD10261</t>
  </si>
  <si>
    <t>30/07/2025</t>
  </si>
  <si>
    <t>23/08/1975</t>
  </si>
  <si>
    <t>9147552626</t>
  </si>
  <si>
    <t>ORD10262</t>
  </si>
  <si>
    <t>23/04/1978</t>
  </si>
  <si>
    <t>9724197033</t>
  </si>
  <si>
    <t>ORD10263</t>
  </si>
  <si>
    <t>08/07/2025</t>
  </si>
  <si>
    <t>25/09/2003</t>
  </si>
  <si>
    <t>9130666128</t>
  </si>
  <si>
    <t>ORD10264</t>
  </si>
  <si>
    <t>12/12/2025</t>
  </si>
  <si>
    <t>09/04/2002</t>
  </si>
  <si>
    <t>9866567601</t>
  </si>
  <si>
    <t>ORD10265</t>
  </si>
  <si>
    <t>24/09/1985</t>
  </si>
  <si>
    <t>9477282450</t>
  </si>
  <si>
    <t>ORD10266</t>
  </si>
  <si>
    <t>12/12/1984</t>
  </si>
  <si>
    <t>9857621478</t>
  </si>
  <si>
    <t>ORD10267</t>
  </si>
  <si>
    <t>03/05/2025</t>
  </si>
  <si>
    <t>20/07/1984</t>
  </si>
  <si>
    <t>9753869055</t>
  </si>
  <si>
    <t>ORD10268</t>
  </si>
  <si>
    <t>09/01/2025</t>
  </si>
  <si>
    <t>12/01/2025</t>
  </si>
  <si>
    <t>15/03/1988</t>
  </si>
  <si>
    <t>9663266204</t>
  </si>
  <si>
    <t>ORD10269</t>
  </si>
  <si>
    <t>27/05/1987</t>
  </si>
  <si>
    <t>9675208616</t>
  </si>
  <si>
    <t>ORD10270</t>
  </si>
  <si>
    <t>25/10/1988</t>
  </si>
  <si>
    <t>9618393586</t>
  </si>
  <si>
    <t>ORD10271</t>
  </si>
  <si>
    <t>17/04/2025</t>
  </si>
  <si>
    <t>12/12/1990</t>
  </si>
  <si>
    <t>9137027840</t>
  </si>
  <si>
    <t>ORD10272</t>
  </si>
  <si>
    <t>09/08/2025</t>
  </si>
  <si>
    <t>23/02/1981</t>
  </si>
  <si>
    <t>9362758134</t>
  </si>
  <si>
    <t>ORD10273</t>
  </si>
  <si>
    <t>16/04/2026</t>
  </si>
  <si>
    <t>03/04/1985</t>
  </si>
  <si>
    <t>9648541985</t>
  </si>
  <si>
    <t>ORD10274</t>
  </si>
  <si>
    <t>22/06/2025</t>
  </si>
  <si>
    <t>06/08/1976</t>
  </si>
  <si>
    <t>9175002781</t>
  </si>
  <si>
    <t>ORD10275</t>
  </si>
  <si>
    <t>19/05/2025</t>
  </si>
  <si>
    <t>13/05/1978</t>
  </si>
  <si>
    <t>9786241263</t>
  </si>
  <si>
    <t>ORD10276</t>
  </si>
  <si>
    <t>29/03/2025</t>
  </si>
  <si>
    <t>19/08/1998</t>
  </si>
  <si>
    <t>9691078176</t>
  </si>
  <si>
    <t>ORD10277</t>
  </si>
  <si>
    <t>18/02/2026</t>
  </si>
  <si>
    <t>20/10/1975</t>
  </si>
  <si>
    <t>9336679085</t>
  </si>
  <si>
    <t>ORD10278</t>
  </si>
  <si>
    <t>21/01/2026</t>
  </si>
  <si>
    <t>29/01/2026</t>
  </si>
  <si>
    <t>28/09/1975</t>
  </si>
  <si>
    <t>9497351043</t>
  </si>
  <si>
    <t>ORD10279</t>
  </si>
  <si>
    <t>29/09/2025</t>
  </si>
  <si>
    <t>23/09/2002</t>
  </si>
  <si>
    <t>9357038998</t>
  </si>
  <si>
    <t>ORD10280</t>
  </si>
  <si>
    <t>30/06/2025</t>
  </si>
  <si>
    <t>17/06/1988</t>
  </si>
  <si>
    <t>9986371291</t>
  </si>
  <si>
    <t>ORD10281</t>
  </si>
  <si>
    <t>12/05/2025</t>
  </si>
  <si>
    <t>16/05/2025</t>
  </si>
  <si>
    <t>02/02/1991</t>
  </si>
  <si>
    <t>9397839191</t>
  </si>
  <si>
    <t>ORD10282</t>
  </si>
  <si>
    <t>06/09/2025</t>
  </si>
  <si>
    <t>09/08/1978</t>
  </si>
  <si>
    <t>9162975843</t>
  </si>
  <si>
    <t>ORD10283</t>
  </si>
  <si>
    <t>23/04/2025</t>
  </si>
  <si>
    <t>02/02/1994</t>
  </si>
  <si>
    <t>9237616558</t>
  </si>
  <si>
    <t>ORD10284</t>
  </si>
  <si>
    <t>27/02/2026</t>
  </si>
  <si>
    <t>28/03/1995</t>
  </si>
  <si>
    <t>9935063989</t>
  </si>
  <si>
    <t>ORD10285</t>
  </si>
  <si>
    <t>12/03/1992</t>
  </si>
  <si>
    <t>9167376169</t>
  </si>
  <si>
    <t>ORD10286</t>
  </si>
  <si>
    <t>30/09/2025</t>
  </si>
  <si>
    <t>23/01/1981</t>
  </si>
  <si>
    <t>9231845497</t>
  </si>
  <si>
    <t>ORD10287</t>
  </si>
  <si>
    <t>08/05/2026</t>
  </si>
  <si>
    <t>11/05/2026</t>
  </si>
  <si>
    <t>28/09/1984</t>
  </si>
  <si>
    <t>9409415805</t>
  </si>
  <si>
    <t>ORD10288</t>
  </si>
  <si>
    <t>06/11/1975</t>
  </si>
  <si>
    <t>priya.patecompany.com</t>
  </si>
  <si>
    <t>9240800508</t>
  </si>
  <si>
    <t>ORD10289</t>
  </si>
  <si>
    <t>26/06/1995</t>
  </si>
  <si>
    <t>9764609936</t>
  </si>
  <si>
    <t>ORD10290</t>
  </si>
  <si>
    <t>21/11/1979</t>
  </si>
  <si>
    <t>9362733217</t>
  </si>
  <si>
    <t>ORD10291</t>
  </si>
  <si>
    <t>9270466205</t>
  </si>
  <si>
    <t>ORD10292</t>
  </si>
  <si>
    <t>01/04/2025</t>
  </si>
  <si>
    <t>08/02/2001</t>
  </si>
  <si>
    <t>9571436865</t>
  </si>
  <si>
    <t>ORD10293</t>
  </si>
  <si>
    <t>14/12/1989</t>
  </si>
  <si>
    <t>Pooja.shah@company.com</t>
  </si>
  <si>
    <t>9307011171</t>
  </si>
  <si>
    <t>ORD10294</t>
  </si>
  <si>
    <t>13/02/2026</t>
  </si>
  <si>
    <t>24/02/2026</t>
  </si>
  <si>
    <t>15/12/1988</t>
  </si>
  <si>
    <t>9922380435</t>
  </si>
  <si>
    <t>ORD10295</t>
  </si>
  <si>
    <t>11/02/2025</t>
  </si>
  <si>
    <t>14/02/2025</t>
  </si>
  <si>
    <t>20/10/1990</t>
  </si>
  <si>
    <t>9463618792</t>
  </si>
  <si>
    <t>ORD10296</t>
  </si>
  <si>
    <t>17/01/2025</t>
  </si>
  <si>
    <t>27/01/2025</t>
  </si>
  <si>
    <t>08/09/1978</t>
  </si>
  <si>
    <t>9954973200</t>
  </si>
  <si>
    <t>ORD10297</t>
  </si>
  <si>
    <t>09/02/1978</t>
  </si>
  <si>
    <t>9383199236</t>
  </si>
  <si>
    <t>ORD10298</t>
  </si>
  <si>
    <t>03/01/2004</t>
  </si>
  <si>
    <t>9482699727</t>
  </si>
  <si>
    <t>ORD10299</t>
  </si>
  <si>
    <t>17/10/2025</t>
  </si>
  <si>
    <t>02/05/1992</t>
  </si>
  <si>
    <t>9332473934</t>
  </si>
  <si>
    <t>ORD10300</t>
  </si>
  <si>
    <t>26/01/2003</t>
  </si>
  <si>
    <t>9647657382</t>
  </si>
  <si>
    <t>ORD10301</t>
  </si>
  <si>
    <t>20/05/1987</t>
  </si>
  <si>
    <t>9736797776</t>
  </si>
  <si>
    <t>ORD10302</t>
  </si>
  <si>
    <t>07/09/1975</t>
  </si>
  <si>
    <t>9745773533</t>
  </si>
  <si>
    <t>ORD10303</t>
  </si>
  <si>
    <t>10/08/1980</t>
  </si>
  <si>
    <t>9246715757</t>
  </si>
  <si>
    <t>ORD10304</t>
  </si>
  <si>
    <t>23/04/2026</t>
  </si>
  <si>
    <t>07/04/1989</t>
  </si>
  <si>
    <t>9904065774</t>
  </si>
  <si>
    <t>ORD10305</t>
  </si>
  <si>
    <t>02/03/2025</t>
  </si>
  <si>
    <t>20/08/1998</t>
  </si>
  <si>
    <t>9652985385</t>
  </si>
  <si>
    <t>ORD10306</t>
  </si>
  <si>
    <t>03/04/2001</t>
  </si>
  <si>
    <t>9427001508</t>
  </si>
  <si>
    <t>ORD10307</t>
  </si>
  <si>
    <t>9666803655</t>
  </si>
  <si>
    <t>ORD10308</t>
  </si>
  <si>
    <t>9134878547</t>
  </si>
  <si>
    <t>ORD10309</t>
  </si>
  <si>
    <t>04/09/1986</t>
  </si>
  <si>
    <t>9253593557</t>
  </si>
  <si>
    <t>ORD10310</t>
  </si>
  <si>
    <t>14/08/1989</t>
  </si>
  <si>
    <t>9183094051</t>
  </si>
  <si>
    <t>ORD10311</t>
  </si>
  <si>
    <t>16/10/2025</t>
  </si>
  <si>
    <t>02/03/1991</t>
  </si>
  <si>
    <t>9293147620</t>
  </si>
  <si>
    <t>ORD10312</t>
  </si>
  <si>
    <t>28/04/2026</t>
  </si>
  <si>
    <t>13/08/1989</t>
  </si>
  <si>
    <t>9755583734</t>
  </si>
  <si>
    <t>ORD10313</t>
  </si>
  <si>
    <t>02/02/2003</t>
  </si>
  <si>
    <t>9186592813</t>
  </si>
  <si>
    <t>ORD10314</t>
  </si>
  <si>
    <t>08/05/2025</t>
  </si>
  <si>
    <t>16/11/1995</t>
  </si>
  <si>
    <t>9203482008</t>
  </si>
  <si>
    <t>ORD10315</t>
  </si>
  <si>
    <t>24/11/1989</t>
  </si>
  <si>
    <t>9829888777</t>
  </si>
  <si>
    <t>ORD10316</t>
  </si>
  <si>
    <t>30/12/2025</t>
  </si>
  <si>
    <t>20/04/1988</t>
  </si>
  <si>
    <t>9566101317</t>
  </si>
  <si>
    <t>ORD10317</t>
  </si>
  <si>
    <t>02/11/1978</t>
  </si>
  <si>
    <t>9706240823</t>
  </si>
  <si>
    <t>ORD10318</t>
  </si>
  <si>
    <t>08/11/2025</t>
  </si>
  <si>
    <t>13/12/1989</t>
  </si>
  <si>
    <t>9259943760</t>
  </si>
  <si>
    <t>ORD10319</t>
  </si>
  <si>
    <t>08/01/1995</t>
  </si>
  <si>
    <t>9527326977</t>
  </si>
  <si>
    <t>ORD10320</t>
  </si>
  <si>
    <t>23/10/1994</t>
  </si>
  <si>
    <t>9886970990</t>
  </si>
  <si>
    <t>ORD10321</t>
  </si>
  <si>
    <t>10/03/2025</t>
  </si>
  <si>
    <t>21/05/1996</t>
  </si>
  <si>
    <t>9106930369</t>
  </si>
  <si>
    <t>ORD10322</t>
  </si>
  <si>
    <t>03/06/2025</t>
  </si>
  <si>
    <t>26/05/1982</t>
  </si>
  <si>
    <t>9342009114</t>
  </si>
  <si>
    <t>ORD10323</t>
  </si>
  <si>
    <t>22/11/2001</t>
  </si>
  <si>
    <t>9992739960</t>
  </si>
  <si>
    <t>ORD10324</t>
  </si>
  <si>
    <t>26/02/1989</t>
  </si>
  <si>
    <t>9241987748</t>
  </si>
  <si>
    <t>ORD10325</t>
  </si>
  <si>
    <t>10/12/2025</t>
  </si>
  <si>
    <t>21/12/2025</t>
  </si>
  <si>
    <t>18/08/1985</t>
  </si>
  <si>
    <t>9571990711</t>
  </si>
  <si>
    <t>ORD10326</t>
  </si>
  <si>
    <t>12/03/2026</t>
  </si>
  <si>
    <t>03/01/1980</t>
  </si>
  <si>
    <t>9219231183</t>
  </si>
  <si>
    <t>ORD10327</t>
  </si>
  <si>
    <t>25/11/2025</t>
  </si>
  <si>
    <t>28/11/2025</t>
  </si>
  <si>
    <t>08/01/1978</t>
  </si>
  <si>
    <t>9847386174</t>
  </si>
  <si>
    <t>ORD10328</t>
  </si>
  <si>
    <t>05/08/1992</t>
  </si>
  <si>
    <t>9941274924</t>
  </si>
  <si>
    <t>ORD10329</t>
  </si>
  <si>
    <t>28/12/2004</t>
  </si>
  <si>
    <t>9950650508</t>
  </si>
  <si>
    <t>ORD10330</t>
  </si>
  <si>
    <t>07/01/2003</t>
  </si>
  <si>
    <t>9464035549</t>
  </si>
  <si>
    <t>ORD10331</t>
  </si>
  <si>
    <t>09/03/1993</t>
  </si>
  <si>
    <t>9142334315</t>
  </si>
  <si>
    <t>ORD10332</t>
  </si>
  <si>
    <t>26/08/2025</t>
  </si>
  <si>
    <t>07/09/2025</t>
  </si>
  <si>
    <t>03/06/1993</t>
  </si>
  <si>
    <t>9123961962</t>
  </si>
  <si>
    <t>ORD10333</t>
  </si>
  <si>
    <t>05/04/2025</t>
  </si>
  <si>
    <t>08/04/2025</t>
  </si>
  <si>
    <t>10/12/1999</t>
  </si>
  <si>
    <t>9741953402</t>
  </si>
  <si>
    <t>ORD10334</t>
  </si>
  <si>
    <t>06/06/1976</t>
  </si>
  <si>
    <t>9404733633</t>
  </si>
  <si>
    <t>ORD10335</t>
  </si>
  <si>
    <t>27/10/1984</t>
  </si>
  <si>
    <t>9297492337</t>
  </si>
  <si>
    <t>ORD10336</t>
  </si>
  <si>
    <t>28/02/1975</t>
  </si>
  <si>
    <t>9350338928</t>
  </si>
  <si>
    <t>ORD10337</t>
  </si>
  <si>
    <t>19/10/1993</t>
  </si>
  <si>
    <t>9933894798</t>
  </si>
  <si>
    <t>ORD10338</t>
  </si>
  <si>
    <t>25/10/1983</t>
  </si>
  <si>
    <t>9705218824</t>
  </si>
  <si>
    <t>ORD10339</t>
  </si>
  <si>
    <t>10/02/2025</t>
  </si>
  <si>
    <t>08/01/1983</t>
  </si>
  <si>
    <t>9229164453</t>
  </si>
  <si>
    <t>ORD10340</t>
  </si>
  <si>
    <t>28/07/2025</t>
  </si>
  <si>
    <t>14/12/1983</t>
  </si>
  <si>
    <t>9219806176</t>
  </si>
  <si>
    <t>ORD10341</t>
  </si>
  <si>
    <t>26/09/1983</t>
  </si>
  <si>
    <t>9630210250</t>
  </si>
  <si>
    <t>ORD10342</t>
  </si>
  <si>
    <t>06/12/2025</t>
  </si>
  <si>
    <t>23/05/1975</t>
  </si>
  <si>
    <t>9583354052</t>
  </si>
  <si>
    <t>ORD10343</t>
  </si>
  <si>
    <t>09/11/1994</t>
  </si>
  <si>
    <t>9242534507</t>
  </si>
  <si>
    <t>ORD10344</t>
  </si>
  <si>
    <t>02/08/2025</t>
  </si>
  <si>
    <t>17/12/1987</t>
  </si>
  <si>
    <t>9291239150</t>
  </si>
  <si>
    <t>ORD10345</t>
  </si>
  <si>
    <t>17/08/2025</t>
  </si>
  <si>
    <t>19/06/1975</t>
  </si>
  <si>
    <t>9550820904</t>
  </si>
  <si>
    <t>ORD10346</t>
  </si>
  <si>
    <t>09/01/1977</t>
  </si>
  <si>
    <t>9294486423</t>
  </si>
  <si>
    <t>ORD10347</t>
  </si>
  <si>
    <t>20/09/1993</t>
  </si>
  <si>
    <t>9260258621</t>
  </si>
  <si>
    <t>ORD10348</t>
  </si>
  <si>
    <t>05/03/1997</t>
  </si>
  <si>
    <t>9697433584</t>
  </si>
  <si>
    <t>ORD10349</t>
  </si>
  <si>
    <t>P999</t>
  </si>
  <si>
    <t>10/07/2002</t>
  </si>
  <si>
    <t>9837969758</t>
  </si>
  <si>
    <t>ORD10350</t>
  </si>
  <si>
    <t>05/12/2025</t>
  </si>
  <si>
    <t>18/04/1984</t>
  </si>
  <si>
    <t>9209736419</t>
  </si>
  <si>
    <t>ORD10351</t>
  </si>
  <si>
    <t>01/07/2003</t>
  </si>
  <si>
    <t>9645907237</t>
  </si>
  <si>
    <t>ORD10352</t>
  </si>
  <si>
    <t>18/07/2025</t>
  </si>
  <si>
    <t>25/10/1992</t>
  </si>
  <si>
    <t>9566149945</t>
  </si>
  <si>
    <t>ORD10353</t>
  </si>
  <si>
    <t>05/08/1988</t>
  </si>
  <si>
    <t>9935018068</t>
  </si>
  <si>
    <t>ORD10354</t>
  </si>
  <si>
    <t>24/06/1987</t>
  </si>
  <si>
    <t>9171794652</t>
  </si>
  <si>
    <t>ORD10355</t>
  </si>
  <si>
    <t>25/09/2025</t>
  </si>
  <si>
    <t>19/10/1989</t>
  </si>
  <si>
    <t>9671497416</t>
  </si>
  <si>
    <t>ORD10356</t>
  </si>
  <si>
    <t>22/05/1992</t>
  </si>
  <si>
    <t>9810433484</t>
  </si>
  <si>
    <t>ORD10357</t>
  </si>
  <si>
    <t>\</t>
  </si>
  <si>
    <t>10/11/1989</t>
  </si>
  <si>
    <t>9990243436</t>
  </si>
  <si>
    <t>ORD10358</t>
  </si>
  <si>
    <t>03/09/1980</t>
  </si>
  <si>
    <t>9396678031</t>
  </si>
  <si>
    <t>ORD10359</t>
  </si>
  <si>
    <t>06/03/1979</t>
  </si>
  <si>
    <t>9818591245</t>
  </si>
  <si>
    <t>ORD10360</t>
  </si>
  <si>
    <t>04/09/1996</t>
  </si>
  <si>
    <t>9505550047</t>
  </si>
  <si>
    <t>ORD10361</t>
  </si>
  <si>
    <t>18/05/2026</t>
  </si>
  <si>
    <t>14/03/1999</t>
  </si>
  <si>
    <t>9469828772</t>
  </si>
  <si>
    <t>ORD10362</t>
  </si>
  <si>
    <t>03/10/1984</t>
  </si>
  <si>
    <t>9885092680</t>
  </si>
  <si>
    <t>ORD10363</t>
  </si>
  <si>
    <t>23/01/2026</t>
  </si>
  <si>
    <t>09/07/1984</t>
  </si>
  <si>
    <t>9362319457</t>
  </si>
  <si>
    <t>ORD10364</t>
  </si>
  <si>
    <t>10/03/1989</t>
  </si>
  <si>
    <t>9223945130</t>
  </si>
  <si>
    <t>ORD10365</t>
  </si>
  <si>
    <t>07/05/2025</t>
  </si>
  <si>
    <t>19/04/1985</t>
  </si>
  <si>
    <t>9910804926</t>
  </si>
  <si>
    <t>ORD10366</t>
  </si>
  <si>
    <t>03/02/2025</t>
  </si>
  <si>
    <t>13/08/2003</t>
  </si>
  <si>
    <t>9274269744</t>
  </si>
  <si>
    <t>ORD10367</t>
  </si>
  <si>
    <t>11/09/1983</t>
  </si>
  <si>
    <t>9223196101</t>
  </si>
  <si>
    <t>ORD10368</t>
  </si>
  <si>
    <t>11/06/1976</t>
  </si>
  <si>
    <t>9888477457</t>
  </si>
  <si>
    <t>ORD10369</t>
  </si>
  <si>
    <t>05/04/2026</t>
  </si>
  <si>
    <t>04/01/1987</t>
  </si>
  <si>
    <t>9435947486</t>
  </si>
  <si>
    <t>ORD10370</t>
  </si>
  <si>
    <t>02/02/2025</t>
  </si>
  <si>
    <t>14/05/1992</t>
  </si>
  <si>
    <t>9411668831</t>
  </si>
  <si>
    <t>ORD10371</t>
  </si>
  <si>
    <t>08/10/2025</t>
  </si>
  <si>
    <t>03/05/1989</t>
  </si>
  <si>
    <t>9523682403</t>
  </si>
  <si>
    <t>ORD10372</t>
  </si>
  <si>
    <t>12/06/2025</t>
  </si>
  <si>
    <t>17/06/2025</t>
  </si>
  <si>
    <t>19/12/1990</t>
  </si>
  <si>
    <t>9652936744</t>
  </si>
  <si>
    <t>ORD10373</t>
  </si>
  <si>
    <t>09/07/1995</t>
  </si>
  <si>
    <t>9726464733</t>
  </si>
  <si>
    <t>ORD10374</t>
  </si>
  <si>
    <t>01/11/2025</t>
  </si>
  <si>
    <t>23/12/1998</t>
  </si>
  <si>
    <t>9273520544</t>
  </si>
  <si>
    <t>ORD10375</t>
  </si>
  <si>
    <t>31/01/2025</t>
  </si>
  <si>
    <t>23/12/1979</t>
  </si>
  <si>
    <t>9374259988</t>
  </si>
  <si>
    <t>ORD10376</t>
  </si>
  <si>
    <t>15/12/1975</t>
  </si>
  <si>
    <t>9538129419</t>
  </si>
  <si>
    <t>ORD10377</t>
  </si>
  <si>
    <t>17/05/1993</t>
  </si>
  <si>
    <t>9382815686</t>
  </si>
  <si>
    <t>ORD10378</t>
  </si>
  <si>
    <t>17/09/1976</t>
  </si>
  <si>
    <t>9450746157</t>
  </si>
  <si>
    <t>ORD10379</t>
  </si>
  <si>
    <t>03/10/2025</t>
  </si>
  <si>
    <t>22/12/1996</t>
  </si>
  <si>
    <t>9349012570</t>
  </si>
  <si>
    <t>ORD10380</t>
  </si>
  <si>
    <t>25/12/1995</t>
  </si>
  <si>
    <t>9442163790</t>
  </si>
  <si>
    <t>ORD10381</t>
  </si>
  <si>
    <t>23/06/1985</t>
  </si>
  <si>
    <t>9953329223</t>
  </si>
  <si>
    <t>ORD10382</t>
  </si>
  <si>
    <t>14/05/2025</t>
  </si>
  <si>
    <t>10/02/1984</t>
  </si>
  <si>
    <t>9202321359</t>
  </si>
  <si>
    <t>ORD10383</t>
  </si>
  <si>
    <t>Rohit      Singh</t>
  </si>
  <si>
    <t>02/04/2002</t>
  </si>
  <si>
    <t>9812564160</t>
  </si>
  <si>
    <t>ORD10384</t>
  </si>
  <si>
    <t>17/07/2003</t>
  </si>
  <si>
    <t>9688458222</t>
  </si>
  <si>
    <t>ORD10385</t>
  </si>
  <si>
    <t>19/02/2026</t>
  </si>
  <si>
    <t>23/02/2026</t>
  </si>
  <si>
    <t>06/10/1991</t>
  </si>
  <si>
    <t>9634473337</t>
  </si>
  <si>
    <t>ORD10386</t>
  </si>
  <si>
    <t>05/01/1984</t>
  </si>
  <si>
    <t>9608737026</t>
  </si>
  <si>
    <t>ORD10387</t>
  </si>
  <si>
    <t>24/10/2025</t>
  </si>
  <si>
    <t>12/03/1975</t>
  </si>
  <si>
    <t>9804498139</t>
  </si>
  <si>
    <t>ORD10388</t>
  </si>
  <si>
    <t>25/01/2026</t>
  </si>
  <si>
    <t>15/03/1983</t>
  </si>
  <si>
    <t>9798643580</t>
  </si>
  <si>
    <t>ORD10389</t>
  </si>
  <si>
    <t>25/01/2025</t>
  </si>
  <si>
    <t>28/01/2025</t>
  </si>
  <si>
    <t>20/04/1976</t>
  </si>
  <si>
    <t>9809823278</t>
  </si>
  <si>
    <t>ORD10390</t>
  </si>
  <si>
    <t>11/02/1986</t>
  </si>
  <si>
    <t>9177767854</t>
  </si>
  <si>
    <t>ORD10391</t>
  </si>
  <si>
    <t>20/06/2025</t>
  </si>
  <si>
    <t>21/06/2025</t>
  </si>
  <si>
    <t>21/03/1978</t>
  </si>
  <si>
    <t>9643440006</t>
  </si>
  <si>
    <t>ORD10392</t>
  </si>
  <si>
    <t>28/05/2025</t>
  </si>
  <si>
    <t>06/06/2025</t>
  </si>
  <si>
    <t>12/07/1996</t>
  </si>
  <si>
    <t>9673698825</t>
  </si>
  <si>
    <t>ORD10393</t>
  </si>
  <si>
    <t>02/12/1992</t>
  </si>
  <si>
    <t>9706238784</t>
  </si>
  <si>
    <t>ORD10394</t>
  </si>
  <si>
    <t>23/03/1996</t>
  </si>
  <si>
    <t>9132959877</t>
  </si>
  <si>
    <t>ORD10395</t>
  </si>
  <si>
    <t>26/02/2026</t>
  </si>
  <si>
    <t>23/06/1994</t>
  </si>
  <si>
    <t>9295011645</t>
  </si>
  <si>
    <t>ORD10396</t>
  </si>
  <si>
    <t>03/08/2025</t>
  </si>
  <si>
    <t>15/08/2025</t>
  </si>
  <si>
    <t>02/02/1980</t>
  </si>
  <si>
    <t>9677606427</t>
  </si>
  <si>
    <t>ORD10397</t>
  </si>
  <si>
    <t>18/01/2025</t>
  </si>
  <si>
    <t>24/08/1990</t>
  </si>
  <si>
    <t>9161631566</t>
  </si>
  <si>
    <t>ORD10398</t>
  </si>
  <si>
    <t>10/12/1978</t>
  </si>
  <si>
    <t>9136906750</t>
  </si>
  <si>
    <t>ORD10399</t>
  </si>
  <si>
    <t>01/09/1979</t>
  </si>
  <si>
    <t>9485286324</t>
  </si>
  <si>
    <t>ORD10400</t>
  </si>
  <si>
    <t>13/05/2025</t>
  </si>
  <si>
    <t>08/04/2001</t>
  </si>
  <si>
    <t>9414633966</t>
  </si>
  <si>
    <t>ORD10401</t>
  </si>
  <si>
    <t>01/01/1983</t>
  </si>
  <si>
    <t>9833735234</t>
  </si>
  <si>
    <t>ORD10402</t>
  </si>
  <si>
    <t>09/08/1989</t>
  </si>
  <si>
    <t>9523689108</t>
  </si>
  <si>
    <t>ORD10403</t>
  </si>
  <si>
    <t>22/10/1993</t>
  </si>
  <si>
    <t>9812909831</t>
  </si>
  <si>
    <t>ORD10404</t>
  </si>
  <si>
    <t>12/10/2025</t>
  </si>
  <si>
    <t>05/05/2000</t>
  </si>
  <si>
    <t>9106290987</t>
  </si>
  <si>
    <t>ORD10405</t>
  </si>
  <si>
    <t>01/02/2026</t>
  </si>
  <si>
    <t>18/02/1984</t>
  </si>
  <si>
    <t>9767727724</t>
  </si>
  <si>
    <t>ORD10406</t>
  </si>
  <si>
    <t>13/06/1991</t>
  </si>
  <si>
    <t>9865401727</t>
  </si>
  <si>
    <t>ORD10407</t>
  </si>
  <si>
    <t>19/05/1996</t>
  </si>
  <si>
    <t>9603848571</t>
  </si>
  <si>
    <t>ORD10408</t>
  </si>
  <si>
    <t>23/05/1992</t>
  </si>
  <si>
    <t>9101231789</t>
  </si>
  <si>
    <t>ORD10409</t>
  </si>
  <si>
    <t>15/06/1988</t>
  </si>
  <si>
    <t>9485017802</t>
  </si>
  <si>
    <t>ORD10410</t>
  </si>
  <si>
    <t>22/07/1993</t>
  </si>
  <si>
    <t>9815464650</t>
  </si>
  <si>
    <t>ORD10411</t>
  </si>
  <si>
    <t>17/05/2026</t>
  </si>
  <si>
    <t>03/02/2004</t>
  </si>
  <si>
    <t>9860715839</t>
  </si>
  <si>
    <t>ORD10412</t>
  </si>
  <si>
    <t>11/02/2026</t>
  </si>
  <si>
    <t>23/12/1978</t>
  </si>
  <si>
    <t>9207561051</t>
  </si>
  <si>
    <t>ORD10413</t>
  </si>
  <si>
    <t>15/10/1993</t>
  </si>
  <si>
    <t>9159894508</t>
  </si>
  <si>
    <t>ORD10414</t>
  </si>
  <si>
    <t>12/12/1979</t>
  </si>
  <si>
    <t>9531465024</t>
  </si>
  <si>
    <t>ORD10415</t>
  </si>
  <si>
    <t>24/05/2002</t>
  </si>
  <si>
    <t>9158813608</t>
  </si>
  <si>
    <t>ORD10416</t>
  </si>
  <si>
    <t>27/03/2026</t>
  </si>
  <si>
    <t>09/03/1976</t>
  </si>
  <si>
    <t>9308461700</t>
  </si>
  <si>
    <t>ORD10417</t>
  </si>
  <si>
    <t>20/09/1980</t>
  </si>
  <si>
    <t>9882279049</t>
  </si>
  <si>
    <t>ORD10418</t>
  </si>
  <si>
    <t>17/04/2026</t>
  </si>
  <si>
    <t>24/06/1988</t>
  </si>
  <si>
    <t>9961801338</t>
  </si>
  <si>
    <t>ORD10419</t>
  </si>
  <si>
    <t>11/06/2003</t>
  </si>
  <si>
    <t>9853525026</t>
  </si>
  <si>
    <t>ORD10420</t>
  </si>
  <si>
    <t>10/12/1981</t>
  </si>
  <si>
    <t>9209649485</t>
  </si>
  <si>
    <t>ORD10421</t>
  </si>
  <si>
    <t>26/09/2025</t>
  </si>
  <si>
    <t>24/02/1975</t>
  </si>
  <si>
    <t>9712905525</t>
  </si>
  <si>
    <t>ORD10422</t>
  </si>
  <si>
    <t>27/09/1977</t>
  </si>
  <si>
    <t>9812472447</t>
  </si>
  <si>
    <t>ORD10423</t>
  </si>
  <si>
    <t>29/12/2025</t>
  </si>
  <si>
    <t>25/12/1987</t>
  </si>
  <si>
    <t>9281127052</t>
  </si>
  <si>
    <t>ORD10424</t>
  </si>
  <si>
    <t>23/03/2001</t>
  </si>
  <si>
    <t>9346312555</t>
  </si>
  <si>
    <t>ORD10425</t>
  </si>
  <si>
    <t>22/01/2026</t>
  </si>
  <si>
    <t>9443786067</t>
  </si>
  <si>
    <t>ORD10426</t>
  </si>
  <si>
    <t>15/03/2026</t>
  </si>
  <si>
    <t>15/09/1986</t>
  </si>
  <si>
    <t>9452540528</t>
  </si>
  <si>
    <t>ORD10427</t>
  </si>
  <si>
    <t>30/11/2025</t>
  </si>
  <si>
    <t>12/12/2002</t>
  </si>
  <si>
    <t>9750918728</t>
  </si>
  <si>
    <t>ORD10428</t>
  </si>
  <si>
    <t>15/02/2025</t>
  </si>
  <si>
    <t>15/09/1998</t>
  </si>
  <si>
    <t>9375975834</t>
  </si>
  <si>
    <t>ORD10429</t>
  </si>
  <si>
    <t>17/10/1985</t>
  </si>
  <si>
    <t>9497321112</t>
  </si>
  <si>
    <t>ORD10430</t>
  </si>
  <si>
    <t>27/08/2025</t>
  </si>
  <si>
    <t>29/08/2025</t>
  </si>
  <si>
    <t>15/08/1995</t>
  </si>
  <si>
    <t>9828749888</t>
  </si>
  <si>
    <t>ORD10431</t>
  </si>
  <si>
    <t>27/08/1985</t>
  </si>
  <si>
    <t>9814267382</t>
  </si>
  <si>
    <t>ORD10432</t>
  </si>
  <si>
    <t>05/06/1975</t>
  </si>
  <si>
    <t>9937007439</t>
  </si>
  <si>
    <t>ORD10433</t>
  </si>
  <si>
    <t>25/03/1997</t>
  </si>
  <si>
    <t>9657513435</t>
  </si>
  <si>
    <t>ORD10434</t>
  </si>
  <si>
    <t>01/02/2025</t>
  </si>
  <si>
    <t>18/04/1997</t>
  </si>
  <si>
    <t>9999406260</t>
  </si>
  <si>
    <t>ORD10435</t>
  </si>
  <si>
    <t>22/02/2025</t>
  </si>
  <si>
    <t>28/05/1999</t>
  </si>
  <si>
    <t>9233727886</t>
  </si>
  <si>
    <t>ORD10436</t>
  </si>
  <si>
    <t>25/06/1983</t>
  </si>
  <si>
    <t>9831688801</t>
  </si>
  <si>
    <t>ORD10437</t>
  </si>
  <si>
    <t>26/01/1993</t>
  </si>
  <si>
    <t>9982849508</t>
  </si>
  <si>
    <t>ORD10438</t>
  </si>
  <si>
    <t>03/03/1979</t>
  </si>
  <si>
    <t>9288309246</t>
  </si>
  <si>
    <t>ORD10439</t>
  </si>
  <si>
    <t>22/10/2025</t>
  </si>
  <si>
    <t>25/10/2025</t>
  </si>
  <si>
    <t>13/09/1976</t>
  </si>
  <si>
    <t>9808476235</t>
  </si>
  <si>
    <t>ORD10440</t>
  </si>
  <si>
    <t>31/12/2025</t>
  </si>
  <si>
    <t>27/07/1991</t>
  </si>
  <si>
    <t>9869056117</t>
  </si>
  <si>
    <t>ORD10441</t>
  </si>
  <si>
    <t>25/10/1987</t>
  </si>
  <si>
    <t>9734229772</t>
  </si>
  <si>
    <t>ORD10442</t>
  </si>
  <si>
    <t>09/11/1983</t>
  </si>
  <si>
    <t>9791617906</t>
  </si>
  <si>
    <t>ORD10443</t>
  </si>
  <si>
    <t>28/12/1983</t>
  </si>
  <si>
    <t>9286316823</t>
  </si>
  <si>
    <t>ORD10444</t>
  </si>
  <si>
    <t>02/05/2025</t>
  </si>
  <si>
    <t>15/09/1992</t>
  </si>
  <si>
    <t>9810569252</t>
  </si>
  <si>
    <t>ORD10445</t>
  </si>
  <si>
    <t>09/08/1999</t>
  </si>
  <si>
    <t>9771745925</t>
  </si>
  <si>
    <t>ORD10446</t>
  </si>
  <si>
    <t>29/06/2025</t>
  </si>
  <si>
    <t>27/02/1990</t>
  </si>
  <si>
    <t>9820683063</t>
  </si>
  <si>
    <t>ORD10447</t>
  </si>
  <si>
    <t>27/03/1994</t>
  </si>
  <si>
    <t>9292891941</t>
  </si>
  <si>
    <t>ORD10448</t>
  </si>
  <si>
    <t>03/03/2025</t>
  </si>
  <si>
    <t>11/06/1980</t>
  </si>
  <si>
    <t>9413789556</t>
  </si>
  <si>
    <t>ORD10449</t>
  </si>
  <si>
    <t>24/04/2026</t>
  </si>
  <si>
    <t>10/06/2000</t>
  </si>
  <si>
    <t>amit.SHarma@company.com</t>
  </si>
  <si>
    <t>98765</t>
  </si>
  <si>
    <t>ORD10450</t>
  </si>
  <si>
    <t>21/04/1998</t>
  </si>
  <si>
    <t>9211936331</t>
  </si>
  <si>
    <t>ORD10451</t>
  </si>
  <si>
    <t>07/06/2025</t>
  </si>
  <si>
    <t>10/05/1984</t>
  </si>
  <si>
    <t>9167291747</t>
  </si>
  <si>
    <t>ORD10452</t>
  </si>
  <si>
    <t>07/10/1986</t>
  </si>
  <si>
    <t>9637283597</t>
  </si>
  <si>
    <t>ORD10453</t>
  </si>
  <si>
    <t>22/03/2026</t>
  </si>
  <si>
    <t>29/03/2026</t>
  </si>
  <si>
    <t>01/11/2003</t>
  </si>
  <si>
    <t>9514269002</t>
  </si>
  <si>
    <t>ORD10454</t>
  </si>
  <si>
    <t>13/04/2026</t>
  </si>
  <si>
    <t>10/06/2003</t>
  </si>
  <si>
    <t>9778908233</t>
  </si>
  <si>
    <t>ORD10455</t>
  </si>
  <si>
    <t>27/03/1990</t>
  </si>
  <si>
    <t>9981118755</t>
  </si>
  <si>
    <t>ORD10456</t>
  </si>
  <si>
    <t>28/05/2003</t>
  </si>
  <si>
    <t>9887896743</t>
  </si>
  <si>
    <t>ORD10457</t>
  </si>
  <si>
    <t>06/02/1993</t>
  </si>
  <si>
    <t>9585330043</t>
  </si>
  <si>
    <t>ORD10458</t>
  </si>
  <si>
    <t>02/09/1975</t>
  </si>
  <si>
    <t>9423719975</t>
  </si>
  <si>
    <t>ORD10459</t>
  </si>
  <si>
    <t>09/09/1994</t>
  </si>
  <si>
    <t>9270746961</t>
  </si>
  <si>
    <t>ORD10460</t>
  </si>
  <si>
    <t>07/10/1992</t>
  </si>
  <si>
    <t>9333162025</t>
  </si>
  <si>
    <t>ORD10461</t>
  </si>
  <si>
    <t>29/05/2025</t>
  </si>
  <si>
    <t>17/07/2002</t>
  </si>
  <si>
    <t>9247023285</t>
  </si>
  <si>
    <t>ORD10462</t>
  </si>
  <si>
    <t>03/02/2001</t>
  </si>
  <si>
    <t>rohit.sinGh@company.com</t>
  </si>
  <si>
    <t>9448658297</t>
  </si>
  <si>
    <t>ORD10463</t>
  </si>
  <si>
    <t>23/06/1990</t>
  </si>
  <si>
    <t>9906748486</t>
  </si>
  <si>
    <t>ORD10464</t>
  </si>
  <si>
    <t>9365182725</t>
  </si>
  <si>
    <t>ORD10465</t>
  </si>
  <si>
    <t>22/07/2000</t>
  </si>
  <si>
    <t>9937119494</t>
  </si>
  <si>
    <t>ORD10466</t>
  </si>
  <si>
    <t>20/03/1985</t>
  </si>
  <si>
    <t>9828015293</t>
  </si>
  <si>
    <t>ORD10467</t>
  </si>
  <si>
    <t>08/02/1988</t>
  </si>
  <si>
    <t>9864206250</t>
  </si>
  <si>
    <t>ORD10468</t>
  </si>
  <si>
    <t>26/04/1997</t>
  </si>
  <si>
    <t>9519293104</t>
  </si>
  <si>
    <t>ORD10469</t>
  </si>
  <si>
    <t>22/05/2001</t>
  </si>
  <si>
    <t>9296075245</t>
  </si>
  <si>
    <t>ORD10470</t>
  </si>
  <si>
    <t>19/06/1982</t>
  </si>
  <si>
    <t>9316770206</t>
  </si>
  <si>
    <t>ORD10471</t>
  </si>
  <si>
    <t>18/10/2025</t>
  </si>
  <si>
    <t>23/06/1999</t>
  </si>
  <si>
    <t>9706553861</t>
  </si>
  <si>
    <t>ORD10472</t>
  </si>
  <si>
    <t>02/02/2001</t>
  </si>
  <si>
    <t>9524904662</t>
  </si>
  <si>
    <t>ORD10473</t>
  </si>
  <si>
    <t>09/02/1999</t>
  </si>
  <si>
    <t>9577624596</t>
  </si>
  <si>
    <t>ORD10474</t>
  </si>
  <si>
    <t>06/05/1988</t>
  </si>
  <si>
    <t>9898452436</t>
  </si>
  <si>
    <t>ORD10475</t>
  </si>
  <si>
    <t>12/02/1975</t>
  </si>
  <si>
    <t>9960757012</t>
  </si>
  <si>
    <t>ORD10476</t>
  </si>
  <si>
    <t>01/01/2004</t>
  </si>
  <si>
    <t>9331268182</t>
  </si>
  <si>
    <t>ORD10477</t>
  </si>
  <si>
    <t>23/08/2001</t>
  </si>
  <si>
    <t>9135996862</t>
  </si>
  <si>
    <t>ORD10478</t>
  </si>
  <si>
    <t>23/01/1998</t>
  </si>
  <si>
    <t>kavya.Nair@company.com</t>
  </si>
  <si>
    <t>9540813143</t>
  </si>
  <si>
    <t>ORD10479</t>
  </si>
  <si>
    <t>Anita     Gupta</t>
  </si>
  <si>
    <t>28/05/2004</t>
  </si>
  <si>
    <t>9910913552</t>
  </si>
  <si>
    <t>ORD10480</t>
  </si>
  <si>
    <t>06/03/1985</t>
  </si>
  <si>
    <t>9282751683</t>
  </si>
  <si>
    <t>ORD10481</t>
  </si>
  <si>
    <t>26/01/2025</t>
  </si>
  <si>
    <t>06/09/1986</t>
  </si>
  <si>
    <t>9939332058</t>
  </si>
  <si>
    <t>ORD10482</t>
  </si>
  <si>
    <t>21/08/1981</t>
  </si>
  <si>
    <t>9780626473</t>
  </si>
  <si>
    <t>ORD10483</t>
  </si>
  <si>
    <t>Mohit verma</t>
  </si>
  <si>
    <t>23/04/1992</t>
  </si>
  <si>
    <t>9347298020</t>
  </si>
  <si>
    <t>ORD10484</t>
  </si>
  <si>
    <t>03/07/1991</t>
  </si>
  <si>
    <t>9345328522</t>
  </si>
  <si>
    <t>ORD10485</t>
  </si>
  <si>
    <t xml:space="preserve">         Amit Sharma</t>
  </si>
  <si>
    <t>05/02/1978</t>
  </si>
  <si>
    <t>9160310438</t>
  </si>
  <si>
    <t>ORD10486</t>
  </si>
  <si>
    <t>23/03/2026</t>
  </si>
  <si>
    <t>9343776153</t>
  </si>
  <si>
    <t>ORD10487</t>
  </si>
  <si>
    <t>03/04/1988</t>
  </si>
  <si>
    <t>9458599727</t>
  </si>
  <si>
    <t>ORD10488</t>
  </si>
  <si>
    <t>05/05/2026</t>
  </si>
  <si>
    <t>11/11/1978</t>
  </si>
  <si>
    <t>pOOja.shah@company.com</t>
  </si>
  <si>
    <t>9218660140</t>
  </si>
  <si>
    <t>ORD10489</t>
  </si>
  <si>
    <t>23/02/2025</t>
  </si>
  <si>
    <t>02/04/1994</t>
  </si>
  <si>
    <t>9341979199</t>
  </si>
  <si>
    <t>ORD10490</t>
  </si>
  <si>
    <t>09/05/1993</t>
  </si>
  <si>
    <t>9823080381</t>
  </si>
  <si>
    <t>ORD10491</t>
  </si>
  <si>
    <t xml:space="preserve">Priya Patel      </t>
  </si>
  <si>
    <t>11/07/1994</t>
  </si>
  <si>
    <t>9981183477</t>
  </si>
  <si>
    <t>ORD10492</t>
  </si>
  <si>
    <t>19/12/1982</t>
  </si>
  <si>
    <t>9281596011</t>
  </si>
  <si>
    <t>ORD10493</t>
  </si>
  <si>
    <t xml:space="preserve">     Rohit Singh</t>
  </si>
  <si>
    <t>02/11/2001</t>
  </si>
  <si>
    <t>9211734022</t>
  </si>
  <si>
    <t>ORD10494</t>
  </si>
  <si>
    <t>18/10/2001</t>
  </si>
  <si>
    <t>9447151666</t>
  </si>
  <si>
    <t>ORD10495</t>
  </si>
  <si>
    <t>21/12/2000</t>
  </si>
  <si>
    <t>9345342793</t>
  </si>
  <si>
    <t>ORD10496</t>
  </si>
  <si>
    <t>Anita      Gupta</t>
  </si>
  <si>
    <t>20/02/1983</t>
  </si>
  <si>
    <t>9329668173</t>
  </si>
  <si>
    <t>ORD10497</t>
  </si>
  <si>
    <t>13/06/1988</t>
  </si>
  <si>
    <t>9294740227</t>
  </si>
  <si>
    <t>ORD10498</t>
  </si>
  <si>
    <t>22/07/1992</t>
  </si>
  <si>
    <t>9549426303</t>
  </si>
  <si>
    <t>ORD10499</t>
  </si>
  <si>
    <t>05/07/2025</t>
  </si>
  <si>
    <t>12/08/1979</t>
  </si>
  <si>
    <t>Laptop,Mouse</t>
  </si>
  <si>
    <t>9374249303</t>
  </si>
  <si>
    <t>ORD10500</t>
  </si>
  <si>
    <t>16/09/2025</t>
  </si>
  <si>
    <t>24/11/1976</t>
  </si>
  <si>
    <t>9810334941</t>
  </si>
  <si>
    <t>RAW DATA</t>
  </si>
  <si>
    <t>Table 1</t>
  </si>
  <si>
    <t>Table 2</t>
  </si>
  <si>
    <t>Table 3</t>
  </si>
  <si>
    <t>Supplier</t>
  </si>
  <si>
    <t>Cost_Price</t>
  </si>
  <si>
    <t>Warranty_Months</t>
  </si>
  <si>
    <t>TechHub</t>
  </si>
  <si>
    <t>Global Trade</t>
  </si>
  <si>
    <t>ABC Corp</t>
  </si>
  <si>
    <t>Prime Supplies</t>
  </si>
  <si>
    <t>Product_Master</t>
  </si>
  <si>
    <t>Sales_Data</t>
  </si>
  <si>
    <t>Membership</t>
  </si>
  <si>
    <t>State</t>
  </si>
  <si>
    <t>Silver</t>
  </si>
  <si>
    <t>RJ</t>
  </si>
  <si>
    <t>Platinum</t>
  </si>
  <si>
    <t>WB</t>
  </si>
  <si>
    <t>Gold</t>
  </si>
  <si>
    <t>DL</t>
  </si>
  <si>
    <t>KA</t>
  </si>
  <si>
    <t>Custumer_Master</t>
  </si>
  <si>
    <t>Changes Done</t>
  </si>
  <si>
    <t>Changes Done on Coloumn</t>
  </si>
  <si>
    <t>Apllied Cleaning And Modification</t>
  </si>
  <si>
    <t>Result</t>
  </si>
  <si>
    <t>Format</t>
  </si>
  <si>
    <t>Genral</t>
  </si>
  <si>
    <t>-</t>
  </si>
  <si>
    <t>All values are in foramt</t>
  </si>
  <si>
    <t>Foramt Change</t>
  </si>
  <si>
    <t>Date</t>
  </si>
  <si>
    <t>Format Changed from genral to Date</t>
  </si>
  <si>
    <t>2 Values are not Unique - (ORD10002 &amp; ORD10020)</t>
  </si>
  <si>
    <t>Replacing second Repated Order ID ORD10002 with ORD10004 &amp; Replacing second Repated Order ID ORD10020 with ORD10049</t>
  </si>
  <si>
    <t>ORD10004</t>
  </si>
  <si>
    <t>Trim and Proper</t>
  </si>
  <si>
    <t>Alligning all the data and removing extra spaces</t>
  </si>
  <si>
    <r>
      <t xml:space="preserve">CLEAN AND MODIFY RAW DATA TO INFORMATION - </t>
    </r>
    <r>
      <rPr>
        <sz val="18"/>
        <color theme="0"/>
        <rFont val="Calibri"/>
        <family val="2"/>
        <scheme val="minor"/>
      </rPr>
      <t>Pre Requiste Work on - "</t>
    </r>
    <r>
      <rPr>
        <b/>
        <sz val="18"/>
        <color theme="0"/>
        <rFont val="Calibri"/>
        <family val="2"/>
        <scheme val="minor"/>
      </rPr>
      <t>Complie Data"</t>
    </r>
  </si>
  <si>
    <t>Foramt Change - Missing Dates</t>
  </si>
  <si>
    <t>Trim and Proper - Missing Values</t>
  </si>
  <si>
    <t>Alligning all the data and removing extra spaces and Spelling Mistakes</t>
  </si>
  <si>
    <t>All numbers in between 1 to 50</t>
  </si>
  <si>
    <t>Data Validation - and fourmula used to remove negative and text numbers</t>
  </si>
  <si>
    <t>Number</t>
  </si>
  <si>
    <t>Currency</t>
  </si>
  <si>
    <t>Percentage</t>
  </si>
  <si>
    <t>Trim and Proper - maybe few payment modes can be removed</t>
  </si>
  <si>
    <t>Used if statement with trim  but still 1 number is invalid</t>
  </si>
  <si>
    <t>Product_Name_Final</t>
  </si>
  <si>
    <t>New Sales Calculation</t>
  </si>
  <si>
    <t>NA</t>
  </si>
  <si>
    <t>Warranty_Till(Months)</t>
  </si>
  <si>
    <t>Birthday Month</t>
  </si>
  <si>
    <t>Netbanking</t>
  </si>
  <si>
    <t>Upi</t>
  </si>
  <si>
    <t>Foramt Change - Missing Dates - Mapped with help of Custumer ID</t>
  </si>
  <si>
    <t>Trim and Proper - Missing Values - Remapped with Custumer Master</t>
  </si>
  <si>
    <t>Trim and Proper - Re mapped as per Product Master</t>
  </si>
  <si>
    <t>Foramt Change - Re mapped as per Product Master</t>
  </si>
  <si>
    <t>New Calculation is done as per new values from Product Master</t>
  </si>
  <si>
    <t>Used if statement with trim and proper and mapped the missing value with the help of Custumer master</t>
  </si>
  <si>
    <t>Question 1</t>
  </si>
  <si>
    <t>Customer ClassificationThe Sales team wants to identify the value of each transaction based on the Sales Amount, Discount Percentage, Customer Rating, and Order Status.  Create a new column named Customer Classification and classify each record according to the following rules:</t>
  </si>
  <si>
    <t>Classification</t>
  </si>
  <si>
    <t>Rules / Criteria</t>
  </si>
  <si>
    <t>Blacklisted</t>
  </si>
  <si>
    <r>
      <t xml:space="preserve">Sales </t>
    </r>
    <r>
      <rPr>
        <sz val="11"/>
        <color theme="1"/>
        <rFont val="Arial"/>
        <family val="2"/>
      </rPr>
      <t>&gt;=</t>
    </r>
    <r>
      <rPr>
        <sz val="11"/>
        <color theme="1"/>
        <rFont val="Calibri"/>
        <family val="2"/>
        <scheme val="minor"/>
      </rPr>
      <t xml:space="preserve"> ₹1,00,000, Rating&gt;= 4, Discount </t>
    </r>
    <r>
      <rPr>
        <sz val="11"/>
        <color theme="1"/>
        <rFont val="Arial"/>
        <family val="2"/>
      </rPr>
      <t>&lt;=</t>
    </r>
    <r>
      <rPr>
        <sz val="11"/>
        <color theme="1"/>
        <rFont val="Calibri"/>
        <family val="2"/>
        <scheme val="minor"/>
      </rPr>
      <t xml:space="preserve"> 10%, and Order Status = </t>
    </r>
    <r>
      <rPr>
        <sz val="10"/>
        <color theme="1"/>
        <rFont val="Google Sans Text"/>
        <family val="2"/>
      </rPr>
      <t>"Completed"</t>
    </r>
  </si>
  <si>
    <r>
      <t xml:space="preserve">Sales below ₹50,000 and Order Status = </t>
    </r>
    <r>
      <rPr>
        <sz val="10"/>
        <color theme="1"/>
        <rFont val="Arial Unicode MS"/>
      </rPr>
      <t>"Completed"</t>
    </r>
  </si>
  <si>
    <r>
      <t xml:space="preserve">Sales between ₹50,000 and ₹99,999, Rating &gt;=3, and Order Status = </t>
    </r>
    <r>
      <rPr>
        <sz val="10"/>
        <color theme="1"/>
        <rFont val="Google Sans Text"/>
        <family val="2"/>
      </rPr>
      <t>"Completed"</t>
    </r>
  </si>
  <si>
    <r>
      <t xml:space="preserve">Any order with Rating </t>
    </r>
    <r>
      <rPr>
        <sz val="11"/>
        <color theme="1"/>
        <rFont val="Arial"/>
        <family val="2"/>
      </rPr>
      <t>&lt;=</t>
    </r>
    <r>
      <rPr>
        <sz val="11"/>
        <color theme="1"/>
        <rFont val="Calibri"/>
        <family val="2"/>
        <scheme val="minor"/>
      </rPr>
      <t xml:space="preserve"> 2 OR Order Status = </t>
    </r>
    <r>
      <rPr>
        <sz val="10"/>
        <color theme="1"/>
        <rFont val="Google Sans Text"/>
        <family val="2"/>
      </rPr>
      <t>"Cancelled"</t>
    </r>
  </si>
  <si>
    <t>Requirements:</t>
  </si>
  <si>
    <r>
      <t xml:space="preserve">1. Insert a new column named </t>
    </r>
    <r>
      <rPr>
        <b/>
        <sz val="10"/>
        <color theme="1"/>
        <rFont val="Google Sans Text"/>
        <family val="2"/>
      </rPr>
      <t>Customer Classification</t>
    </r>
    <r>
      <rPr>
        <sz val="11"/>
        <color theme="1"/>
        <rFont val="Arial"/>
        <family val="2"/>
      </rPr>
      <t>.</t>
    </r>
  </si>
  <si>
    <r>
      <t xml:space="preserve">2. Write a </t>
    </r>
    <r>
      <rPr>
        <b/>
        <sz val="11"/>
        <color theme="1"/>
        <rFont val="Arial"/>
        <family val="2"/>
      </rPr>
      <t>single formula</t>
    </r>
    <r>
      <rPr>
        <sz val="11"/>
        <color theme="1"/>
        <rFont val="Arial"/>
        <family val="2"/>
      </rPr>
      <t xml:space="preserve"> to classify every record.</t>
    </r>
  </si>
  <si>
    <t>3. The formula should automatically work for all 500 records.</t>
  </si>
  <si>
    <t>4. Do not use helper columns.</t>
  </si>
  <si>
    <t>5. Ensure that every record falls into exactly one classification.</t>
  </si>
  <si>
    <t>August</t>
  </si>
  <si>
    <t>September</t>
  </si>
  <si>
    <t>April</t>
  </si>
  <si>
    <t>February</t>
  </si>
  <si>
    <t>March</t>
  </si>
  <si>
    <t>May</t>
  </si>
  <si>
    <t>January</t>
  </si>
  <si>
    <t>Custumer Classification</t>
  </si>
  <si>
    <t>Row Labels</t>
  </si>
  <si>
    <t>Grand Total</t>
  </si>
  <si>
    <t>Count of Custumer Classification</t>
  </si>
  <si>
    <t>Percentage%</t>
  </si>
  <si>
    <t>Question 2 -Customer Data Standardization</t>
  </si>
  <si>
    <t>Removing unnecessary leading, trailing, and extra spaces.</t>
  </si>
  <si>
    <t>1. Standardize all Customer Names by:</t>
  </si>
  <si>
    <t>The company is migrating its customer database to a new CRM system. Before migration, the customer information must be standardized to ensure consistency and accuracy.</t>
  </si>
  <si>
    <t>Example:</t>
  </si>
  <si>
    <r>
      <t>Customer Name:</t>
    </r>
    <r>
      <rPr>
        <sz val="11"/>
        <color theme="1"/>
        <rFont val="Arial"/>
        <family val="2"/>
      </rPr>
      <t xml:space="preserve"> Amit Sharma</t>
    </r>
  </si>
  <si>
    <r>
      <t>Customer ID:</t>
    </r>
    <r>
      <rPr>
        <sz val="11"/>
        <color theme="1"/>
        <rFont val="Arial"/>
        <family val="2"/>
      </rPr>
      <t xml:space="preserve"> C001</t>
    </r>
  </si>
  <si>
    <r>
      <t>City:</t>
    </r>
    <r>
      <rPr>
        <sz val="11"/>
        <color theme="1"/>
        <rFont val="Arial"/>
        <family val="2"/>
      </rPr>
      <t xml:space="preserve"> Delhi</t>
    </r>
  </si>
  <si>
    <r>
      <t>Customer Code: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Ami001De</t>
    </r>
  </si>
  <si>
    <r>
      <t xml:space="preserve">Converting the names into Proper Case (e.g., </t>
    </r>
    <r>
      <rPr>
        <sz val="10"/>
        <color theme="1"/>
        <rFont val="Google Sans Text"/>
        <family val="2"/>
      </rPr>
      <t>aMiT shArMa</t>
    </r>
    <r>
      <rPr>
        <sz val="11"/>
        <color theme="1"/>
        <rFont val="Arial"/>
        <family val="2"/>
      </rPr>
      <t xml:space="preserve"> --------&gt; </t>
    </r>
    <r>
      <rPr>
        <sz val="10"/>
        <color theme="1"/>
        <rFont val="Google Sans Text"/>
        <family val="2"/>
      </rPr>
      <t>Amit Sharma</t>
    </r>
    <r>
      <rPr>
        <sz val="11"/>
        <color theme="1"/>
        <rFont val="Arial"/>
        <family val="2"/>
      </rPr>
      <t>).</t>
    </r>
  </si>
  <si>
    <r>
      <rPr>
        <b/>
        <sz val="12"/>
        <color theme="1"/>
        <rFont val="Calibri"/>
        <family val="2"/>
        <scheme val="minor"/>
      </rPr>
      <t xml:space="preserve">2. Create a new column named </t>
    </r>
    <r>
      <rPr>
        <b/>
        <sz val="12"/>
        <color theme="1"/>
        <rFont val="Google Sans Text"/>
        <family val="2"/>
      </rPr>
      <t>Customer Code</t>
    </r>
    <r>
      <rPr>
        <b/>
        <sz val="12"/>
        <color theme="1"/>
        <rFont val="Arial"/>
        <family val="2"/>
      </rPr>
      <t xml:space="preserve"> using the following format:</t>
    </r>
  </si>
  <si>
    <r>
      <t xml:space="preserve">4. If the email address does not contain "@", display </t>
    </r>
    <r>
      <rPr>
        <b/>
        <sz val="10"/>
        <color theme="1"/>
        <rFont val="Arial Unicode MS"/>
      </rPr>
      <t>"Invalid Email"</t>
    </r>
    <r>
      <rPr>
        <b/>
        <sz val="11"/>
        <color theme="1"/>
        <rFont val="Calibri"/>
        <family val="2"/>
        <scheme val="minor"/>
      </rPr>
      <t xml:space="preserve"> instead of the email</t>
    </r>
  </si>
  <si>
    <t>Removing unwanted spaces.</t>
  </si>
  <si>
    <t>Converting all characters to lowercase.</t>
  </si>
  <si>
    <t>3. Standardize all Email IDs by:</t>
  </si>
  <si>
    <t>5. Perform all tasks using Excel formulas only. Manual editing of records is not allowed.</t>
  </si>
  <si>
    <t>Custumer Code</t>
  </si>
  <si>
    <t>Clean Email ID</t>
  </si>
  <si>
    <t>Question 3 -Order &amp; Delivery Analysis</t>
  </si>
  <si>
    <t>The Operations team wants to analyze customer orders to monitor delivery efficiency and product warranty status.</t>
  </si>
  <si>
    <t>Using the given dataset, perform the following tasks:</t>
  </si>
  <si>
    <t>1. Calculate Customer Age:</t>
  </si>
  <si>
    <r>
      <t xml:space="preserve">Create a new column named </t>
    </r>
    <r>
      <rPr>
        <b/>
        <sz val="10"/>
        <color theme="1"/>
        <rFont val="Google Sans Text"/>
        <family val="2"/>
      </rPr>
      <t>Customer Age</t>
    </r>
    <r>
      <rPr>
        <sz val="11"/>
        <color theme="1"/>
        <rFont val="Arial"/>
        <family val="2"/>
      </rPr>
      <t xml:space="preserve"> and calculate the current age of each customer based on their Date of Birth.</t>
    </r>
  </si>
  <si>
    <r>
      <t xml:space="preserve">Create a new column named </t>
    </r>
    <r>
      <rPr>
        <b/>
        <sz val="10"/>
        <color theme="1"/>
        <rFont val="Arial Unicode MS"/>
      </rPr>
      <t>Delivery Time (Days)</t>
    </r>
    <r>
      <rPr>
        <sz val="11"/>
        <color theme="1"/>
        <rFont val="Calibri"/>
        <family val="2"/>
        <scheme val="minor"/>
      </rPr>
      <t xml:space="preserve"> and calculate the total number of days taken to deliver each order.</t>
    </r>
  </si>
  <si>
    <t>2. Calculate Delivery Time:</t>
  </si>
  <si>
    <r>
      <t xml:space="preserve">Create another column named </t>
    </r>
    <r>
      <rPr>
        <b/>
        <sz val="10"/>
        <color theme="1"/>
        <rFont val="Google Sans Text"/>
        <family val="2"/>
      </rPr>
      <t>Delivery Status</t>
    </r>
    <r>
      <rPr>
        <sz val="11"/>
        <color theme="1"/>
        <rFont val="Arial"/>
        <family val="2"/>
      </rPr>
      <t xml:space="preserve"> using the following conditions:</t>
    </r>
  </si>
  <si>
    <t>3. Determine Delivery Status:</t>
  </si>
  <si>
    <r>
      <t>On Time</t>
    </r>
    <r>
      <rPr>
        <sz val="11"/>
        <color theme="1"/>
        <rFont val="Arial"/>
        <family val="2"/>
      </rPr>
      <t xml:space="preserve"> ---&gt; Delivery completed within 5 days</t>
    </r>
  </si>
  <si>
    <r>
      <t>Delayed</t>
    </r>
    <r>
      <rPr>
        <sz val="11"/>
        <color theme="1"/>
        <rFont val="Arial"/>
        <family val="2"/>
      </rPr>
      <t xml:space="preserve">  ---&gt; Delivery completed after 5 days</t>
    </r>
  </si>
  <si>
    <r>
      <t>Pending</t>
    </r>
    <r>
      <rPr>
        <sz val="11"/>
        <color theme="1"/>
        <rFont val="Arial"/>
        <family val="2"/>
      </rPr>
      <t xml:space="preserve">  ---&gt; Delivery Date is blank</t>
    </r>
  </si>
  <si>
    <t xml:space="preserve">Requirements:Use formulas only.  Do not edit the original dataset manually.  The solution should work dynamically for all records.  No Excel error values (#N/A, #VALUE!, #NUM!, etc.) should appear in the final output.  </t>
  </si>
  <si>
    <t>Customer Age</t>
  </si>
  <si>
    <t>Delivery Time (Days)</t>
  </si>
  <si>
    <t>Delivery Status</t>
  </si>
  <si>
    <t>Question 4 -Interactive Product Lookup System</t>
  </si>
  <si>
    <t>The company wants to build an Interactive Product Lookup System for the inventory team. Instead of searching through the entire product master manually, the user should be able to enter a Product ID and instantly view all the related product information.</t>
  </si>
  <si>
    <r>
      <t xml:space="preserve">Create a new worksheet named </t>
    </r>
    <r>
      <rPr>
        <b/>
        <sz val="10"/>
        <color theme="1"/>
        <rFont val="Google Sans Text"/>
        <family val="2"/>
      </rPr>
      <t>Product Lookup Report</t>
    </r>
    <r>
      <rPr>
        <sz val="11"/>
        <color theme="1"/>
        <rFont val="Arial"/>
        <family val="2"/>
      </rPr>
      <t xml:space="preserve"> and design an interactive lookup interface with the following requirements:</t>
    </r>
  </si>
  <si>
    <r>
      <t xml:space="preserve">1. Create an </t>
    </r>
    <r>
      <rPr>
        <b/>
        <sz val="11"/>
        <color theme="1"/>
        <rFont val="Arial"/>
        <family val="2"/>
      </rPr>
      <t>input cell</t>
    </r>
    <r>
      <rPr>
        <sz val="11"/>
        <color theme="1"/>
        <rFont val="Arial"/>
        <family val="2"/>
      </rPr>
      <t xml:space="preserve"> where the user can enter a </t>
    </r>
    <r>
      <rPr>
        <b/>
        <sz val="11"/>
        <color theme="1"/>
        <rFont val="Arial"/>
        <family val="2"/>
      </rPr>
      <t>Product ID</t>
    </r>
    <r>
      <rPr>
        <sz val="11"/>
        <color theme="1"/>
        <rFont val="Arial"/>
        <family val="2"/>
      </rPr>
      <t>.</t>
    </r>
  </si>
  <si>
    <t>2. As soon as a valid Product ID is entered, the following details should be displayed automatically:</t>
  </si>
  <si>
    <t>Product Name</t>
  </si>
  <si>
    <t>Cost Price</t>
  </si>
  <si>
    <t>Warranty (Months)</t>
  </si>
  <si>
    <r>
      <t xml:space="preserve">3. If the entered Product ID does </t>
    </r>
    <r>
      <rPr>
        <b/>
        <sz val="11"/>
        <color theme="1"/>
        <rFont val="Arial"/>
        <family val="2"/>
      </rPr>
      <t>not</t>
    </r>
    <r>
      <rPr>
        <sz val="11"/>
        <color theme="1"/>
        <rFont val="Arial"/>
        <family val="2"/>
      </rPr>
      <t xml:space="preserve"> exist in the </t>
    </r>
    <r>
      <rPr>
        <sz val="10"/>
        <color theme="1"/>
        <rFont val="Google Sans Text"/>
        <family val="2"/>
      </rPr>
      <t>Product_Master</t>
    </r>
    <r>
      <rPr>
        <sz val="11"/>
        <color theme="1"/>
        <rFont val="Arial"/>
        <family val="2"/>
      </rPr>
      <t xml:space="preserve"> sheet, display </t>
    </r>
    <r>
      <rPr>
        <b/>
        <sz val="10"/>
        <color theme="1"/>
        <rFont val="Google Sans Text"/>
        <family val="2"/>
      </rPr>
      <t>"Product Not Found"</t>
    </r>
    <r>
      <rPr>
        <sz val="11"/>
        <color theme="1"/>
        <rFont val="Arial"/>
        <family val="2"/>
      </rPr>
      <t xml:space="preserve"> instead of an Excel error.</t>
    </r>
  </si>
  <si>
    <r>
      <t xml:space="preserve">4. The lookup should update </t>
    </r>
    <r>
      <rPr>
        <b/>
        <sz val="11"/>
        <color theme="1"/>
        <rFont val="Arial"/>
        <family val="2"/>
      </rPr>
      <t>dynamically</t>
    </r>
    <r>
      <rPr>
        <sz val="11"/>
        <color theme="1"/>
        <rFont val="Arial"/>
        <family val="2"/>
      </rPr>
      <t xml:space="preserve"> whenever a different Product ID is entered.</t>
    </r>
  </si>
  <si>
    <r>
      <t>5. Do not manually copy or type product details.</t>
    </r>
    <r>
      <rPr>
        <sz val="11"/>
        <color theme="1"/>
        <rFont val="Arial"/>
        <family val="2"/>
      </rPr>
      <t xml:space="preserve"> The report must retrieve all information directly from the </t>
    </r>
    <r>
      <rPr>
        <sz val="10"/>
        <color theme="1"/>
        <rFont val="Google Sans Text"/>
        <family val="2"/>
      </rPr>
      <t>Product_Master</t>
    </r>
    <r>
      <rPr>
        <sz val="11"/>
        <color theme="1"/>
        <rFont val="Arial"/>
        <family val="2"/>
      </rPr>
      <t xml:space="preserve"> worksheet using Excel formulas</t>
    </r>
  </si>
  <si>
    <t>Product Master</t>
  </si>
  <si>
    <t>Product Lookup Report</t>
  </si>
  <si>
    <t>Question 5 -Sales Performance Summary Report</t>
  </si>
  <si>
    <t>The management wants a quick overview of business performance without creating Pivot Tables.</t>
  </si>
  <si>
    <r>
      <t xml:space="preserve">1. Calculate the total Sales Amount generated from the </t>
    </r>
    <r>
      <rPr>
        <b/>
        <sz val="10"/>
        <color theme="1"/>
        <rFont val="Google Sans Text"/>
        <family val="2"/>
      </rPr>
      <t>Electronics</t>
    </r>
    <r>
      <rPr>
        <sz val="11"/>
        <color theme="1"/>
        <rFont val="Arial"/>
        <family val="2"/>
      </rPr>
      <t xml:space="preserve"> category for </t>
    </r>
    <r>
      <rPr>
        <b/>
        <sz val="10"/>
        <color theme="1"/>
        <rFont val="Google Sans Text"/>
        <family val="2"/>
      </rPr>
      <t>Completed</t>
    </r>
    <r>
      <rPr>
        <sz val="11"/>
        <color theme="1"/>
        <rFont val="Arial"/>
        <family val="2"/>
      </rPr>
      <t xml:space="preserve"> orders only.</t>
    </r>
  </si>
  <si>
    <r>
      <t xml:space="preserve">2. Calculate the total Sales Amount generated by Salesperson </t>
    </r>
    <r>
      <rPr>
        <b/>
        <sz val="10"/>
        <color theme="1"/>
        <rFont val="Google Sans Text"/>
        <family val="2"/>
      </rPr>
      <t>Neha</t>
    </r>
    <r>
      <rPr>
        <sz val="11"/>
        <color theme="1"/>
        <rFont val="Arial"/>
        <family val="2"/>
      </rPr>
      <t xml:space="preserve"> in the </t>
    </r>
    <r>
      <rPr>
        <b/>
        <sz val="10"/>
        <color theme="1"/>
        <rFont val="Google Sans Text"/>
        <family val="2"/>
      </rPr>
      <t>North</t>
    </r>
    <r>
      <rPr>
        <sz val="11"/>
        <color theme="1"/>
        <rFont val="Arial"/>
        <family val="2"/>
      </rPr>
      <t xml:space="preserve"> region.</t>
    </r>
  </si>
  <si>
    <r>
      <t xml:space="preserve">4. Find the Number of customers who have given a </t>
    </r>
    <r>
      <rPr>
        <b/>
        <sz val="11"/>
        <color theme="1"/>
        <rFont val="Arial"/>
        <family val="2"/>
      </rPr>
      <t>Rating of 5</t>
    </r>
    <r>
      <rPr>
        <sz val="11"/>
        <color theme="1"/>
        <rFont val="Arial"/>
        <family val="2"/>
      </rPr>
      <t xml:space="preserve"> and whose </t>
    </r>
    <r>
      <rPr>
        <b/>
        <sz val="11"/>
        <color theme="1"/>
        <rFont val="Arial"/>
        <family val="2"/>
      </rPr>
      <t xml:space="preserve">Order Status is </t>
    </r>
    <r>
      <rPr>
        <b/>
        <sz val="10"/>
        <color theme="1"/>
        <rFont val="Google Sans Text"/>
        <family val="2"/>
      </rPr>
      <t>Completed</t>
    </r>
    <r>
      <rPr>
        <sz val="11"/>
        <color theme="1"/>
        <rFont val="Arial"/>
        <family val="2"/>
      </rPr>
      <t>.</t>
    </r>
  </si>
  <si>
    <r>
      <t xml:space="preserve">5. Calculate the </t>
    </r>
    <r>
      <rPr>
        <b/>
        <sz val="11"/>
        <color theme="1"/>
        <rFont val="Arial"/>
        <family val="2"/>
      </rPr>
      <t>Average Sales Amount</t>
    </r>
    <r>
      <rPr>
        <sz val="11"/>
        <color theme="1"/>
        <rFont val="Arial"/>
        <family val="2"/>
      </rPr>
      <t xml:space="preserve"> for orders placed in the </t>
    </r>
    <r>
      <rPr>
        <b/>
        <sz val="10"/>
        <color theme="1"/>
        <rFont val="Google Sans Text"/>
        <family val="2"/>
      </rPr>
      <t>West</t>
    </r>
    <r>
      <rPr>
        <sz val="11"/>
        <color theme="1"/>
        <rFont val="Arial"/>
        <family val="2"/>
      </rPr>
      <t xml:space="preserve"> region where the </t>
    </r>
    <r>
      <rPr>
        <b/>
        <sz val="11"/>
        <color theme="1"/>
        <rFont val="Arial"/>
        <family val="2"/>
      </rPr>
      <t>Quantity is &gt; 5</t>
    </r>
    <r>
      <rPr>
        <sz val="11"/>
        <color theme="1"/>
        <rFont val="Arial"/>
        <family val="2"/>
      </rPr>
      <t>.</t>
    </r>
  </si>
  <si>
    <r>
      <t xml:space="preserve">Create a new worksheet named </t>
    </r>
    <r>
      <rPr>
        <b/>
        <sz val="10"/>
        <color theme="1"/>
        <rFont val="Google Sans Text"/>
        <family val="2"/>
      </rPr>
      <t>Sales Summary Report</t>
    </r>
    <r>
      <rPr>
        <b/>
        <sz val="11"/>
        <color theme="1"/>
        <rFont val="Arial"/>
        <family val="2"/>
      </rPr>
      <t xml:space="preserve"> and calculate the following:</t>
    </r>
  </si>
  <si>
    <t xml:space="preserve">1. Create the report in a separate worksheet named Sales Summary Report. </t>
  </si>
  <si>
    <t xml:space="preserve">2. Use Excel formulas only.  </t>
  </si>
  <si>
    <t xml:space="preserve">3. Do not use Pivot Tables.  </t>
  </si>
  <si>
    <t xml:space="preserve">4. Ensure the report updates automatically whenever the data in the Sales_Data worksheet changes.  </t>
  </si>
  <si>
    <r>
      <t xml:space="preserve">3. Find the Number of orders where the </t>
    </r>
    <r>
      <rPr>
        <b/>
        <sz val="11"/>
        <color theme="1"/>
        <rFont val="Arial"/>
        <family val="2"/>
      </rPr>
      <t>Discount Percentage is &gt;= 15%</t>
    </r>
    <r>
      <rPr>
        <sz val="11"/>
        <color theme="1"/>
        <rFont val="Arial"/>
        <family val="2"/>
      </rPr>
      <t xml:space="preserve"> and the </t>
    </r>
    <r>
      <rPr>
        <b/>
        <sz val="11"/>
        <color theme="1"/>
        <rFont val="Arial"/>
        <family val="2"/>
      </rPr>
      <t xml:space="preserve">Payment Mode is </t>
    </r>
    <r>
      <rPr>
        <b/>
        <sz val="10"/>
        <color theme="1"/>
        <rFont val="Google Sans Text"/>
        <family val="2"/>
      </rPr>
      <t>UPI</t>
    </r>
    <r>
      <rPr>
        <sz val="11"/>
        <color theme="1"/>
        <rFont val="Arial"/>
        <family val="2"/>
      </rPr>
      <t>.</t>
    </r>
  </si>
  <si>
    <t>Sales Summary Report</t>
  </si>
  <si>
    <t>Total Sales for Electronics (Completed Orders)</t>
  </si>
  <si>
    <t>Total Sales (Neha in North)</t>
  </si>
  <si>
    <t>Customers with Rating = 5 and Order Status = Completed</t>
  </si>
  <si>
    <t>Average Sales (West Region &amp; Quantity &gt; 5)</t>
  </si>
  <si>
    <t>Orders with Discount &gt;= 15% and Payment Mode = UPI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</si>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</sst>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8" formatCode="&quot;₹&quot;\ #,##0"/>
    <numFmt numFmtId="170" formatCode="_ &quot;₹&quot;\ * #,##0_ ;_ &quot;₹&quot;\ * \-#,##0_ ;_ &quot;₹&quot;\ * &quot;-&quot;??_ ;_ @_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color theme="0"/>
      <name val="Calibri"/>
      <family val="2"/>
      <scheme val="minor"/>
    </font>
    <font>
      <sz val="20"/>
      <color rgb="FF92D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Google Sans Text"/>
      <family val="2"/>
    </font>
    <font>
      <b/>
      <sz val="12"/>
      <color theme="1"/>
      <name val="Arial"/>
      <family val="2"/>
    </font>
    <font>
      <b/>
      <sz val="10"/>
      <color theme="1"/>
      <name val="Arial Unicode MS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0" fillId="0" borderId="4" xfId="0" applyBorder="1"/>
    <xf numFmtId="0" fontId="7" fillId="7" borderId="0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3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4" fillId="4" borderId="1" xfId="3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8" borderId="14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170" fontId="0" fillId="0" borderId="14" xfId="1" applyNumberFormat="1" applyFont="1" applyBorder="1" applyAlignment="1">
      <alignment horizontal="center" vertical="center"/>
    </xf>
    <xf numFmtId="168" fontId="0" fillId="0" borderId="14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" fontId="0" fillId="0" borderId="0" xfId="0" applyNumberFormat="1"/>
    <xf numFmtId="0" fontId="3" fillId="8" borderId="14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0" fillId="0" borderId="0" xfId="0" applyNumberFormat="1" applyBorder="1"/>
    <xf numFmtId="14" fontId="0" fillId="0" borderId="0" xfId="0" applyNumberFormat="1"/>
    <xf numFmtId="14" fontId="3" fillId="10" borderId="14" xfId="0" applyNumberFormat="1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" fontId="0" fillId="10" borderId="14" xfId="0" applyNumberForma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0" fillId="6" borderId="0" xfId="0" applyFill="1" applyAlignment="1"/>
    <xf numFmtId="0" fontId="3" fillId="6" borderId="14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0" fontId="3" fillId="6" borderId="0" xfId="0" applyFont="1" applyFill="1"/>
    <xf numFmtId="0" fontId="0" fillId="6" borderId="14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/>
    </xf>
    <xf numFmtId="0" fontId="3" fillId="6" borderId="24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/>
    </xf>
    <xf numFmtId="170" fontId="3" fillId="0" borderId="14" xfId="1" applyNumberFormat="1" applyFont="1" applyBorder="1" applyAlignment="1">
      <alignment horizontal="center" vertical="center"/>
    </xf>
    <xf numFmtId="170" fontId="0" fillId="0" borderId="0" xfId="1" applyNumberFormat="1" applyFont="1"/>
    <xf numFmtId="9" fontId="3" fillId="0" borderId="14" xfId="2" applyFont="1" applyBorder="1" applyAlignment="1">
      <alignment horizontal="center" vertical="center"/>
    </xf>
    <xf numFmtId="9" fontId="0" fillId="0" borderId="0" xfId="2" applyFont="1"/>
    <xf numFmtId="1" fontId="3" fillId="0" borderId="14" xfId="0" applyNumberFormat="1" applyFont="1" applyBorder="1" applyAlignment="1">
      <alignment horizontal="center" vertical="center"/>
    </xf>
    <xf numFmtId="0" fontId="0" fillId="0" borderId="14" xfId="0" pivotButton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0" fillId="6" borderId="43" xfId="0" applyFill="1" applyBorder="1" applyAlignment="1">
      <alignment vertical="center"/>
    </xf>
    <xf numFmtId="0" fontId="0" fillId="6" borderId="42" xfId="0" applyFill="1" applyBorder="1" applyAlignment="1">
      <alignment vertical="center"/>
    </xf>
    <xf numFmtId="0" fontId="0" fillId="6" borderId="44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0" fontId="0" fillId="6" borderId="46" xfId="0" applyFill="1" applyBorder="1" applyAlignment="1">
      <alignment vertical="center"/>
    </xf>
    <xf numFmtId="0" fontId="7" fillId="7" borderId="24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7" fillId="7" borderId="18" xfId="0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3" fillId="6" borderId="42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6" borderId="45" xfId="0" applyFont="1" applyFill="1" applyBorder="1" applyAlignment="1">
      <alignment horizontal="center" vertical="center" wrapText="1"/>
    </xf>
    <xf numFmtId="0" fontId="3" fillId="6" borderId="46" xfId="0" applyFont="1" applyFill="1" applyBorder="1" applyAlignment="1">
      <alignment horizontal="center" vertical="center" wrapText="1"/>
    </xf>
    <xf numFmtId="0" fontId="17" fillId="6" borderId="39" xfId="0" applyFont="1" applyFill="1" applyBorder="1" applyAlignment="1">
      <alignment vertical="center"/>
    </xf>
    <xf numFmtId="0" fontId="0" fillId="6" borderId="40" xfId="0" applyFill="1" applyBorder="1" applyAlignment="1">
      <alignment vertical="center"/>
    </xf>
    <xf numFmtId="0" fontId="0" fillId="6" borderId="41" xfId="0" applyFill="1" applyBorder="1" applyAlignment="1">
      <alignment vertical="center"/>
    </xf>
    <xf numFmtId="0" fontId="17" fillId="6" borderId="42" xfId="0" applyFont="1" applyFill="1" applyBorder="1" applyAlignment="1">
      <alignment vertical="center"/>
    </xf>
    <xf numFmtId="0" fontId="0" fillId="6" borderId="43" xfId="0" applyFill="1" applyBorder="1" applyAlignment="1">
      <alignment horizontal="left" vertical="top"/>
    </xf>
    <xf numFmtId="0" fontId="12" fillId="6" borderId="43" xfId="0" applyFont="1" applyFill="1" applyBorder="1" applyAlignment="1">
      <alignment horizontal="left" vertical="top"/>
    </xf>
    <xf numFmtId="0" fontId="0" fillId="6" borderId="46" xfId="0" applyFill="1" applyBorder="1" applyAlignment="1">
      <alignment horizontal="left" vertical="top"/>
    </xf>
    <xf numFmtId="0" fontId="20" fillId="6" borderId="41" xfId="0" applyFont="1" applyFill="1" applyBorder="1" applyAlignment="1">
      <alignment horizontal="left" vertical="top"/>
    </xf>
    <xf numFmtId="0" fontId="17" fillId="6" borderId="43" xfId="0" applyFont="1" applyFill="1" applyBorder="1" applyAlignment="1">
      <alignment horizontal="left" vertical="top"/>
    </xf>
    <xf numFmtId="0" fontId="3" fillId="8" borderId="18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2" fillId="8" borderId="48" xfId="0" applyFont="1" applyFill="1" applyBorder="1" applyAlignment="1">
      <alignment vertical="center"/>
    </xf>
    <xf numFmtId="0" fontId="0" fillId="8" borderId="49" xfId="0" applyFill="1" applyBorder="1" applyAlignment="1">
      <alignment horizontal="left" vertical="center" indent="1"/>
    </xf>
    <xf numFmtId="0" fontId="13" fillId="8" borderId="49" xfId="0" applyFont="1" applyFill="1" applyBorder="1" applyAlignment="1">
      <alignment horizontal="left" vertical="center" indent="1"/>
    </xf>
    <xf numFmtId="0" fontId="12" fillId="8" borderId="49" xfId="0" applyFont="1" applyFill="1" applyBorder="1" applyAlignment="1">
      <alignment horizontal="left" vertical="center" indent="2"/>
    </xf>
    <xf numFmtId="0" fontId="0" fillId="8" borderId="49" xfId="0" applyFill="1" applyBorder="1" applyAlignment="1">
      <alignment vertical="center"/>
    </xf>
    <xf numFmtId="0" fontId="13" fillId="8" borderId="49" xfId="0" applyFont="1" applyFill="1" applyBorder="1" applyAlignment="1">
      <alignment vertical="center"/>
    </xf>
    <xf numFmtId="0" fontId="12" fillId="8" borderId="49" xfId="0" applyFont="1" applyFill="1" applyBorder="1" applyAlignment="1">
      <alignment horizontal="left" vertical="center" indent="1"/>
    </xf>
    <xf numFmtId="0" fontId="14" fillId="8" borderId="49" xfId="0" applyFont="1" applyFill="1" applyBorder="1" applyAlignment="1">
      <alignment horizontal="left" vertical="center" indent="2"/>
    </xf>
    <xf numFmtId="0" fontId="14" fillId="8" borderId="50" xfId="0" applyFont="1" applyFill="1" applyBorder="1" applyAlignment="1">
      <alignment horizontal="left" vertical="center" indent="2"/>
    </xf>
    <xf numFmtId="0" fontId="0" fillId="8" borderId="49" xfId="0" applyFill="1" applyBorder="1"/>
    <xf numFmtId="0" fontId="0" fillId="8" borderId="50" xfId="0" applyFill="1" applyBorder="1"/>
    <xf numFmtId="0" fontId="0" fillId="8" borderId="48" xfId="0" applyFill="1" applyBorder="1" applyAlignment="1">
      <alignment horizontal="center" vertical="center" wrapText="1"/>
    </xf>
    <xf numFmtId="0" fontId="0" fillId="8" borderId="49" xfId="0" applyFill="1" applyBorder="1" applyAlignment="1">
      <alignment horizontal="center" vertical="center" wrapText="1"/>
    </xf>
    <xf numFmtId="0" fontId="0" fillId="8" borderId="50" xfId="0" applyFill="1" applyBorder="1" applyAlignment="1">
      <alignment horizontal="center" vertical="center" wrapText="1"/>
    </xf>
    <xf numFmtId="1" fontId="0" fillId="0" borderId="0" xfId="0" applyNumberFormat="1" applyBorder="1"/>
    <xf numFmtId="1" fontId="0" fillId="0" borderId="14" xfId="0" applyNumberFormat="1" applyFill="1" applyBorder="1" applyAlignment="1">
      <alignment horizontal="center" vertical="center"/>
    </xf>
    <xf numFmtId="0" fontId="12" fillId="8" borderId="49" xfId="0" applyFont="1" applyFill="1" applyBorder="1" applyAlignment="1">
      <alignment vertical="center"/>
    </xf>
    <xf numFmtId="0" fontId="13" fillId="8" borderId="49" xfId="0" applyFont="1" applyFill="1" applyBorder="1" applyAlignment="1">
      <alignment horizontal="left" vertical="center" indent="2"/>
    </xf>
    <xf numFmtId="0" fontId="0" fillId="8" borderId="48" xfId="0" applyFill="1" applyBorder="1" applyAlignment="1">
      <alignment vertical="center" wrapText="1"/>
    </xf>
    <xf numFmtId="0" fontId="0" fillId="8" borderId="49" xfId="0" applyFill="1" applyBorder="1" applyAlignment="1">
      <alignment vertical="center" wrapText="1"/>
    </xf>
    <xf numFmtId="0" fontId="0" fillId="8" borderId="50" xfId="0" applyFill="1" applyBorder="1" applyAlignment="1">
      <alignment vertical="center" wrapText="1"/>
    </xf>
    <xf numFmtId="0" fontId="12" fillId="8" borderId="49" xfId="0" applyFont="1" applyFill="1" applyBorder="1" applyAlignment="1">
      <alignment vertical="center" wrapText="1"/>
    </xf>
    <xf numFmtId="0" fontId="13" fillId="8" borderId="49" xfId="0" applyFont="1" applyFill="1" applyBorder="1" applyAlignment="1">
      <alignment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2" fillId="6" borderId="39" xfId="0" applyFont="1" applyFill="1" applyBorder="1" applyAlignment="1">
      <alignment vertical="center"/>
    </xf>
    <xf numFmtId="0" fontId="0" fillId="6" borderId="40" xfId="0" applyFill="1" applyBorder="1"/>
    <xf numFmtId="0" fontId="0" fillId="6" borderId="41" xfId="0" applyFill="1" applyBorder="1"/>
    <xf numFmtId="0" fontId="0" fillId="6" borderId="43" xfId="0" applyFill="1" applyBorder="1"/>
    <xf numFmtId="0" fontId="0" fillId="6" borderId="42" xfId="0" applyFill="1" applyBorder="1" applyAlignment="1">
      <alignment horizontal="left" vertical="center" indent="1"/>
    </xf>
    <xf numFmtId="0" fontId="12" fillId="6" borderId="42" xfId="0" applyFont="1" applyFill="1" applyBorder="1" applyAlignment="1">
      <alignment horizontal="left" vertical="center" indent="1"/>
    </xf>
    <xf numFmtId="0" fontId="0" fillId="6" borderId="44" xfId="0" applyFill="1" applyBorder="1"/>
    <xf numFmtId="0" fontId="0" fillId="6" borderId="45" xfId="0" applyFill="1" applyBorder="1"/>
    <xf numFmtId="0" fontId="0" fillId="6" borderId="46" xfId="0" applyFill="1" applyBorder="1"/>
    <xf numFmtId="0" fontId="13" fillId="6" borderId="42" xfId="0" applyFont="1" applyFill="1" applyBorder="1" applyAlignment="1">
      <alignment vertical="center"/>
    </xf>
    <xf numFmtId="0" fontId="0" fillId="6" borderId="48" xfId="0" applyFill="1" applyBorder="1"/>
    <xf numFmtId="0" fontId="0" fillId="6" borderId="49" xfId="0" applyFill="1" applyBorder="1"/>
    <xf numFmtId="0" fontId="0" fillId="6" borderId="49" xfId="0" applyFill="1" applyBorder="1" applyAlignment="1">
      <alignment wrapText="1"/>
    </xf>
    <xf numFmtId="0" fontId="0" fillId="6" borderId="50" xfId="0" applyFill="1" applyBorder="1"/>
    <xf numFmtId="0" fontId="9" fillId="6" borderId="49" xfId="0" applyFont="1" applyFill="1" applyBorder="1"/>
    <xf numFmtId="0" fontId="5" fillId="10" borderId="53" xfId="0" applyFont="1" applyFill="1" applyBorder="1" applyAlignment="1">
      <alignment horizontal="center" vertical="center"/>
    </xf>
    <xf numFmtId="0" fontId="5" fillId="10" borderId="54" xfId="0" applyFont="1" applyFill="1" applyBorder="1" applyAlignment="1">
      <alignment horizontal="center" vertical="center"/>
    </xf>
    <xf numFmtId="0" fontId="5" fillId="10" borderId="55" xfId="0" applyFont="1" applyFill="1" applyBorder="1" applyAlignment="1">
      <alignment horizontal="center" vertical="center"/>
    </xf>
    <xf numFmtId="0" fontId="18" fillId="13" borderId="53" xfId="0" applyFont="1" applyFill="1" applyBorder="1" applyAlignment="1">
      <alignment horizontal="center" vertical="center"/>
    </xf>
    <xf numFmtId="0" fontId="18" fillId="13" borderId="54" xfId="0" applyFont="1" applyFill="1" applyBorder="1" applyAlignment="1">
      <alignment horizontal="center" vertical="center"/>
    </xf>
    <xf numFmtId="0" fontId="18" fillId="13" borderId="55" xfId="0" applyFont="1" applyFill="1" applyBorder="1" applyAlignment="1">
      <alignment horizontal="center" vertical="center"/>
    </xf>
    <xf numFmtId="1" fontId="3" fillId="8" borderId="14" xfId="0" applyNumberFormat="1" applyFont="1" applyFill="1" applyBorder="1" applyAlignment="1">
      <alignment horizontal="center" vertical="center"/>
    </xf>
    <xf numFmtId="1" fontId="0" fillId="0" borderId="14" xfId="1" applyNumberFormat="1" applyFont="1" applyBorder="1" applyAlignment="1">
      <alignment horizontal="center" vertical="center"/>
    </xf>
    <xf numFmtId="44" fontId="23" fillId="14" borderId="39" xfId="1" applyFont="1" applyFill="1" applyBorder="1" applyAlignment="1">
      <alignment horizontal="center" vertical="center"/>
    </xf>
    <xf numFmtId="44" fontId="23" fillId="14" borderId="40" xfId="1" applyFont="1" applyFill="1" applyBorder="1" applyAlignment="1">
      <alignment horizontal="center" vertical="center"/>
    </xf>
    <xf numFmtId="44" fontId="23" fillId="14" borderId="41" xfId="1" applyFont="1" applyFill="1" applyBorder="1" applyAlignment="1">
      <alignment horizontal="center" vertical="center"/>
    </xf>
    <xf numFmtId="44" fontId="23" fillId="14" borderId="42" xfId="1" applyFont="1" applyFill="1" applyBorder="1" applyAlignment="1">
      <alignment horizontal="center" vertical="center"/>
    </xf>
    <xf numFmtId="44" fontId="23" fillId="14" borderId="0" xfId="1" applyFont="1" applyFill="1" applyBorder="1" applyAlignment="1">
      <alignment horizontal="center" vertical="center"/>
    </xf>
    <xf numFmtId="44" fontId="23" fillId="14" borderId="43" xfId="1" applyFont="1" applyFill="1" applyBorder="1" applyAlignment="1">
      <alignment horizontal="center" vertical="center"/>
    </xf>
    <xf numFmtId="44" fontId="23" fillId="14" borderId="44" xfId="1" applyFont="1" applyFill="1" applyBorder="1" applyAlignment="1">
      <alignment horizontal="center" vertical="center"/>
    </xf>
    <xf numFmtId="44" fontId="23" fillId="14" borderId="45" xfId="1" applyFont="1" applyFill="1" applyBorder="1" applyAlignment="1">
      <alignment horizontal="center" vertical="center"/>
    </xf>
    <xf numFmtId="44" fontId="23" fillId="14" borderId="46" xfId="1" applyFont="1" applyFill="1" applyBorder="1" applyAlignment="1">
      <alignment horizontal="center" vertical="center"/>
    </xf>
    <xf numFmtId="0" fontId="23" fillId="14" borderId="39" xfId="0" applyFont="1" applyFill="1" applyBorder="1" applyAlignment="1">
      <alignment horizontal="center" vertical="center"/>
    </xf>
    <xf numFmtId="0" fontId="23" fillId="14" borderId="40" xfId="0" applyFont="1" applyFill="1" applyBorder="1" applyAlignment="1">
      <alignment horizontal="center" vertical="center"/>
    </xf>
    <xf numFmtId="0" fontId="23" fillId="14" borderId="41" xfId="0" applyFont="1" applyFill="1" applyBorder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23" fillId="14" borderId="0" xfId="0" applyFont="1" applyFill="1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44" xfId="0" applyFont="1" applyFill="1" applyBorder="1" applyAlignment="1">
      <alignment horizontal="center" vertical="center"/>
    </xf>
    <xf numFmtId="0" fontId="23" fillId="14" borderId="45" xfId="0" applyFont="1" applyFill="1" applyBorder="1" applyAlignment="1">
      <alignment horizontal="center" vertical="center"/>
    </xf>
    <xf numFmtId="0" fontId="23" fillId="14" borderId="46" xfId="0" applyFont="1" applyFill="1" applyBorder="1" applyAlignment="1">
      <alignment horizontal="center" vertical="center"/>
    </xf>
    <xf numFmtId="0" fontId="6" fillId="14" borderId="39" xfId="0" applyFont="1" applyFill="1" applyBorder="1" applyAlignment="1">
      <alignment horizontal="center" vertical="center"/>
    </xf>
    <xf numFmtId="0" fontId="6" fillId="14" borderId="40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6" fillId="14" borderId="42" xfId="0" applyFont="1" applyFill="1" applyBorder="1" applyAlignment="1">
      <alignment horizontal="center" vertical="center"/>
    </xf>
    <xf numFmtId="0" fontId="6" fillId="14" borderId="0" xfId="0" applyFont="1" applyFill="1" applyBorder="1" applyAlignment="1">
      <alignment horizontal="center" vertical="center"/>
    </xf>
    <xf numFmtId="0" fontId="6" fillId="14" borderId="43" xfId="0" applyFont="1" applyFill="1" applyBorder="1" applyAlignment="1">
      <alignment horizontal="center" vertical="center"/>
    </xf>
    <xf numFmtId="0" fontId="6" fillId="14" borderId="44" xfId="0" applyFont="1" applyFill="1" applyBorder="1" applyAlignment="1">
      <alignment horizontal="center" vertical="center"/>
    </xf>
    <xf numFmtId="0" fontId="6" fillId="14" borderId="45" xfId="0" applyFont="1" applyFill="1" applyBorder="1" applyAlignment="1">
      <alignment horizontal="center" vertical="center"/>
    </xf>
    <xf numFmtId="0" fontId="6" fillId="14" borderId="46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44" fontId="22" fillId="14" borderId="39" xfId="1" applyNumberFormat="1" applyFont="1" applyFill="1" applyBorder="1" applyAlignment="1">
      <alignment horizontal="center" vertical="center"/>
    </xf>
    <xf numFmtId="44" fontId="22" fillId="14" borderId="40" xfId="1" applyNumberFormat="1" applyFont="1" applyFill="1" applyBorder="1" applyAlignment="1">
      <alignment horizontal="center" vertical="center"/>
    </xf>
    <xf numFmtId="44" fontId="22" fillId="14" borderId="41" xfId="1" applyNumberFormat="1" applyFont="1" applyFill="1" applyBorder="1" applyAlignment="1">
      <alignment horizontal="center" vertical="center"/>
    </xf>
    <xf numFmtId="44" fontId="22" fillId="14" borderId="42" xfId="1" applyNumberFormat="1" applyFont="1" applyFill="1" applyBorder="1" applyAlignment="1">
      <alignment horizontal="center" vertical="center"/>
    </xf>
    <xf numFmtId="44" fontId="22" fillId="14" borderId="0" xfId="1" applyNumberFormat="1" applyFont="1" applyFill="1" applyBorder="1" applyAlignment="1">
      <alignment horizontal="center" vertical="center"/>
    </xf>
    <xf numFmtId="44" fontId="22" fillId="14" borderId="43" xfId="1" applyNumberFormat="1" applyFont="1" applyFill="1" applyBorder="1" applyAlignment="1">
      <alignment horizontal="center" vertical="center"/>
    </xf>
    <xf numFmtId="44" fontId="22" fillId="14" borderId="44" xfId="1" applyNumberFormat="1" applyFont="1" applyFill="1" applyBorder="1" applyAlignment="1">
      <alignment horizontal="center" vertical="center"/>
    </xf>
    <xf numFmtId="44" fontId="22" fillId="14" borderId="45" xfId="1" applyNumberFormat="1" applyFont="1" applyFill="1" applyBorder="1" applyAlignment="1">
      <alignment horizontal="center" vertical="center"/>
    </xf>
    <xf numFmtId="44" fontId="22" fillId="14" borderId="46" xfId="1" applyNumberFormat="1" applyFont="1" applyFill="1" applyBorder="1" applyAlignment="1">
      <alignment horizontal="center" vertical="center"/>
    </xf>
    <xf numFmtId="0" fontId="24" fillId="0" borderId="23" xfId="0" applyFont="1" applyBorder="1"/>
    <xf numFmtId="9" fontId="3" fillId="8" borderId="14" xfId="2" applyFont="1" applyFill="1" applyBorder="1" applyAlignment="1">
      <alignment horizontal="center" vertical="center"/>
    </xf>
    <xf numFmtId="1" fontId="0" fillId="12" borderId="14" xfId="0" applyNumberFormat="1" applyFill="1" applyBorder="1" applyAlignment="1">
      <alignment horizontal="center" vertical="center"/>
    </xf>
    <xf numFmtId="0" fontId="0" fillId="12" borderId="14" xfId="0" applyNumberFormat="1" applyFill="1" applyBorder="1" applyAlignment="1">
      <alignment horizontal="center" vertical="center"/>
    </xf>
    <xf numFmtId="0" fontId="23" fillId="14" borderId="53" xfId="0" applyFont="1" applyFill="1" applyBorder="1" applyAlignment="1">
      <alignment horizontal="center"/>
    </xf>
    <xf numFmtId="0" fontId="23" fillId="14" borderId="54" xfId="0" applyFont="1" applyFill="1" applyBorder="1" applyAlignment="1">
      <alignment horizontal="center"/>
    </xf>
    <xf numFmtId="0" fontId="23" fillId="14" borderId="55" xfId="0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9">
    <dxf>
      <numFmt numFmtId="14" formatCode="0.00%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bb5014ba097738/Desktop/bubble-chart-timeline.xlsx" TargetMode="External"/><Relationship Id="rId1" Type="http://schemas.openxmlformats.org/officeDocument/2006/relationships/externalLinkPath" Target="bubble-chart-tim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rizontal"/>
      <sheetName val="©"/>
    </sheetNames>
    <sheetDataSet>
      <sheetData sheetId="0">
        <row r="5">
          <cell r="A5">
            <v>1970</v>
          </cell>
          <cell r="B5">
            <v>0</v>
          </cell>
          <cell r="C5">
            <v>1</v>
          </cell>
          <cell r="D5">
            <v>1970</v>
          </cell>
        </row>
        <row r="6">
          <cell r="A6">
            <v>1980</v>
          </cell>
          <cell r="B6">
            <v>0</v>
          </cell>
          <cell r="C6">
            <v>1</v>
          </cell>
          <cell r="D6">
            <v>1980</v>
          </cell>
        </row>
        <row r="7">
          <cell r="A7">
            <v>1992</v>
          </cell>
          <cell r="B7">
            <v>0</v>
          </cell>
          <cell r="C7">
            <v>1</v>
          </cell>
          <cell r="D7">
            <v>1992</v>
          </cell>
        </row>
        <row r="8">
          <cell r="A8">
            <v>1998</v>
          </cell>
          <cell r="B8">
            <v>0</v>
          </cell>
          <cell r="C8">
            <v>0.7</v>
          </cell>
          <cell r="D8">
            <v>1998</v>
          </cell>
        </row>
        <row r="9">
          <cell r="A9">
            <v>2010</v>
          </cell>
          <cell r="B9">
            <v>0</v>
          </cell>
          <cell r="C9">
            <v>1</v>
          </cell>
          <cell r="D9">
            <v>2010</v>
          </cell>
        </row>
        <row r="10">
          <cell r="A10">
            <v>2020</v>
          </cell>
          <cell r="B10">
            <v>0</v>
          </cell>
          <cell r="C10">
            <v>1</v>
          </cell>
          <cell r="D10">
            <v>2020</v>
          </cell>
        </row>
        <row r="14">
          <cell r="B14">
            <v>0.8</v>
          </cell>
          <cell r="C14">
            <v>1978</v>
          </cell>
          <cell r="D14">
            <v>0.3</v>
          </cell>
          <cell r="E14" t="str">
            <v>To edit Data Label options: Right-click &gt; Format Data Labels</v>
          </cell>
        </row>
        <row r="15">
          <cell r="B15">
            <v>0.28000000000000003</v>
          </cell>
          <cell r="C15">
            <v>1970</v>
          </cell>
          <cell r="D15">
            <v>0.3</v>
          </cell>
          <cell r="E15" t="str">
            <v>The Axis is a Bubble Chart series with labels that you can define</v>
          </cell>
        </row>
        <row r="16">
          <cell r="B16">
            <v>0.5</v>
          </cell>
          <cell r="C16">
            <v>1992</v>
          </cell>
          <cell r="D16">
            <v>0.3</v>
          </cell>
          <cell r="E16" t="str">
            <v>Axis labels do not necessarily need to be equally spaced</v>
          </cell>
        </row>
        <row r="17">
          <cell r="B17">
            <v>0.2</v>
          </cell>
          <cell r="C17">
            <v>1985</v>
          </cell>
          <cell r="D17">
            <v>0.3</v>
          </cell>
          <cell r="E17" t="str">
            <v>Event leader lines are Y Error Bars</v>
          </cell>
        </row>
        <row r="18">
          <cell r="B18">
            <v>0.2</v>
          </cell>
          <cell r="C18">
            <v>1998</v>
          </cell>
          <cell r="D18">
            <v>0.3</v>
          </cell>
          <cell r="E18" t="str">
            <v>The Axis bubble size can be changed</v>
          </cell>
        </row>
        <row r="19">
          <cell r="B19">
            <v>0.7</v>
          </cell>
          <cell r="C19">
            <v>2002</v>
          </cell>
          <cell r="D19">
            <v>0.3</v>
          </cell>
          <cell r="E19" t="str">
            <v>The bubble size is determined by the value in the table</v>
          </cell>
        </row>
        <row r="20">
          <cell r="B20">
            <v>0.4</v>
          </cell>
          <cell r="C20">
            <v>2010</v>
          </cell>
          <cell r="D20">
            <v>0.3</v>
          </cell>
          <cell r="E20" t="str">
            <v>Axis labels can be formatted individually</v>
          </cell>
        </row>
        <row r="21">
          <cell r="B21">
            <v>0.75</v>
          </cell>
          <cell r="C21">
            <v>2014</v>
          </cell>
          <cell r="D21">
            <v>0.3</v>
          </cell>
          <cell r="E21" t="str">
            <v>Event labels and markers can be formatted individually</v>
          </cell>
        </row>
        <row r="22">
          <cell r="B22">
            <v>0.2</v>
          </cell>
          <cell r="C22">
            <v>2026.5739219712525</v>
          </cell>
          <cell r="D22">
            <v>0.3</v>
          </cell>
          <cell r="E22" t="str">
            <v>The Y value for this marker is =YEAR(TODAY())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wat Misra" refreshedDate="46230.739359027779" createdVersion="8" refreshedVersion="8" minRefreshableVersion="3" recordCount="500" xr:uid="{199639B9-24C9-4A5B-BAC7-1C5817F2F64F}">
  <cacheSource type="worksheet">
    <worksheetSource ref="A1:AB501" sheet="Answer 1"/>
  </cacheSource>
  <cacheFields count="28">
    <cacheField name="Order_ID" numFmtId="0">
      <sharedItems/>
    </cacheField>
    <cacheField name="Customer_ID" numFmtId="0">
      <sharedItems/>
    </cacheField>
    <cacheField name="Product_ID" numFmtId="0">
      <sharedItems/>
    </cacheField>
    <cacheField name="Order_Date" numFmtId="14">
      <sharedItems containsDate="1" containsBlank="1" containsMixedTypes="1" minDate="2025-01-01T00:00:00" maxDate="2026-05-17T00:00:00"/>
    </cacheField>
    <cacheField name="Delivery_Date" numFmtId="14">
      <sharedItems containsBlank="1"/>
    </cacheField>
    <cacheField name="Customer_Name" numFmtId="0">
      <sharedItems/>
    </cacheField>
    <cacheField name="Gender" numFmtId="0">
      <sharedItems/>
    </cacheField>
    <cacheField name="DOB" numFmtId="14">
      <sharedItems/>
    </cacheField>
    <cacheField name="City" numFmtId="0">
      <sharedItems/>
    </cacheField>
    <cacheField name="Region" numFmtId="0">
      <sharedItems/>
    </cacheField>
    <cacheField name="State" numFmtId="0">
      <sharedItems/>
    </cacheField>
    <cacheField name="Category" numFmtId="0">
      <sharedItems/>
    </cacheField>
    <cacheField name="Product_Name_Final" numFmtId="0">
      <sharedItems/>
    </cacheField>
    <cacheField name="Quantity" numFmtId="0">
      <sharedItems containsSemiMixedTypes="0" containsString="0" containsNumber="1" containsInteger="1" minValue="1" maxValue="20"/>
    </cacheField>
    <cacheField name="Unit_Price" numFmtId="170">
      <sharedItems containsMixedTypes="1" containsNumber="1" minValue="15" maxValue="41250"/>
    </cacheField>
    <cacheField name="Discount_%" numFmtId="9">
      <sharedItems containsSemiMixedTypes="0" containsString="0" containsNumber="1" minValue="0" maxValue="0.65"/>
    </cacheField>
    <cacheField name="New Sales Calculation" numFmtId="170">
      <sharedItems containsMixedTypes="1" containsNumber="1" minValue="14.25" maxValue="783750"/>
    </cacheField>
    <cacheField name="Rating" numFmtId="1">
      <sharedItems containsSemiMixedTypes="0" containsString="0" containsNumber="1" containsInteger="1" minValue="1" maxValue="5"/>
    </cacheField>
    <cacheField name="Payment_Mode" numFmtId="0">
      <sharedItems/>
    </cacheField>
    <cacheField name="Salesperson" numFmtId="0">
      <sharedItems/>
    </cacheField>
    <cacheField name="Email" numFmtId="0">
      <sharedItems/>
    </cacheField>
    <cacheField name="Phone" numFmtId="0">
      <sharedItems containsSemiMixedTypes="0" containsString="0" containsNumber="1" containsInteger="1" minValue="9101231789" maxValue="9999889465"/>
    </cacheField>
    <cacheField name="Supplier" numFmtId="0">
      <sharedItems/>
    </cacheField>
    <cacheField name="Warranty_Months" numFmtId="1">
      <sharedItems containsMixedTypes="1" containsNumber="1" containsInteger="1" minValue="6" maxValue="24"/>
    </cacheField>
    <cacheField name="Membership" numFmtId="0">
      <sharedItems/>
    </cacheField>
    <cacheField name="Warranty_Till(Months)" numFmtId="14">
      <sharedItems containsDate="1" containsMixedTypes="1" minDate="1900-12-31T00:00:00" maxDate="2028-05-23T00:00:00"/>
    </cacheField>
    <cacheField name="Birthday Month" numFmtId="0">
      <sharedItems/>
    </cacheField>
    <cacheField name="Custumer Classification" numFmtId="0">
      <sharedItems count="4">
        <s v="Silver"/>
        <s v="Blacklisted"/>
        <s v="Gold"/>
        <s v="Platin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10001"/>
    <s v="C008"/>
    <s v="P202"/>
    <d v="2025-09-18T00:00:00"/>
    <s v="22/09/2025"/>
    <s v="Kavya Nair"/>
    <s v="Female"/>
    <s v="01/08/1976"/>
    <s v="Hyderabad"/>
    <s v="South"/>
    <s v="WB"/>
    <s v="Home Appliances"/>
    <s v="Iron"/>
    <n v="4"/>
    <n v="1650"/>
    <n v="0.1"/>
    <n v="5940"/>
    <n v="4"/>
    <s v="Cash"/>
    <s v="Ritika"/>
    <s v="kavya.nair@company.com"/>
    <n v="9431429797"/>
    <s v="Global Trade"/>
    <n v="24"/>
    <s v="Silver"/>
    <d v="2027-09-22T00:00:00"/>
    <s v="August"/>
    <x v="0"/>
  </r>
  <r>
    <s v="ORD10002"/>
    <s v="C008"/>
    <s v="P104"/>
    <d v="2025-04-27T00:00:00"/>
    <s v="04/05/2025"/>
    <s v="Kavya Nair"/>
    <s v="Female"/>
    <s v="01/08/1976"/>
    <s v="Hyderabad"/>
    <s v="South"/>
    <s v="WB"/>
    <s v="Electronics"/>
    <s v="Monitor"/>
    <n v="17"/>
    <n v="9000"/>
    <n v="0.1"/>
    <n v="137700"/>
    <n v="1"/>
    <s v="Netbanking"/>
    <s v="Rahul"/>
    <s v="kavya.nair@company.com"/>
    <n v="9129865339"/>
    <s v="Global Trade"/>
    <n v="24"/>
    <s v="Silver"/>
    <d v="2027-05-04T00:00:00"/>
    <s v="August"/>
    <x v="1"/>
  </r>
  <r>
    <s v="ORD10003"/>
    <s v="C010"/>
    <s v="P101"/>
    <d v="2025-09-03T00:00:00"/>
    <s v="14/09/2025"/>
    <s v="Pooja Shah"/>
    <s v="Female"/>
    <s v="16/09/1994"/>
    <s v="Bengaluru"/>
    <s v="South"/>
    <s v="WB"/>
    <s v="Electronics"/>
    <s v="Laptop"/>
    <n v="5"/>
    <n v="41250"/>
    <n v="0.05"/>
    <n v="195937.5"/>
    <n v="3"/>
    <s v="Netbanking"/>
    <s v="Aisha"/>
    <s v="pooja.shah@company.com"/>
    <n v="9380975626"/>
    <s v="TechHub"/>
    <n v="12"/>
    <s v="Silver"/>
    <d v="2026-09-14T00:00:00"/>
    <s v="September"/>
    <x v="2"/>
  </r>
  <r>
    <s v="ORD10004"/>
    <s v="C008"/>
    <s v="P202"/>
    <d v="2026-03-21T00:00:00"/>
    <s v="02/04/2026"/>
    <s v="Kavya Nair"/>
    <s v="Female"/>
    <s v="01/08/1976"/>
    <s v="Hyderabad"/>
    <s v="South"/>
    <s v="WB"/>
    <s v="Home Appliances"/>
    <s v="Iron"/>
    <n v="5"/>
    <n v="1650"/>
    <n v="0.05"/>
    <n v="7837.5"/>
    <n v="5"/>
    <s v="Netbanking"/>
    <s v="Aisha"/>
    <s v="kavya.nair@company.com"/>
    <n v="9600261125"/>
    <s v="Global Trade"/>
    <n v="24"/>
    <s v="Silver"/>
    <d v="2028-04-02T00:00:00"/>
    <s v="August"/>
    <x v="0"/>
  </r>
  <r>
    <s v="ORD10005"/>
    <s v="C009"/>
    <s v="P103"/>
    <d v="2025-09-27T00:00:00"/>
    <s v="07/10/2025"/>
    <s v="Mohit Verma"/>
    <s v="Male"/>
    <s v="13/04/1976"/>
    <s v="Delhi"/>
    <s v="North"/>
    <s v="KA"/>
    <s v="Electronics"/>
    <s v="Keyboard"/>
    <n v="8"/>
    <n v="900"/>
    <n v="0.05"/>
    <n v="6840"/>
    <n v="2"/>
    <s v="Card"/>
    <s v="Aisha"/>
    <s v="mohit.verma@company.com"/>
    <n v="9724635978"/>
    <s v="TechHub"/>
    <n v="6"/>
    <s v="Platinum"/>
    <d v="2026-04-07T00:00:00"/>
    <s v="April"/>
    <x v="1"/>
  </r>
  <r>
    <s v="ORD10006"/>
    <s v="C007"/>
    <s v="P202"/>
    <d v="2026-01-04T00:00:00"/>
    <s v="12/01/2026"/>
    <s v="Arjun Rao"/>
    <s v="Male"/>
    <s v="07/02/1988"/>
    <s v="Hyderabad"/>
    <s v="South"/>
    <s v="RJ"/>
    <s v="Home Appliances"/>
    <s v="Iron"/>
    <n v="4"/>
    <n v="1650"/>
    <n v="0"/>
    <n v="6600"/>
    <n v="1"/>
    <s v="Upi"/>
    <s v="Ritika"/>
    <s v="arjun.rao@company.com"/>
    <n v="9780584905"/>
    <s v="Global Trade"/>
    <n v="24"/>
    <s v="Silver"/>
    <d v="2028-01-12T00:00:00"/>
    <s v="February"/>
    <x v="1"/>
  </r>
  <r>
    <s v="ORD10007"/>
    <s v="C008"/>
    <s v="P201"/>
    <s v="31/02/2025"/>
    <s v="25/02/2026"/>
    <s v="Kavya Nair"/>
    <s v="Female"/>
    <s v="01/08/1976"/>
    <s v="Hyderabad"/>
    <s v="South"/>
    <s v="WB"/>
    <s v="Home Appliances"/>
    <s v="Mixer"/>
    <n v="2"/>
    <n v="2625"/>
    <n v="0.05"/>
    <n v="4987.5"/>
    <n v="1"/>
    <s v="Upi"/>
    <s v="Ritika"/>
    <s v="kavya.nair@company.com"/>
    <n v="9958252176"/>
    <s v="Global Trade"/>
    <n v="6"/>
    <s v="Silver"/>
    <d v="2026-08-25T00:00:00"/>
    <s v="August"/>
    <x v="1"/>
  </r>
  <r>
    <s v="ORD10008"/>
    <s v="C002"/>
    <s v="P104"/>
    <d v="2025-04-13T00:00:00"/>
    <s v="19/04/2025"/>
    <s v="Priya Patel"/>
    <s v="Female"/>
    <s v="07/03/1995"/>
    <s v="Mumbai"/>
    <s v="West"/>
    <s v="WB"/>
    <s v="Electronics"/>
    <s v="Monitor"/>
    <n v="14"/>
    <n v="9000"/>
    <n v="0.15"/>
    <n v="107100"/>
    <n v="4"/>
    <s v="Netbanking"/>
    <s v="Ritika"/>
    <s v="priya.patel@company.com"/>
    <n v="9705521654"/>
    <s v="Global Trade"/>
    <n v="24"/>
    <s v="Platinum"/>
    <d v="2027-04-19T00:00:00"/>
    <s v="March"/>
    <x v="2"/>
  </r>
  <r>
    <s v="ORD10009"/>
    <s v="C008"/>
    <s v="P104"/>
    <d v="2026-01-31T00:00:00"/>
    <s v="02/02/2026"/>
    <s v="Kavya Nair"/>
    <s v="Female"/>
    <s v="01/08/1976"/>
    <s v="Hyderabad"/>
    <s v="South"/>
    <s v="WB"/>
    <s v="Electronics"/>
    <s v="Monitor"/>
    <n v="4"/>
    <n v="9000"/>
    <n v="0.15"/>
    <n v="30600"/>
    <n v="4"/>
    <s v="Upi"/>
    <s v="Neha"/>
    <s v="kavya.nair@company.com"/>
    <n v="9588041011"/>
    <s v="Global Trade"/>
    <n v="24"/>
    <s v="Silver"/>
    <d v="2028-02-02T00:00:00"/>
    <s v="August"/>
    <x v="0"/>
  </r>
  <r>
    <s v="ORD10010"/>
    <s v="C002"/>
    <s v="P301"/>
    <d v="2025-03-25T00:00:00"/>
    <s v="27/03/2025"/>
    <s v="Priya Patel"/>
    <s v="Female"/>
    <s v="07/03/1995"/>
    <s v="Mumbai"/>
    <s v="West"/>
    <s v="WB"/>
    <s v="Stationery"/>
    <s v="Notebook"/>
    <n v="6"/>
    <n v="45"/>
    <n v="0"/>
    <n v="270"/>
    <n v="4"/>
    <s v="Card"/>
    <s v="Neha"/>
    <s v="priya.patel@company.com"/>
    <n v="9340540608"/>
    <s v="ABC Corp"/>
    <n v="12"/>
    <s v="Platinum"/>
    <d v="2026-03-27T00:00:00"/>
    <s v="March"/>
    <x v="0"/>
  </r>
  <r>
    <s v="ORD10011"/>
    <s v="C003"/>
    <s v="P202"/>
    <d v="2025-09-19T00:00:00"/>
    <s v="23/09/2025"/>
    <s v="Rohit Singh"/>
    <s v="Male"/>
    <s v="10/05/1982"/>
    <s v="Delhi"/>
    <s v="North"/>
    <s v="DL"/>
    <s v="Home Appliances"/>
    <s v="Iron"/>
    <n v="3"/>
    <n v="1650"/>
    <n v="0"/>
    <n v="4950"/>
    <n v="2"/>
    <s v="Card"/>
    <s v="Rahul"/>
    <s v="rohit.singh@company.com"/>
    <n v="9521710321"/>
    <s v="Global Trade"/>
    <n v="24"/>
    <s v="Gold"/>
    <d v="2027-09-23T00:00:00"/>
    <s v="May"/>
    <x v="1"/>
  </r>
  <r>
    <s v="ORD10012"/>
    <s v="C008"/>
    <s v="P201"/>
    <d v="2025-03-08T00:00:00"/>
    <s v="15/03/2025"/>
    <s v="Kavya Nair"/>
    <s v="Female"/>
    <s v="01/08/1976"/>
    <s v="Hyderabad"/>
    <s v="South"/>
    <s v="WB"/>
    <s v="Home Appliances"/>
    <s v="Mixer"/>
    <n v="10"/>
    <n v="2625"/>
    <n v="0.05"/>
    <n v="24937.5"/>
    <n v="5"/>
    <s v="Card"/>
    <s v="Aisha"/>
    <s v="kavya.nair@company.com"/>
    <n v="9123535241"/>
    <s v="Global Trade"/>
    <n v="6"/>
    <s v="Silver"/>
    <d v="2025-09-15T00:00:00"/>
    <s v="August"/>
    <x v="0"/>
  </r>
  <r>
    <s v="ORD10013"/>
    <s v="C002"/>
    <s v="P202"/>
    <d v="2025-01-10T00:00:00"/>
    <s v="15/01/2025"/>
    <s v="Priya Patel"/>
    <s v="Female"/>
    <s v="07/03/1995"/>
    <s v="Mumbai"/>
    <s v="West"/>
    <s v="WB"/>
    <s v="Home Appliances"/>
    <s v="Iron"/>
    <n v="15"/>
    <n v="1650"/>
    <n v="0.1"/>
    <n v="22275"/>
    <n v="1"/>
    <s v="Upi"/>
    <s v="Neha"/>
    <s v="priya.patel@company.com"/>
    <n v="9367316892"/>
    <s v="Global Trade"/>
    <n v="24"/>
    <s v="Platinum"/>
    <d v="2027-01-15T00:00:00"/>
    <s v="March"/>
    <x v="1"/>
  </r>
  <r>
    <s v="ORD10014"/>
    <s v="C003"/>
    <s v="P202"/>
    <d v="2025-03-09T00:00:00"/>
    <s v="13/03/2025"/>
    <s v="Rohit Singh"/>
    <s v="Male"/>
    <s v="10/05/1982"/>
    <s v="Delhi"/>
    <s v="North"/>
    <s v="DL"/>
    <s v="Home Appliances"/>
    <s v="Iron"/>
    <n v="17"/>
    <n v="1650"/>
    <n v="0.05"/>
    <n v="26647.5"/>
    <n v="1"/>
    <s v="Cash"/>
    <s v="Karan"/>
    <s v="rohit.singh@company.com"/>
    <n v="9778489803"/>
    <s v="Global Trade"/>
    <n v="24"/>
    <s v="Gold"/>
    <d v="2027-03-13T00:00:00"/>
    <s v="May"/>
    <x v="1"/>
  </r>
  <r>
    <s v="ORD10015"/>
    <s v="C008"/>
    <s v="P201"/>
    <d v="2025-07-26T00:00:00"/>
    <s v="07/08/2025"/>
    <s v="Kavya Nair"/>
    <s v="Female"/>
    <s v="01/08/1976"/>
    <s v="Hyderabad"/>
    <s v="South"/>
    <s v="WB"/>
    <s v="Home Appliances"/>
    <s v="Mixer"/>
    <n v="15"/>
    <n v="2625"/>
    <n v="0.15"/>
    <n v="33468.75"/>
    <n v="2"/>
    <s v="Cash"/>
    <s v="Neha"/>
    <s v="kavya.nair@company.com"/>
    <n v="9582960180"/>
    <s v="Global Trade"/>
    <n v="6"/>
    <s v="Silver"/>
    <d v="2026-02-07T00:00:00"/>
    <s v="August"/>
    <x v="1"/>
  </r>
  <r>
    <s v="ORD10016"/>
    <s v="C010"/>
    <s v="P103"/>
    <d v="2026-04-08T00:00:00"/>
    <s v="11/04/2026"/>
    <s v="Pooja Shah"/>
    <s v="Female"/>
    <s v="16/09/1994"/>
    <s v="Bengaluru"/>
    <s v="South"/>
    <s v="WB"/>
    <s v="Electronics"/>
    <s v="Keyboard"/>
    <n v="3"/>
    <n v="900"/>
    <n v="0.05"/>
    <n v="2565"/>
    <n v="5"/>
    <s v="Upi"/>
    <s v="Ritika"/>
    <s v="pooja.shah@company.com"/>
    <n v="9611394005"/>
    <s v="TechHub"/>
    <n v="6"/>
    <s v="Silver"/>
    <d v="2026-10-11T00:00:00"/>
    <s v="September"/>
    <x v="0"/>
  </r>
  <r>
    <s v="ORD10017"/>
    <s v="C004"/>
    <s v="P203"/>
    <d v="2026-02-22T00:00:00"/>
    <s v="03/03/2026"/>
    <s v="Anita Gupta"/>
    <s v="Female"/>
    <s v="16/01/2002"/>
    <s v="Pune"/>
    <s v="West"/>
    <s v="WB"/>
    <s v="Home Appliances"/>
    <s v="Microwave"/>
    <n v="13"/>
    <n v="6375"/>
    <n v="0.2"/>
    <n v="66300"/>
    <n v="4"/>
    <s v="Card"/>
    <s v="Rahul"/>
    <s v="anita.gupta@company.com"/>
    <n v="9692599404"/>
    <s v="TechHub"/>
    <n v="24"/>
    <s v="Gold"/>
    <d v="2028-03-03T00:00:00"/>
    <s v="January"/>
    <x v="2"/>
  </r>
  <r>
    <s v="ORD10018"/>
    <s v="C007"/>
    <s v="P203"/>
    <d v="2026-02-28T00:00:00"/>
    <s v="05/03/2026"/>
    <s v="Arjun Rao"/>
    <s v="Male"/>
    <s v="07/02/1988"/>
    <s v="Hyderabad"/>
    <s v="South"/>
    <s v="RJ"/>
    <s v="Home Appliances"/>
    <s v="Microwave"/>
    <n v="4"/>
    <n v="6375"/>
    <n v="0.2"/>
    <n v="20400"/>
    <n v="5"/>
    <s v="Card"/>
    <s v="Aisha"/>
    <s v="arjun.rao@company.com"/>
    <n v="9426119622"/>
    <s v="TechHub"/>
    <n v="24"/>
    <s v="Silver"/>
    <d v="2028-03-05T00:00:00"/>
    <s v="February"/>
    <x v="0"/>
  </r>
  <r>
    <s v="ORD10019"/>
    <s v="C007"/>
    <s v="P102"/>
    <d v="2025-12-01T00:00:00"/>
    <s v="04/12/2025"/>
    <s v="Arjun Rao"/>
    <s v="Male"/>
    <s v="07/02/1988"/>
    <s v="Hyderabad"/>
    <s v="South"/>
    <s v="RJ"/>
    <s v="Electronics"/>
    <s v="Mouse"/>
    <n v="9"/>
    <n v="525"/>
    <n v="0.05"/>
    <n v="4488.75"/>
    <n v="3"/>
    <s v="Upi"/>
    <s v="Ritika"/>
    <s v="arjun.rao@company.com"/>
    <n v="9184436009"/>
    <s v="TechHub"/>
    <n v="24"/>
    <s v="Silver"/>
    <d v="2027-12-04T00:00:00"/>
    <s v="February"/>
    <x v="0"/>
  </r>
  <r>
    <s v="ORD10020"/>
    <s v="C008"/>
    <s v="P101"/>
    <d v="2025-06-25T00:00:00"/>
    <s v="03/07/2025"/>
    <s v="Kavya Nair"/>
    <s v="Female"/>
    <s v="01/08/1976"/>
    <s v="Hyderabad"/>
    <s v="South"/>
    <s v="WB"/>
    <s v="Electronics"/>
    <s v="Laptop"/>
    <n v="8"/>
    <n v="41250"/>
    <n v="0.2"/>
    <n v="264000"/>
    <n v="1"/>
    <s v="Cash"/>
    <s v="Karan"/>
    <s v="kavya.nair@company.com"/>
    <n v="9263774934"/>
    <s v="TechHub"/>
    <n v="12"/>
    <s v="Silver"/>
    <d v="2026-07-03T00:00:00"/>
    <s v="August"/>
    <x v="1"/>
  </r>
  <r>
    <s v="ORD10021"/>
    <s v="C003"/>
    <s v="P102"/>
    <d v="2025-04-26T00:00:00"/>
    <s v="05/05/2025"/>
    <s v="Rohit Singh"/>
    <s v="Male"/>
    <s v="10/05/1982"/>
    <s v="Delhi"/>
    <s v="North"/>
    <s v="DL"/>
    <s v="Electronics"/>
    <s v="Mouse"/>
    <n v="10"/>
    <n v="525"/>
    <n v="0.2"/>
    <n v="4200"/>
    <n v="4"/>
    <s v="Card"/>
    <s v="Aisha"/>
    <s v="rohit.singh@company.com"/>
    <n v="9473159572"/>
    <s v="TechHub"/>
    <n v="24"/>
    <s v="Gold"/>
    <d v="2027-05-05T00:00:00"/>
    <s v="May"/>
    <x v="0"/>
  </r>
  <r>
    <s v="ORD10022"/>
    <s v="C008"/>
    <s v="P201"/>
    <d v="2025-01-03T00:00:00"/>
    <s v="08/01/2025"/>
    <s v="Kavya Nair"/>
    <s v="Female"/>
    <s v="01/08/1976"/>
    <s v="Hyderabad"/>
    <s v="South"/>
    <s v="WB"/>
    <s v="Home Appliances"/>
    <s v="Mixer"/>
    <n v="1"/>
    <n v="2625"/>
    <n v="0.05"/>
    <n v="2493.75"/>
    <n v="3"/>
    <s v="Upi"/>
    <s v="Neha"/>
    <s v="kavya.nair@company.com"/>
    <n v="9660493688"/>
    <s v="Global Trade"/>
    <n v="6"/>
    <s v="Silver"/>
    <d v="2025-07-08T00:00:00"/>
    <s v="August"/>
    <x v="0"/>
  </r>
  <r>
    <s v="ORD10023"/>
    <s v="C002"/>
    <s v="P102"/>
    <d v="2025-04-19T00:00:00"/>
    <s v="30/04/2025"/>
    <s v="Priya Patel"/>
    <s v="Female"/>
    <s v="07/03/1995"/>
    <s v="Mumbai"/>
    <s v="West"/>
    <s v="WB"/>
    <s v="Electronics"/>
    <s v="Mouse"/>
    <n v="19"/>
    <n v="525"/>
    <n v="0.15"/>
    <n v="8478.75"/>
    <n v="3"/>
    <s v="Netbanking"/>
    <s v="Karan"/>
    <s v="priya.patel@company.com"/>
    <n v="9513325819"/>
    <s v="TechHub"/>
    <n v="24"/>
    <s v="Platinum"/>
    <d v="2027-04-30T00:00:00"/>
    <s v="March"/>
    <x v="0"/>
  </r>
  <r>
    <s v="ORD10024"/>
    <s v="C009"/>
    <s v="P101"/>
    <d v="2025-12-22T00:00:00"/>
    <s v="01/01/2026"/>
    <s v="Mohit Verma"/>
    <s v="Male"/>
    <s v="13/04/1976"/>
    <s v="Delhi"/>
    <s v="North"/>
    <s v="KA"/>
    <s v="Electronics"/>
    <s v="Laptop"/>
    <n v="12"/>
    <n v="41250"/>
    <n v="0"/>
    <n v="495000"/>
    <n v="1"/>
    <s v="Card"/>
    <s v="Rahul"/>
    <s v="mohit.verma@company.com"/>
    <n v="9641063242"/>
    <s v="TechHub"/>
    <n v="12"/>
    <s v="Platinum"/>
    <d v="2027-01-01T00:00:00"/>
    <s v="April"/>
    <x v="1"/>
  </r>
  <r>
    <s v="ORD10025"/>
    <s v="C005"/>
    <s v="P302"/>
    <d v="2026-04-09T00:00:00"/>
    <s v="20/04/2026"/>
    <s v="Vikas Mehta"/>
    <s v="Male"/>
    <s v="03/08/1991"/>
    <s v="Mumbai"/>
    <s v="West"/>
    <s v="DL"/>
    <s v="Stationery"/>
    <s v="Pen"/>
    <n v="1"/>
    <n v="15"/>
    <n v="0.05"/>
    <n v="14.25"/>
    <n v="5"/>
    <s v="Card"/>
    <s v="Ritika"/>
    <s v="vikas.mehta@company.com"/>
    <n v="9277372518"/>
    <s v="Prime Supplies"/>
    <n v="12"/>
    <s v="Gold"/>
    <d v="2027-04-20T00:00:00"/>
    <s v="August"/>
    <x v="0"/>
  </r>
  <r>
    <s v="ORD10026"/>
    <s v="C007"/>
    <s v="P302"/>
    <d v="2025-06-24T00:00:00"/>
    <s v="02/07/2025"/>
    <s v="Arjun Rao"/>
    <s v="Male"/>
    <s v="07/02/1988"/>
    <s v="Hyderabad"/>
    <s v="South"/>
    <s v="RJ"/>
    <s v="Stationery"/>
    <s v="Pen"/>
    <n v="2"/>
    <n v="15"/>
    <n v="0.15"/>
    <n v="25.5"/>
    <n v="1"/>
    <s v="Upi"/>
    <s v="Ritika"/>
    <s v="arjun.rao@company.com"/>
    <n v="9193154372"/>
    <s v="Prime Supplies"/>
    <n v="12"/>
    <s v="Silver"/>
    <d v="2026-07-02T00:00:00"/>
    <s v="February"/>
    <x v="1"/>
  </r>
  <r>
    <s v="ORD10027"/>
    <s v="C009"/>
    <s v="P201"/>
    <d v="2025-05-22T00:00:00"/>
    <s v="25/05/2025"/>
    <s v="Mohit Verma"/>
    <s v="Male"/>
    <s v="13/04/1976"/>
    <s v="Delhi"/>
    <s v="North"/>
    <s v="KA"/>
    <s v="Home Appliances"/>
    <s v="Mixer"/>
    <n v="12"/>
    <n v="2625"/>
    <n v="0.15"/>
    <n v="26775"/>
    <n v="4"/>
    <s v="Cash"/>
    <s v="Rahul"/>
    <s v="mohit.verma@company.com"/>
    <n v="9400073244"/>
    <s v="Global Trade"/>
    <n v="6"/>
    <s v="Platinum"/>
    <d v="2025-11-25T00:00:00"/>
    <s v="April"/>
    <x v="0"/>
  </r>
  <r>
    <s v="ORD10028"/>
    <s v="C008"/>
    <s v="P103"/>
    <d v="2026-03-13T00:00:00"/>
    <s v="20/03/2026"/>
    <s v="Kavya Nair"/>
    <s v="Female"/>
    <s v="01/08/1976"/>
    <s v="Hyderabad"/>
    <s v="South"/>
    <s v="WB"/>
    <s v="Electronics"/>
    <s v="Keyboard"/>
    <n v="11"/>
    <n v="900"/>
    <n v="0"/>
    <n v="9900"/>
    <n v="2"/>
    <s v="Upi"/>
    <s v="Karan"/>
    <s v="kavya.nair@company.com"/>
    <n v="9771556720"/>
    <s v="TechHub"/>
    <n v="6"/>
    <s v="Silver"/>
    <d v="2026-09-20T00:00:00"/>
    <s v="August"/>
    <x v="1"/>
  </r>
  <r>
    <s v="ORD10029"/>
    <s v="C003"/>
    <s v="P203"/>
    <d v="2025-09-08T00:00:00"/>
    <s v="20/09/2025"/>
    <s v="Rohit Singh"/>
    <s v="Male"/>
    <s v="10/05/1982"/>
    <s v="Delhi"/>
    <s v="North"/>
    <s v="DL"/>
    <s v="Home Appliances"/>
    <s v="Microwave"/>
    <n v="6"/>
    <n v="6375"/>
    <n v="0.65"/>
    <n v="13387.5"/>
    <n v="1"/>
    <s v="Card"/>
    <s v="Aisha"/>
    <s v="rohit.singh@company.com"/>
    <n v="9127480734"/>
    <s v="TechHub"/>
    <n v="24"/>
    <s v="Gold"/>
    <d v="2027-09-20T00:00:00"/>
    <s v="May"/>
    <x v="1"/>
  </r>
  <r>
    <s v="ORD10030"/>
    <s v="C006"/>
    <s v="P301"/>
    <d v="2026-01-11T00:00:00"/>
    <s v="16/01/2026"/>
    <s v="Sneha Joshi"/>
    <s v="Female"/>
    <s v="04/04/1981"/>
    <s v="Pune"/>
    <s v="West"/>
    <s v="WB"/>
    <s v="Stationery"/>
    <s v="Notebook"/>
    <n v="2"/>
    <n v="45"/>
    <n v="0.05"/>
    <n v="85.5"/>
    <n v="3"/>
    <s v="Cash"/>
    <s v="Karan"/>
    <s v="sneha.joshi@company.com"/>
    <n v="9512997042"/>
    <s v="ABC Corp"/>
    <n v="12"/>
    <s v="Gold"/>
    <d v="2027-01-16T00:00:00"/>
    <s v="April"/>
    <x v="0"/>
  </r>
  <r>
    <s v="ORD10031"/>
    <s v="C008"/>
    <s v="P303"/>
    <d v="2025-06-16T00:00:00"/>
    <s v="26/06/2025"/>
    <s v="Kavya Nair"/>
    <s v="Female"/>
    <s v="01/08/1976"/>
    <s v="Hyderabad"/>
    <s v="South"/>
    <s v="WB"/>
    <s v="Stationery"/>
    <s v="Marker"/>
    <n v="19"/>
    <n v="33.75"/>
    <n v="0.2"/>
    <n v="513"/>
    <n v="4"/>
    <s v="Netbanking"/>
    <s v="Aisha"/>
    <s v="kavya.nair@company.com"/>
    <n v="9372748661"/>
    <s v="TechHub"/>
    <n v="12"/>
    <s v="Silver"/>
    <d v="2026-06-26T00:00:00"/>
    <s v="August"/>
    <x v="0"/>
  </r>
  <r>
    <s v="ORD10032"/>
    <s v="C002"/>
    <s v="P104"/>
    <d v="2025-07-01T00:00:00"/>
    <s v="13/07/2025"/>
    <s v="Priya Patel"/>
    <s v="Female"/>
    <s v="07/03/1995"/>
    <s v="Mumbai"/>
    <s v="West"/>
    <s v="WB"/>
    <s v="Electronics"/>
    <s v="Monitor"/>
    <n v="11"/>
    <n v="9000"/>
    <n v="0"/>
    <n v="99000"/>
    <n v="3"/>
    <s v="Upi"/>
    <s v="Ritika"/>
    <s v="priya.patel@company.com"/>
    <n v="9570437805"/>
    <s v="Global Trade"/>
    <n v="24"/>
    <s v="Platinum"/>
    <d v="2027-07-13T00:00:00"/>
    <s v="March"/>
    <x v="2"/>
  </r>
  <r>
    <s v="ORD10033"/>
    <s v="C006"/>
    <s v="P202"/>
    <d v="2025-03-07T00:00:00"/>
    <s v="15/03/2025"/>
    <s v="Sneha Joshi"/>
    <s v="Female"/>
    <s v="04/04/1981"/>
    <s v="Pune"/>
    <s v="West"/>
    <s v="WB"/>
    <s v="Home Appliances"/>
    <s v="Iron"/>
    <n v="20"/>
    <n v="1650"/>
    <n v="0.05"/>
    <n v="31350"/>
    <n v="1"/>
    <s v="Cash"/>
    <s v="Rahul"/>
    <s v="sneha.joshi@company.com"/>
    <n v="9310669113"/>
    <s v="Global Trade"/>
    <n v="24"/>
    <s v="Gold"/>
    <d v="2027-03-15T00:00:00"/>
    <s v="April"/>
    <x v="1"/>
  </r>
  <r>
    <s v="ORD10034"/>
    <s v="C007"/>
    <s v="P302"/>
    <d v="2025-06-24T00:00:00"/>
    <s v="04/07/2025"/>
    <s v="Arjun Rao"/>
    <s v="Male"/>
    <s v="07/02/1988"/>
    <s v="Hyderabad"/>
    <s v="South"/>
    <s v="RJ"/>
    <s v="Stationery"/>
    <s v="Pen"/>
    <n v="3"/>
    <n v="15"/>
    <n v="0"/>
    <n v="45"/>
    <n v="2"/>
    <s v="Card"/>
    <s v="Ritika"/>
    <s v="arjun.rao@company.com"/>
    <n v="9437132894"/>
    <s v="Prime Supplies"/>
    <n v="12"/>
    <s v="Silver"/>
    <d v="2026-07-04T00:00:00"/>
    <s v="February"/>
    <x v="1"/>
  </r>
  <r>
    <s v="ORD10035"/>
    <s v="C003"/>
    <s v="P303"/>
    <d v="2025-10-09T00:00:00"/>
    <s v="19/10/2025"/>
    <s v="Rohit Singh"/>
    <s v="Male"/>
    <s v="10/05/1982"/>
    <s v="Delhi"/>
    <s v="North"/>
    <s v="DL"/>
    <s v="Stationery"/>
    <s v="Marker"/>
    <n v="18"/>
    <n v="33.75"/>
    <n v="0.2"/>
    <n v="486"/>
    <n v="4"/>
    <s v="Netbanking"/>
    <s v="Ritika"/>
    <s v="rohit.singh@company.com"/>
    <n v="9762437243"/>
    <s v="TechHub"/>
    <n v="12"/>
    <s v="Gold"/>
    <d v="2026-10-19T00:00:00"/>
    <s v="May"/>
    <x v="0"/>
  </r>
  <r>
    <s v="ORD10036"/>
    <s v="C003"/>
    <s v="P103"/>
    <d v="2025-11-19T00:00:00"/>
    <s v="26/11/2025"/>
    <s v="Rohit Singh"/>
    <s v="Male"/>
    <s v="10/05/1982"/>
    <s v="Delhi"/>
    <s v="North"/>
    <s v="DL"/>
    <s v="Electronics"/>
    <s v="Keyboard"/>
    <n v="4"/>
    <n v="900"/>
    <n v="0.2"/>
    <n v="2880"/>
    <n v="3"/>
    <s v="Netbanking"/>
    <s v="Aisha"/>
    <s v="rohit.singh@company.com"/>
    <n v="9149046970"/>
    <s v="TechHub"/>
    <n v="6"/>
    <s v="Gold"/>
    <d v="2026-05-26T00:00:00"/>
    <s v="May"/>
    <x v="0"/>
  </r>
  <r>
    <s v="ORD10037"/>
    <s v="C009"/>
    <s v="P101"/>
    <d v="2025-11-05T00:00:00"/>
    <s v="14/11/2025"/>
    <s v="Mohit Verma"/>
    <s v="Male"/>
    <s v="13/04/1976"/>
    <s v="Delhi"/>
    <s v="North"/>
    <s v="KA"/>
    <s v="Electronics"/>
    <s v="Laptop"/>
    <n v="10"/>
    <n v="41250"/>
    <n v="0"/>
    <n v="412500"/>
    <n v="1"/>
    <s v="Upi"/>
    <s v="Rahul"/>
    <s v="mohit.verma@company.com"/>
    <n v="9869182901"/>
    <s v="TechHub"/>
    <n v="12"/>
    <s v="Platinum"/>
    <d v="2026-11-14T00:00:00"/>
    <s v="April"/>
    <x v="1"/>
  </r>
  <r>
    <s v="ORD10038"/>
    <s v="C006"/>
    <s v="P201"/>
    <d v="2026-03-08T00:00:00"/>
    <s v="20/03/2026"/>
    <s v="Sneha Joshi"/>
    <s v="Female"/>
    <s v="04/04/1981"/>
    <s v="Pune"/>
    <s v="West"/>
    <s v="WB"/>
    <s v="Home Appliances"/>
    <s v="Mixer"/>
    <n v="20"/>
    <n v="2625"/>
    <n v="0.1"/>
    <n v="47250"/>
    <n v="3"/>
    <s v="Card"/>
    <s v="Rahul"/>
    <s v="sneha.joshi@company.com"/>
    <n v="9283578533"/>
    <s v="Global Trade"/>
    <n v="6"/>
    <s v="Gold"/>
    <d v="2026-09-20T00:00:00"/>
    <s v="April"/>
    <x v="0"/>
  </r>
  <r>
    <s v="ORD10039"/>
    <s v="C008"/>
    <s v="P302"/>
    <d v="2025-02-13T00:00:00"/>
    <s v="19/02/2025"/>
    <s v="Kavya Nair"/>
    <s v="Female"/>
    <s v="01/08/1976"/>
    <s v="Hyderabad"/>
    <s v="South"/>
    <s v="WB"/>
    <s v="Stationery"/>
    <s v="Pen"/>
    <n v="5"/>
    <n v="15"/>
    <n v="0"/>
    <n v="75"/>
    <n v="1"/>
    <s v="Cash"/>
    <s v="Rahul"/>
    <s v="kavya.nair@company.com"/>
    <n v="9963005771"/>
    <s v="Prime Supplies"/>
    <n v="12"/>
    <s v="Silver"/>
    <d v="2026-02-19T00:00:00"/>
    <s v="August"/>
    <x v="1"/>
  </r>
  <r>
    <s v="ORD10040"/>
    <s v="C010"/>
    <s v="P203"/>
    <d v="2025-10-05T00:00:00"/>
    <s v="15/10/2025"/>
    <s v="Pooja Shah"/>
    <s v="Female"/>
    <s v="16/09/1994"/>
    <s v="Bengaluru"/>
    <s v="South"/>
    <s v="WB"/>
    <s v="Home Appliances"/>
    <s v="Microwave"/>
    <n v="20"/>
    <n v="6375"/>
    <n v="0"/>
    <n v="127500"/>
    <n v="1"/>
    <s v="Upi"/>
    <s v="Neha"/>
    <s v="pooja.shah@company.com"/>
    <n v="9484632635"/>
    <s v="TechHub"/>
    <n v="24"/>
    <s v="Silver"/>
    <d v="2027-10-15T00:00:00"/>
    <s v="September"/>
    <x v="1"/>
  </r>
  <r>
    <s v="ORD10041"/>
    <s v="C007"/>
    <s v="P301"/>
    <d v="2026-02-10T00:00:00"/>
    <s v="12/02/2026"/>
    <s v="Arjun Rao"/>
    <s v="Male"/>
    <s v="07/02/1988"/>
    <s v="Hyderabad"/>
    <s v="South"/>
    <s v="RJ"/>
    <s v="Stationery"/>
    <s v="Notebook"/>
    <n v="8"/>
    <n v="45"/>
    <n v="0.15"/>
    <n v="306"/>
    <n v="5"/>
    <s v="Upi"/>
    <s v="Rahul"/>
    <s v="arjun.rao@company.com"/>
    <n v="9276319484"/>
    <s v="ABC Corp"/>
    <n v="12"/>
    <s v="Silver"/>
    <d v="2027-02-12T00:00:00"/>
    <s v="February"/>
    <x v="0"/>
  </r>
  <r>
    <s v="ORD10042"/>
    <s v="C010"/>
    <s v="P201"/>
    <d v="2025-06-04T00:00:00"/>
    <s v="16/06/2025"/>
    <s v="Pooja Shah"/>
    <s v="Female"/>
    <s v="16/09/1994"/>
    <s v="Bengaluru"/>
    <s v="South"/>
    <s v="WB"/>
    <s v="Home Appliances"/>
    <s v="Mixer"/>
    <n v="8"/>
    <n v="2625"/>
    <n v="0.05"/>
    <n v="19950"/>
    <n v="1"/>
    <s v="Card"/>
    <s v="Neha"/>
    <s v="pooja.shah@company.com"/>
    <n v="9619034852"/>
    <s v="Global Trade"/>
    <n v="6"/>
    <s v="Silver"/>
    <d v="2025-12-16T00:00:00"/>
    <s v="September"/>
    <x v="1"/>
  </r>
  <r>
    <s v="ORD10043"/>
    <s v="C009"/>
    <s v="P203"/>
    <d v="2026-02-08T00:00:00"/>
    <s v="14/02/2026"/>
    <s v="Mohit Verma"/>
    <s v="Male"/>
    <s v="13/04/1976"/>
    <s v="Delhi"/>
    <s v="North"/>
    <s v="KA"/>
    <s v="Home Appliances"/>
    <s v="Microwave"/>
    <n v="1"/>
    <n v="6375"/>
    <n v="0"/>
    <n v="6375"/>
    <n v="2"/>
    <s v="Card"/>
    <s v="Neha"/>
    <s v="mohit.verma@company.com"/>
    <n v="9636416962"/>
    <s v="TechHub"/>
    <n v="24"/>
    <s v="Platinum"/>
    <d v="2028-02-14T00:00:00"/>
    <s v="April"/>
    <x v="1"/>
  </r>
  <r>
    <s v="ORD10044"/>
    <s v="C001"/>
    <s v="P303"/>
    <d v="2025-03-30T00:00:00"/>
    <s v="31/03/2025"/>
    <s v="Amit Sharma"/>
    <s v="Male"/>
    <s v="09/08/1991"/>
    <s v="Pune"/>
    <s v="West"/>
    <s v="RJ"/>
    <s v="Stationery"/>
    <s v="Marker"/>
    <n v="8"/>
    <n v="33.75"/>
    <n v="0.15"/>
    <n v="229.5"/>
    <n v="2"/>
    <s v="Card"/>
    <s v="Aisha"/>
    <s v="amit.sharma@company.com"/>
    <n v="9357133880"/>
    <s v="TechHub"/>
    <n v="12"/>
    <s v="Silver"/>
    <d v="2026-03-31T00:00:00"/>
    <s v="August"/>
    <x v="1"/>
  </r>
  <r>
    <s v="ORD10045"/>
    <s v="C006"/>
    <s v="P202"/>
    <d v="2025-04-25T00:00:00"/>
    <s v="28/04/2025"/>
    <s v="Sneha Joshi"/>
    <s v="Female"/>
    <s v="04/04/1981"/>
    <s v="Pune"/>
    <s v="West"/>
    <s v="WB"/>
    <s v="Home Appliances"/>
    <s v="Iron"/>
    <n v="16"/>
    <n v="1650"/>
    <n v="0.05"/>
    <n v="25080"/>
    <n v="5"/>
    <s v="Card"/>
    <s v="Aisha"/>
    <s v="sneha.joshi@company.com"/>
    <n v="9575210324"/>
    <s v="Global Trade"/>
    <n v="24"/>
    <s v="Gold"/>
    <d v="2027-04-28T00:00:00"/>
    <s v="April"/>
    <x v="0"/>
  </r>
  <r>
    <s v="ORD10046"/>
    <s v="C009"/>
    <s v="P201"/>
    <d v="2025-10-13T00:00:00"/>
    <s v="23/10/2025"/>
    <s v="Mohit Verma"/>
    <s v="Male"/>
    <s v="13/04/1976"/>
    <s v="Delhi"/>
    <s v="North"/>
    <s v="KA"/>
    <s v="Home Appliances"/>
    <s v="Mixer"/>
    <n v="19"/>
    <n v="2625"/>
    <n v="0.2"/>
    <n v="39900"/>
    <n v="3"/>
    <s v="Cash"/>
    <s v="Karan"/>
    <s v="mohit.verma@company.com"/>
    <n v="9276080204"/>
    <s v="Global Trade"/>
    <n v="6"/>
    <s v="Platinum"/>
    <d v="2026-04-23T00:00:00"/>
    <s v="April"/>
    <x v="0"/>
  </r>
  <r>
    <s v="ORD10047"/>
    <s v="C006"/>
    <s v="P102"/>
    <d v="2025-10-11T00:00:00"/>
    <s v="14/10/2025"/>
    <s v="Sneha Joshi"/>
    <s v="Female"/>
    <s v="04/04/1981"/>
    <s v="Pune"/>
    <s v="West"/>
    <s v="WB"/>
    <s v="Electronics"/>
    <s v="Mouse"/>
    <n v="15"/>
    <n v="525"/>
    <n v="0.15"/>
    <n v="6693.75"/>
    <n v="4"/>
    <s v="Upi"/>
    <s v="Neha"/>
    <s v="sneha.joshi@company.com"/>
    <n v="9856624471"/>
    <s v="TechHub"/>
    <n v="24"/>
    <s v="Gold"/>
    <d v="2027-10-14T00:00:00"/>
    <s v="April"/>
    <x v="0"/>
  </r>
  <r>
    <s v="ORD10048"/>
    <s v="C006"/>
    <s v="P102"/>
    <d v="2025-11-27T00:00:00"/>
    <s v="03/12/2025"/>
    <s v="Sneha Joshi"/>
    <s v="Female"/>
    <s v="04/04/1981"/>
    <s v="Pune"/>
    <s v="West"/>
    <s v="WB"/>
    <s v="Electronics"/>
    <s v="Mouse"/>
    <n v="19"/>
    <n v="525"/>
    <n v="0.2"/>
    <n v="7980"/>
    <n v="1"/>
    <s v="Cash"/>
    <s v="Neha"/>
    <s v="sneha.joshi@company.com"/>
    <n v="9238141322"/>
    <s v="TechHub"/>
    <n v="24"/>
    <s v="Gold"/>
    <d v="2027-12-03T00:00:00"/>
    <s v="April"/>
    <x v="1"/>
  </r>
  <r>
    <s v="ORD10049"/>
    <s v="C009"/>
    <s v="P104"/>
    <d v="2026-04-19T00:00:00"/>
    <m/>
    <s v="Mohit Verma"/>
    <s v="Male"/>
    <s v="13/04/1976"/>
    <s v="Delhi"/>
    <s v="North"/>
    <s v="KA"/>
    <s v="Electronics"/>
    <s v="Monitor"/>
    <n v="19"/>
    <n v="9000"/>
    <n v="0"/>
    <n v="171000"/>
    <n v="1"/>
    <s v="Netbanking"/>
    <s v="Aisha"/>
    <s v="mohit.verma@company.com"/>
    <n v="9890380030"/>
    <s v="Global Trade"/>
    <n v="24"/>
    <s v="Platinum"/>
    <d v="1901-12-31T00:00:00"/>
    <s v="April"/>
    <x v="1"/>
  </r>
  <r>
    <s v="ORD10050"/>
    <s v="C004"/>
    <s v="P103"/>
    <d v="2026-04-19T00:00:00"/>
    <s v="21/04/2026"/>
    <s v="Anita Gupta"/>
    <s v="Female"/>
    <s v="16/01/2002"/>
    <s v="Pune"/>
    <s v="West"/>
    <s v="WB"/>
    <s v="Electronics"/>
    <s v="Keyboard"/>
    <n v="6"/>
    <n v="900"/>
    <n v="0.05"/>
    <n v="5130"/>
    <n v="2"/>
    <s v="Cash"/>
    <s v="Ritika"/>
    <s v="anita.gupta@company.com"/>
    <n v="9495893170"/>
    <s v="TechHub"/>
    <n v="6"/>
    <s v="Gold"/>
    <d v="2026-10-21T00:00:00"/>
    <s v="January"/>
    <x v="1"/>
  </r>
  <r>
    <s v="ORD10051"/>
    <s v="C010"/>
    <s v="P202"/>
    <d v="2025-03-28T00:00:00"/>
    <s v="07/04/2025"/>
    <s v="Pooja Shah"/>
    <s v="Female"/>
    <s v="16/09/1994"/>
    <s v="Bengaluru"/>
    <s v="South"/>
    <s v="WB"/>
    <s v="Home Appliances"/>
    <s v="Iron"/>
    <n v="7"/>
    <n v="1650"/>
    <n v="0.15"/>
    <n v="9817.5"/>
    <n v="1"/>
    <s v="Upi"/>
    <s v="Aisha"/>
    <s v="pooja.shah@company.com"/>
    <n v="9485166307"/>
    <s v="Global Trade"/>
    <n v="24"/>
    <s v="Silver"/>
    <d v="2027-04-07T00:00:00"/>
    <s v="September"/>
    <x v="1"/>
  </r>
  <r>
    <s v="ORD10052"/>
    <s v="C002"/>
    <s v="P301"/>
    <d v="2025-08-25T00:00:00"/>
    <s v="28/08/2025"/>
    <s v="Priya Patel"/>
    <s v="Female"/>
    <s v="07/03/1995"/>
    <s v="Mumbai"/>
    <s v="West"/>
    <s v="WB"/>
    <s v="Stationery"/>
    <s v="Notebook"/>
    <n v="8"/>
    <n v="45"/>
    <n v="0.1"/>
    <n v="324"/>
    <n v="5"/>
    <s v="Card"/>
    <s v="Aisha"/>
    <s v="priya.patel@company.com"/>
    <n v="9924709648"/>
    <s v="ABC Corp"/>
    <n v="12"/>
    <s v="Platinum"/>
    <d v="2026-08-28T00:00:00"/>
    <s v="March"/>
    <x v="0"/>
  </r>
  <r>
    <s v="ORD10053"/>
    <s v="C005"/>
    <s v="P101"/>
    <d v="2025-08-19T00:00:00"/>
    <s v="23/08/2025"/>
    <s v="Vikas Mehta"/>
    <s v="Male"/>
    <s v="03/08/1991"/>
    <s v="Mumbai"/>
    <s v="West"/>
    <s v="DL"/>
    <s v="Electronics"/>
    <s v="Laptop"/>
    <n v="12"/>
    <n v="41250"/>
    <n v="0.05"/>
    <n v="470250"/>
    <n v="2"/>
    <s v="Upi"/>
    <s v="Rahul"/>
    <s v="vikas.mehta@company.com"/>
    <n v="9350554626"/>
    <s v="TechHub"/>
    <n v="12"/>
    <s v="Gold"/>
    <d v="2026-08-23T00:00:00"/>
    <s v="August"/>
    <x v="1"/>
  </r>
  <r>
    <s v="ORD10054"/>
    <s v="C008"/>
    <s v="P102"/>
    <d v="2025-07-27T00:00:00"/>
    <s v="05/08/2025"/>
    <s v="Kavya Nair"/>
    <s v="Female"/>
    <s v="01/08/1976"/>
    <s v="Hyderabad"/>
    <s v="South"/>
    <s v="WB"/>
    <s v="Electronics"/>
    <s v="Mouse"/>
    <n v="3"/>
    <n v="525"/>
    <n v="0"/>
    <n v="1575"/>
    <n v="3"/>
    <s v="Card"/>
    <s v="Karan"/>
    <s v="kavya.nair@company.com"/>
    <n v="9743295580"/>
    <s v="TechHub"/>
    <n v="24"/>
    <s v="Silver"/>
    <d v="2027-08-05T00:00:00"/>
    <s v="August"/>
    <x v="0"/>
  </r>
  <r>
    <s v="ORD10055"/>
    <s v="C003"/>
    <s v="P301"/>
    <d v="2025-02-21T00:00:00"/>
    <s v="26/02/2025"/>
    <s v="Rohit Singh"/>
    <s v="Male"/>
    <s v="10/05/1982"/>
    <s v="Delhi"/>
    <s v="North"/>
    <s v="DL"/>
    <s v="Stationery"/>
    <s v="Notebook"/>
    <n v="19"/>
    <n v="45"/>
    <n v="0.15"/>
    <n v="726.75"/>
    <n v="4"/>
    <s v="Card"/>
    <s v="Rahul"/>
    <s v="rohit.singh@company.com"/>
    <n v="9822926495"/>
    <s v="ABC Corp"/>
    <n v="12"/>
    <s v="Gold"/>
    <d v="2026-02-26T00:00:00"/>
    <s v="May"/>
    <x v="0"/>
  </r>
  <r>
    <s v="ORD10056"/>
    <s v="C001"/>
    <s v="P301"/>
    <d v="2025-08-10T00:00:00"/>
    <s v="11/08/2025"/>
    <s v="Amit Sharma"/>
    <s v="Male"/>
    <s v="09/08/1991"/>
    <s v="Pune"/>
    <s v="West"/>
    <s v="RJ"/>
    <s v="Stationery"/>
    <s v="Notebook"/>
    <n v="9"/>
    <n v="45"/>
    <n v="0.2"/>
    <n v="324"/>
    <n v="1"/>
    <s v="Netbanking"/>
    <s v="Neha"/>
    <s v="amit.sharma@company.com"/>
    <n v="9518298190"/>
    <s v="ABC Corp"/>
    <n v="12"/>
    <s v="Silver"/>
    <d v="2026-08-11T00:00:00"/>
    <s v="August"/>
    <x v="1"/>
  </r>
  <r>
    <s v="ORD10057"/>
    <s v="C001"/>
    <s v="P102"/>
    <d v="2026-03-24T00:00:00"/>
    <s v="30/03/2026"/>
    <s v="Amit Sharma"/>
    <s v="Male"/>
    <s v="09/08/1991"/>
    <s v="Pune"/>
    <s v="West"/>
    <s v="RJ"/>
    <s v="Electronics"/>
    <s v="Mouse"/>
    <n v="6"/>
    <n v="525"/>
    <n v="0"/>
    <n v="3150"/>
    <n v="4"/>
    <s v="Upi"/>
    <s v="Rahul"/>
    <s v="amit.sharma@company.com"/>
    <n v="9366223547"/>
    <s v="TechHub"/>
    <n v="24"/>
    <s v="Silver"/>
    <d v="2028-03-30T00:00:00"/>
    <s v="August"/>
    <x v="0"/>
  </r>
  <r>
    <s v="ORD10058"/>
    <s v="C003"/>
    <s v="P303"/>
    <d v="2026-03-13T00:00:00"/>
    <s v="19/03/2026"/>
    <s v="Rohit Singh"/>
    <s v="Male"/>
    <s v="10/05/1982"/>
    <s v="Delhi"/>
    <s v="North"/>
    <s v="DL"/>
    <s v="Stationery"/>
    <s v="Marker"/>
    <n v="18"/>
    <n v="33.75"/>
    <n v="0.05"/>
    <n v="577.125"/>
    <n v="1"/>
    <s v="Card"/>
    <s v="Aisha"/>
    <s v="rohit.singh@company.com"/>
    <n v="9701988524"/>
    <s v="TechHub"/>
    <n v="12"/>
    <s v="Gold"/>
    <d v="2027-03-19T00:00:00"/>
    <s v="May"/>
    <x v="1"/>
  </r>
  <r>
    <s v="ORD10059"/>
    <s v="C007"/>
    <s v="P302"/>
    <d v="2025-06-15T00:00:00"/>
    <s v="26/06/2025"/>
    <s v="Arjun Rao"/>
    <s v="Male"/>
    <s v="07/02/1988"/>
    <s v="Hyderabad"/>
    <s v="South"/>
    <s v="RJ"/>
    <s v="Stationery"/>
    <s v="Pen"/>
    <n v="8"/>
    <n v="15"/>
    <n v="0.05"/>
    <n v="114"/>
    <n v="1"/>
    <s v="Card"/>
    <s v="Ritika"/>
    <s v="arjun.rao@company.com"/>
    <n v="9836327649"/>
    <s v="Prime Supplies"/>
    <n v="12"/>
    <s v="Silver"/>
    <d v="2026-06-26T00:00:00"/>
    <s v="February"/>
    <x v="1"/>
  </r>
  <r>
    <s v="ORD10060"/>
    <s v="C005"/>
    <s v="P102"/>
    <d v="2025-03-05T00:00:00"/>
    <s v="06/03/2025"/>
    <s v="Vikas Mehta"/>
    <s v="Male"/>
    <s v="03/08/1991"/>
    <s v="Mumbai"/>
    <s v="West"/>
    <s v="DL"/>
    <s v="Electronics"/>
    <s v="Mouse"/>
    <n v="8"/>
    <n v="525"/>
    <n v="0.1"/>
    <n v="3780"/>
    <n v="1"/>
    <s v="Netbanking"/>
    <s v="Aisha"/>
    <s v="vikas.mehta@company.com"/>
    <n v="9261800516"/>
    <s v="TechHub"/>
    <n v="24"/>
    <s v="Gold"/>
    <d v="2027-03-06T00:00:00"/>
    <s v="August"/>
    <x v="1"/>
  </r>
  <r>
    <s v="ORD10061"/>
    <s v="C008"/>
    <s v="P302"/>
    <d v="2026-04-09T00:00:00"/>
    <s v="19/04/2026"/>
    <s v="Kavya Nair"/>
    <s v="Female"/>
    <s v="01/08/1976"/>
    <s v="Hyderabad"/>
    <s v="South"/>
    <s v="WB"/>
    <s v="Stationery"/>
    <s v="Pen"/>
    <n v="7"/>
    <n v="15"/>
    <n v="0.15"/>
    <n v="89.25"/>
    <n v="5"/>
    <s v="Card"/>
    <s v="Rahul"/>
    <s v="kavya.nair@company.com"/>
    <n v="9950802015"/>
    <s v="Prime Supplies"/>
    <n v="12"/>
    <s v="Silver"/>
    <d v="2027-04-19T00:00:00"/>
    <s v="August"/>
    <x v="0"/>
  </r>
  <r>
    <s v="ORD10062"/>
    <s v="C002"/>
    <s v="P302"/>
    <d v="2025-08-16T00:00:00"/>
    <s v="25/08/2025"/>
    <s v="Priya Patel"/>
    <s v="Female"/>
    <s v="07/03/1995"/>
    <s v="Mumbai"/>
    <s v="West"/>
    <s v="WB"/>
    <s v="Stationery"/>
    <s v="Pen"/>
    <n v="16"/>
    <n v="15"/>
    <n v="0"/>
    <n v="240"/>
    <n v="5"/>
    <s v="Netbanking"/>
    <s v="Aisha"/>
    <s v="priya.patel@company.com"/>
    <n v="9595183767"/>
    <s v="Prime Supplies"/>
    <n v="12"/>
    <s v="Platinum"/>
    <d v="2026-08-25T00:00:00"/>
    <s v="March"/>
    <x v="0"/>
  </r>
  <r>
    <s v="ORD10063"/>
    <s v="C010"/>
    <s v="P303"/>
    <d v="2026-05-13T00:00:00"/>
    <s v="20/05/2026"/>
    <s v="Pooja Shah"/>
    <s v="Female"/>
    <s v="16/09/1994"/>
    <s v="Bengaluru"/>
    <s v="South"/>
    <s v="WB"/>
    <s v="Stationery"/>
    <s v="Marker"/>
    <n v="15"/>
    <n v="33.75"/>
    <n v="0"/>
    <n v="506.25"/>
    <n v="4"/>
    <s v="Cash"/>
    <s v="Aisha"/>
    <s v="pooja.shah@company.com"/>
    <n v="9560201307"/>
    <s v="TechHub"/>
    <n v="12"/>
    <s v="Silver"/>
    <d v="2027-05-20T00:00:00"/>
    <s v="September"/>
    <x v="0"/>
  </r>
  <r>
    <s v="ORD10064"/>
    <s v="C006"/>
    <s v="P102"/>
    <d v="2025-03-01T00:00:00"/>
    <s v="05/03/2025"/>
    <s v="Sneha Joshi"/>
    <s v="Female"/>
    <s v="04/04/1981"/>
    <s v="Pune"/>
    <s v="West"/>
    <s v="WB"/>
    <s v="Electronics"/>
    <s v="Mouse"/>
    <n v="15"/>
    <n v="525"/>
    <n v="0.1"/>
    <n v="7087.5"/>
    <n v="3"/>
    <s v="Netbanking"/>
    <s v="Karan"/>
    <s v="sneha.joshi@company.com"/>
    <n v="9826484650"/>
    <s v="TechHub"/>
    <n v="24"/>
    <s v="Gold"/>
    <d v="2027-03-05T00:00:00"/>
    <s v="April"/>
    <x v="0"/>
  </r>
  <r>
    <s v="ORD10065"/>
    <s v="C010"/>
    <s v="P303"/>
    <d v="2025-02-09T00:00:00"/>
    <s v="12/02/2025"/>
    <s v="Pooja Shah"/>
    <s v="Female"/>
    <s v="16/09/1994"/>
    <s v="Bengaluru"/>
    <s v="South"/>
    <s v="WB"/>
    <s v="Stationery"/>
    <s v="Marker"/>
    <n v="3"/>
    <n v="33.75"/>
    <n v="0.15"/>
    <n v="86.0625"/>
    <n v="2"/>
    <s v="Upi"/>
    <s v="Neha"/>
    <s v="pooja.shah@company.com"/>
    <n v="9219978007"/>
    <s v="TechHub"/>
    <n v="12"/>
    <s v="Silver"/>
    <d v="2026-02-12T00:00:00"/>
    <s v="September"/>
    <x v="1"/>
  </r>
  <r>
    <s v="ORD10066"/>
    <s v="C002"/>
    <s v="P202"/>
    <d v="2026-01-09T00:00:00"/>
    <s v="10/01/2026"/>
    <s v="Priya Patel"/>
    <s v="Female"/>
    <s v="07/03/1995"/>
    <s v="Mumbai"/>
    <s v="West"/>
    <s v="WB"/>
    <s v="Home Appliances"/>
    <s v="Iron"/>
    <n v="7"/>
    <n v="1650"/>
    <n v="0.15"/>
    <n v="9817.5"/>
    <n v="5"/>
    <s v="Upi"/>
    <s v="Neha"/>
    <s v="priya.patel@company.com"/>
    <n v="9662063276"/>
    <s v="Global Trade"/>
    <n v="24"/>
    <s v="Platinum"/>
    <d v="2028-01-10T00:00:00"/>
    <s v="March"/>
    <x v="0"/>
  </r>
  <r>
    <s v="ORD10067"/>
    <s v="C008"/>
    <s v="P303"/>
    <d v="2025-09-01T00:00:00"/>
    <s v="05/09/2025"/>
    <s v="Kavya Nair"/>
    <s v="Female"/>
    <s v="01/08/1976"/>
    <s v="Hyderabad"/>
    <s v="South"/>
    <s v="WB"/>
    <s v="Stationery"/>
    <s v="Marker"/>
    <n v="19"/>
    <n v="33.75"/>
    <n v="0.1"/>
    <n v="577.125"/>
    <n v="5"/>
    <s v="Card"/>
    <s v="Neha"/>
    <s v="kavya.nair@company.com"/>
    <n v="9190393639"/>
    <s v="TechHub"/>
    <n v="12"/>
    <s v="Silver"/>
    <d v="2026-09-05T00:00:00"/>
    <s v="August"/>
    <x v="0"/>
  </r>
  <r>
    <s v="ORD10068"/>
    <s v="C006"/>
    <s v="P201"/>
    <d v="2026-02-09T00:00:00"/>
    <s v="14/02/2026"/>
    <s v="Sneha Joshi"/>
    <s v="Female"/>
    <s v="04/04/1981"/>
    <s v="Pune"/>
    <s v="West"/>
    <s v="WB"/>
    <s v="Home Appliances"/>
    <s v="Mixer"/>
    <n v="7"/>
    <n v="2625"/>
    <n v="0.15"/>
    <n v="15618.75"/>
    <n v="1"/>
    <s v="Cash"/>
    <s v="Karan"/>
    <s v="sneha.joshi@company.com"/>
    <n v="9106328582"/>
    <s v="Global Trade"/>
    <n v="6"/>
    <s v="Gold"/>
    <d v="2026-08-14T00:00:00"/>
    <s v="April"/>
    <x v="1"/>
  </r>
  <r>
    <s v="ORD10069"/>
    <s v="C010"/>
    <s v="P203"/>
    <d v="2025-12-14T00:00:00"/>
    <s v="19/12/2025"/>
    <s v="Pooja Shah"/>
    <s v="Female"/>
    <s v="16/09/1994"/>
    <s v="Bengaluru"/>
    <s v="South"/>
    <s v="WB"/>
    <s v="Home Appliances"/>
    <s v="Microwave"/>
    <n v="7"/>
    <n v="6375"/>
    <n v="0.2"/>
    <n v="35700"/>
    <n v="4"/>
    <s v="Netbanking"/>
    <s v="Neha"/>
    <s v="pooja.shah@company.com"/>
    <n v="9264401015"/>
    <s v="TechHub"/>
    <n v="24"/>
    <s v="Silver"/>
    <d v="2027-12-19T00:00:00"/>
    <s v="September"/>
    <x v="0"/>
  </r>
  <r>
    <s v="ORD10070"/>
    <s v="C008"/>
    <s v="P101"/>
    <d v="2025-04-07T00:00:00"/>
    <s v="10/04/2025"/>
    <s v="Kavya Nair"/>
    <s v="Female"/>
    <s v="01/08/1976"/>
    <s v="Hyderabad"/>
    <s v="South"/>
    <s v="WB"/>
    <s v="Electronics"/>
    <s v="Laptop"/>
    <n v="16"/>
    <n v="41250"/>
    <n v="0.1"/>
    <n v="594000"/>
    <n v="1"/>
    <s v="Card"/>
    <s v="Aisha"/>
    <s v="kavya.nair@company.com"/>
    <n v="9959237375"/>
    <s v="TechHub"/>
    <n v="12"/>
    <s v="Silver"/>
    <d v="2026-04-10T00:00:00"/>
    <s v="August"/>
    <x v="1"/>
  </r>
  <r>
    <s v="ORD10071"/>
    <s v="C004"/>
    <s v="P104"/>
    <d v="2025-12-24T00:00:00"/>
    <s v="03/01/2026"/>
    <s v="Anita Gupta"/>
    <s v="Female"/>
    <s v="16/01/2002"/>
    <s v="Pune"/>
    <s v="West"/>
    <s v="WB"/>
    <s v="Electronics"/>
    <s v="Monitor"/>
    <n v="2"/>
    <n v="9000"/>
    <n v="0.2"/>
    <n v="14400"/>
    <n v="1"/>
    <s v="Cash"/>
    <s v="Karan"/>
    <s v="anita.gupta@company.com"/>
    <n v="9561836580"/>
    <s v="Global Trade"/>
    <n v="24"/>
    <s v="Gold"/>
    <d v="2028-01-03T00:00:00"/>
    <s v="January"/>
    <x v="1"/>
  </r>
  <r>
    <s v="ORD10072"/>
    <s v="C003"/>
    <s v="P303"/>
    <d v="2025-08-30T00:00:00"/>
    <s v="05/09/2025"/>
    <s v="Rohit Singh"/>
    <s v="Male"/>
    <s v="10/05/1982"/>
    <s v="Delhi"/>
    <s v="North"/>
    <s v="DL"/>
    <s v="Stationery"/>
    <s v="Marker"/>
    <n v="4"/>
    <n v="33.75"/>
    <n v="0.05"/>
    <n v="128.25"/>
    <n v="1"/>
    <s v="Card"/>
    <s v="Rahul"/>
    <s v="rohit.singh@company.com"/>
    <n v="9512666401"/>
    <s v="TechHub"/>
    <n v="12"/>
    <s v="Gold"/>
    <d v="2026-09-05T00:00:00"/>
    <s v="May"/>
    <x v="1"/>
  </r>
  <r>
    <s v="ORD10073"/>
    <s v="C008"/>
    <s v="P103"/>
    <d v="2025-12-13T00:00:00"/>
    <s v="23/12/2025"/>
    <s v="Kavya Nair"/>
    <s v="Female"/>
    <s v="01/08/1976"/>
    <s v="Hyderabad"/>
    <s v="South"/>
    <s v="WB"/>
    <s v="Electronics"/>
    <s v="Keyboard"/>
    <n v="1"/>
    <n v="900"/>
    <n v="0.05"/>
    <n v="855"/>
    <n v="3"/>
    <s v="Upi"/>
    <s v="Aisha"/>
    <s v="kavya.nair@company.com"/>
    <n v="9808988530"/>
    <s v="TechHub"/>
    <n v="6"/>
    <s v="Silver"/>
    <d v="2026-06-23T00:00:00"/>
    <s v="August"/>
    <x v="0"/>
  </r>
  <r>
    <s v="ORD10074"/>
    <s v="C010"/>
    <s v="P202"/>
    <d v="2026-02-04T00:00:00"/>
    <s v="16/02/2026"/>
    <s v="Pooja Shah"/>
    <s v="Female"/>
    <s v="16/09/1994"/>
    <s v="Bengaluru"/>
    <s v="South"/>
    <s v="WB"/>
    <s v="Home Appliances"/>
    <s v="Iron"/>
    <n v="1"/>
    <n v="1650"/>
    <n v="0.15"/>
    <n v="1402.5"/>
    <n v="4"/>
    <s v="Card"/>
    <s v="Aisha"/>
    <s v="pooja.shah@company.com"/>
    <n v="9286410494"/>
    <s v="Global Trade"/>
    <n v="24"/>
    <s v="Silver"/>
    <d v="2028-02-16T00:00:00"/>
    <s v="September"/>
    <x v="0"/>
  </r>
  <r>
    <s v="ORD10075"/>
    <s v="C003"/>
    <s v="P103"/>
    <d v="2026-01-26T00:00:00"/>
    <s v="28/01/2026"/>
    <s v="Rohit Singh"/>
    <s v="Male"/>
    <s v="10/05/1982"/>
    <s v="Delhi"/>
    <s v="North"/>
    <s v="DL"/>
    <s v="Electronics"/>
    <s v="Keyboard"/>
    <n v="3"/>
    <n v="900"/>
    <n v="0.1"/>
    <n v="2430"/>
    <n v="5"/>
    <s v="Cash"/>
    <s v="Rahul"/>
    <s v="rohit.singh@company.com"/>
    <n v="9311555196"/>
    <s v="TechHub"/>
    <n v="6"/>
    <s v="Gold"/>
    <d v="2026-07-28T00:00:00"/>
    <s v="May"/>
    <x v="0"/>
  </r>
  <r>
    <s v="ORD10076"/>
    <s v="C008"/>
    <s v="P201"/>
    <d v="2025-06-27T00:00:00"/>
    <s v="07/07/2025"/>
    <s v="Kavya Nair"/>
    <s v="Female"/>
    <s v="01/08/1976"/>
    <s v="Hyderabad"/>
    <s v="South"/>
    <s v="WB"/>
    <s v="Home Appliances"/>
    <s v="Mixer"/>
    <n v="10"/>
    <n v="2625"/>
    <n v="0.2"/>
    <n v="21000"/>
    <n v="5"/>
    <s v="Card"/>
    <s v="Ritika"/>
    <s v="kavya.nair@company.com"/>
    <n v="9101810266"/>
    <s v="Global Trade"/>
    <n v="6"/>
    <s v="Silver"/>
    <d v="2026-01-07T00:00:00"/>
    <s v="August"/>
    <x v="0"/>
  </r>
  <r>
    <s v="ORD10077"/>
    <s v="C007"/>
    <s v="P102"/>
    <d v="2026-03-17T00:00:00"/>
    <s v="19/03/2026"/>
    <s v="Arjun Rao"/>
    <s v="Male"/>
    <s v="07/02/1988"/>
    <s v="Hyderabad"/>
    <s v="South"/>
    <s v="RJ"/>
    <s v="Electronics"/>
    <s v="Mouse"/>
    <n v="18"/>
    <n v="525"/>
    <n v="0.05"/>
    <n v="8977.5"/>
    <n v="3"/>
    <s v="Card"/>
    <s v="Neha"/>
    <s v="arjun.rao@company.com"/>
    <n v="9464556593"/>
    <s v="TechHub"/>
    <n v="24"/>
    <s v="Silver"/>
    <d v="2028-03-19T00:00:00"/>
    <s v="February"/>
    <x v="0"/>
  </r>
  <r>
    <s v="ORD10078"/>
    <s v="C005"/>
    <s v="P102"/>
    <d v="2025-06-09T00:00:00"/>
    <s v="18/06/2025"/>
    <s v="Vikas Mehta"/>
    <s v="Male"/>
    <s v="03/08/1991"/>
    <s v="Mumbai"/>
    <s v="West"/>
    <s v="DL"/>
    <s v="Electronics"/>
    <s v="Mouse"/>
    <n v="12"/>
    <n v="525"/>
    <n v="0.15"/>
    <n v="5355"/>
    <n v="2"/>
    <s v="Upi"/>
    <s v="Rahul"/>
    <s v="vikas.mehta@company.com"/>
    <n v="9338278358"/>
    <s v="TechHub"/>
    <n v="24"/>
    <s v="Gold"/>
    <d v="2027-06-18T00:00:00"/>
    <s v="August"/>
    <x v="1"/>
  </r>
  <r>
    <s v="ORD10079"/>
    <s v="C009"/>
    <s v="P103"/>
    <d v="2025-11-15T00:00:00"/>
    <s v="16/11/2025"/>
    <s v="Mohit Verma"/>
    <s v="Male"/>
    <s v="13/04/1976"/>
    <s v="Delhi"/>
    <s v="North"/>
    <s v="KA"/>
    <s v="Electronics"/>
    <s v="Keyboard"/>
    <n v="8"/>
    <n v="900"/>
    <n v="0"/>
    <n v="7200"/>
    <n v="4"/>
    <s v="Card"/>
    <s v="Rahul"/>
    <s v="mohit.verma@company.com"/>
    <n v="9621410770"/>
    <s v="TechHub"/>
    <n v="6"/>
    <s v="Platinum"/>
    <d v="2026-05-16T00:00:00"/>
    <s v="April"/>
    <x v="0"/>
  </r>
  <r>
    <s v="ORD10080"/>
    <s v="C003"/>
    <s v="P301"/>
    <d v="2025-11-06T00:00:00"/>
    <s v="10/11/2025"/>
    <s v="Rohit Singh"/>
    <s v="Male"/>
    <s v="10/05/1982"/>
    <s v="Delhi"/>
    <s v="North"/>
    <s v="DL"/>
    <s v="Stationery"/>
    <s v="Notebook"/>
    <n v="2"/>
    <n v="45"/>
    <n v="0"/>
    <n v="90"/>
    <n v="2"/>
    <s v="Upi"/>
    <s v="Rahul"/>
    <s v="rohit.singh@company.com"/>
    <n v="9981333189"/>
    <s v="ABC Corp"/>
    <n v="12"/>
    <s v="Gold"/>
    <d v="2026-11-10T00:00:00"/>
    <s v="May"/>
    <x v="1"/>
  </r>
  <r>
    <s v="ORD10081"/>
    <s v="C001"/>
    <s v="P303"/>
    <d v="2025-01-01T00:00:00"/>
    <s v="07/01/2025"/>
    <s v="Amit Sharma"/>
    <s v="Male"/>
    <s v="09/08/1991"/>
    <s v="Pune"/>
    <s v="West"/>
    <s v="RJ"/>
    <s v="Stationery"/>
    <s v="Marker"/>
    <n v="10"/>
    <n v="33.75"/>
    <n v="0.15"/>
    <n v="286.875"/>
    <n v="3"/>
    <s v="Netbanking"/>
    <s v="Ritika"/>
    <s v="amit.sharma@company.com"/>
    <n v="9723450355"/>
    <s v="TechHub"/>
    <n v="12"/>
    <s v="Silver"/>
    <d v="2026-01-07T00:00:00"/>
    <s v="August"/>
    <x v="0"/>
  </r>
  <r>
    <s v="ORD10082"/>
    <s v="C005"/>
    <s v="P201"/>
    <d v="2026-04-25T00:00:00"/>
    <s v="03/05/2026"/>
    <s v="Vikas Mehta"/>
    <s v="Male"/>
    <s v="03/08/1991"/>
    <s v="Mumbai"/>
    <s v="West"/>
    <s v="DL"/>
    <s v="Home Appliances"/>
    <s v="Mixer"/>
    <n v="12"/>
    <n v="2625"/>
    <n v="0.05"/>
    <n v="29925"/>
    <n v="3"/>
    <s v="Netbanking"/>
    <s v="Aisha"/>
    <s v="vikas.mehta@company.com"/>
    <n v="9886243907"/>
    <s v="Global Trade"/>
    <n v="6"/>
    <s v="Gold"/>
    <d v="2026-11-03T00:00:00"/>
    <s v="August"/>
    <x v="0"/>
  </r>
  <r>
    <s v="ORD10083"/>
    <s v="C003"/>
    <s v="P301"/>
    <d v="2025-09-19T00:00:00"/>
    <s v="27/09/2025"/>
    <s v="Rohit Singh"/>
    <s v="Male"/>
    <s v="10/05/1982"/>
    <s v="Delhi"/>
    <s v="North"/>
    <s v="DL"/>
    <s v="Stationery"/>
    <s v="Notebook"/>
    <n v="2"/>
    <n v="45"/>
    <n v="0.15"/>
    <n v="76.5"/>
    <n v="1"/>
    <s v="Upi"/>
    <s v="Neha"/>
    <s v="rohit.singh@company.com"/>
    <n v="9473931904"/>
    <s v="ABC Corp"/>
    <n v="12"/>
    <s v="Gold"/>
    <d v="2026-09-27T00:00:00"/>
    <s v="May"/>
    <x v="1"/>
  </r>
  <r>
    <s v="ORD10084"/>
    <s v="C003"/>
    <s v="P103"/>
    <d v="2025-03-18T00:00:00"/>
    <s v="21/03/2025"/>
    <s v="Rohit Singh"/>
    <s v="Male"/>
    <s v="10/05/1982"/>
    <s v="Delhi"/>
    <s v="North"/>
    <s v="DL"/>
    <s v="Electronics"/>
    <s v="Keyboard"/>
    <n v="18"/>
    <n v="900"/>
    <n v="0.15"/>
    <n v="13770"/>
    <n v="3"/>
    <s v="Card"/>
    <s v="Neha"/>
    <s v="rohit.singh@company.com"/>
    <n v="9287159610"/>
    <s v="TechHub"/>
    <n v="6"/>
    <s v="Gold"/>
    <d v="2025-09-21T00:00:00"/>
    <s v="May"/>
    <x v="0"/>
  </r>
  <r>
    <s v="ORD10085"/>
    <s v="C008"/>
    <s v="P104"/>
    <d v="2025-10-30T00:00:00"/>
    <s v="31/10/2025"/>
    <s v="Kavya Nair"/>
    <s v="Female"/>
    <s v="01/08/1976"/>
    <s v="Hyderabad"/>
    <s v="South"/>
    <s v="WB"/>
    <s v="Electronics"/>
    <s v="Monitor"/>
    <n v="18"/>
    <n v="9000"/>
    <n v="0.15"/>
    <n v="137700"/>
    <n v="2"/>
    <s v="Cash"/>
    <s v="Rahul"/>
    <s v="kavya.nair@company.com"/>
    <n v="9876513858"/>
    <s v="Global Trade"/>
    <n v="24"/>
    <s v="Silver"/>
    <d v="2027-10-31T00:00:00"/>
    <s v="August"/>
    <x v="1"/>
  </r>
  <r>
    <s v="ORD10086"/>
    <s v="C007"/>
    <s v="P302"/>
    <d v="2025-10-31T00:00:00"/>
    <s v="11/11/2025"/>
    <s v="Arjun Rao"/>
    <s v="Male"/>
    <s v="07/02/1988"/>
    <s v="Hyderabad"/>
    <s v="South"/>
    <s v="RJ"/>
    <s v="Stationery"/>
    <s v="Pen"/>
    <n v="7"/>
    <n v="15"/>
    <n v="0"/>
    <n v="105"/>
    <n v="2"/>
    <s v="Card"/>
    <s v="Ritika"/>
    <s v="arjun.rao@company.com"/>
    <n v="9237400853"/>
    <s v="Prime Supplies"/>
    <n v="12"/>
    <s v="Silver"/>
    <d v="2026-11-11T00:00:00"/>
    <s v="February"/>
    <x v="1"/>
  </r>
  <r>
    <s v="ORD10087"/>
    <s v="C006"/>
    <s v="P201"/>
    <d v="2025-04-10T00:00:00"/>
    <s v="18/04/2025"/>
    <s v="Sneha Joshi"/>
    <s v="Female"/>
    <s v="04/04/1981"/>
    <s v="Pune"/>
    <s v="West"/>
    <s v="WB"/>
    <s v="Home Appliances"/>
    <s v="Mixer"/>
    <n v="20"/>
    <n v="2625"/>
    <n v="0.2"/>
    <n v="42000"/>
    <n v="4"/>
    <s v="Card"/>
    <s v="Neha"/>
    <s v="sneha.joshi@company.com"/>
    <n v="9599597595"/>
    <s v="Global Trade"/>
    <n v="6"/>
    <s v="Gold"/>
    <d v="2025-10-18T00:00:00"/>
    <s v="April"/>
    <x v="0"/>
  </r>
  <r>
    <s v="ORD10088"/>
    <s v="C002"/>
    <s v="P203"/>
    <d v="2026-03-16T00:00:00"/>
    <s v="26/03/2026"/>
    <s v="Priya Patel"/>
    <s v="Female"/>
    <s v="07/03/1995"/>
    <s v="Mumbai"/>
    <s v="West"/>
    <s v="WB"/>
    <s v="Home Appliances"/>
    <s v="Microwave"/>
    <n v="8"/>
    <n v="6375"/>
    <n v="0.2"/>
    <n v="40800"/>
    <n v="3"/>
    <s v="Card"/>
    <s v="Neha"/>
    <s v="priya.patel@company.com"/>
    <n v="9230007509"/>
    <s v="TechHub"/>
    <n v="24"/>
    <s v="Platinum"/>
    <d v="2028-03-26T00:00:00"/>
    <s v="March"/>
    <x v="0"/>
  </r>
  <r>
    <s v="ORD10089"/>
    <s v="C001"/>
    <s v="P104"/>
    <d v="2025-09-15T00:00:00"/>
    <s v="24/09/2025"/>
    <s v="Amit Sharma"/>
    <s v="Male"/>
    <s v="09/08/1991"/>
    <s v="Pune"/>
    <s v="West"/>
    <s v="RJ"/>
    <s v="Electronics"/>
    <s v="Monitor"/>
    <n v="6"/>
    <n v="9000"/>
    <n v="0.05"/>
    <n v="51300"/>
    <n v="4"/>
    <s v="Netbanking"/>
    <s v="Ritika"/>
    <s v="amit.sharma@company.com"/>
    <n v="9823428025"/>
    <s v="Global Trade"/>
    <n v="24"/>
    <s v="Silver"/>
    <d v="2027-09-24T00:00:00"/>
    <s v="August"/>
    <x v="2"/>
  </r>
  <r>
    <s v="ORD10090"/>
    <s v="C008"/>
    <s v="P203"/>
    <d v="2026-03-11T00:00:00"/>
    <s v="19/03/2026"/>
    <s v="Kavya Nair"/>
    <s v="Female"/>
    <s v="01/08/1976"/>
    <s v="Hyderabad"/>
    <s v="South"/>
    <s v="WB"/>
    <s v="Home Appliances"/>
    <s v="Microwave"/>
    <n v="15"/>
    <n v="6375"/>
    <n v="0"/>
    <n v="95625"/>
    <n v="4"/>
    <s v="Netbanking"/>
    <s v="Ritika"/>
    <s v="kavya.nair@company.com"/>
    <n v="9505048912"/>
    <s v="TechHub"/>
    <n v="24"/>
    <s v="Silver"/>
    <d v="2028-03-19T00:00:00"/>
    <s v="August"/>
    <x v="2"/>
  </r>
  <r>
    <s v="ORD10091"/>
    <s v="C010"/>
    <s v="P103"/>
    <d v="2025-08-20T00:00:00"/>
    <s v="23/08/2025"/>
    <s v="Pooja Shah"/>
    <s v="Female"/>
    <s v="16/09/1994"/>
    <s v="Bengaluru"/>
    <s v="South"/>
    <s v="WB"/>
    <s v="Electronics"/>
    <s v="Keyboard"/>
    <n v="5"/>
    <n v="900"/>
    <n v="0.15"/>
    <n v="3825"/>
    <n v="1"/>
    <s v="Netbanking"/>
    <s v="Ritika"/>
    <s v="pooja.shah@company.com"/>
    <n v="9508068393"/>
    <s v="TechHub"/>
    <n v="6"/>
    <s v="Silver"/>
    <d v="2026-02-23T00:00:00"/>
    <s v="September"/>
    <x v="1"/>
  </r>
  <r>
    <s v="ORD10092"/>
    <s v="C010"/>
    <s v="P302"/>
    <d v="2025-08-13T00:00:00"/>
    <s v="14/08/2025"/>
    <s v="Pooja Shah"/>
    <s v="Female"/>
    <s v="16/09/1994"/>
    <s v="Bengaluru"/>
    <s v="South"/>
    <s v="WB"/>
    <s v="Stationery"/>
    <s v="Pen"/>
    <n v="4"/>
    <n v="15"/>
    <n v="0"/>
    <n v="60"/>
    <n v="4"/>
    <s v="Netbanking"/>
    <s v="Rahul"/>
    <s v="pooja.shah@company.com"/>
    <n v="9785807771"/>
    <s v="Prime Supplies"/>
    <n v="12"/>
    <s v="Silver"/>
    <d v="2026-08-14T00:00:00"/>
    <s v="September"/>
    <x v="0"/>
  </r>
  <r>
    <s v="ORD10093"/>
    <s v="C008"/>
    <s v="P302"/>
    <d v="2025-03-16T00:00:00"/>
    <s v="20/03/2025"/>
    <s v="Kavya Nair"/>
    <s v="Female"/>
    <s v="01/08/1976"/>
    <s v="Hyderabad"/>
    <s v="South"/>
    <s v="WB"/>
    <s v="Stationery"/>
    <s v="Pen"/>
    <n v="10"/>
    <n v="15"/>
    <n v="0"/>
    <n v="150"/>
    <n v="3"/>
    <s v="Cash"/>
    <s v="Karan"/>
    <s v="kavya.nair@company.com"/>
    <n v="9215250979"/>
    <s v="Prime Supplies"/>
    <n v="12"/>
    <s v="Silver"/>
    <d v="2026-03-20T00:00:00"/>
    <s v="August"/>
    <x v="0"/>
  </r>
  <r>
    <s v="ORD10094"/>
    <s v="C004"/>
    <s v="P202"/>
    <d v="2025-09-04T00:00:00"/>
    <s v="10/09/2025"/>
    <s v="Anita Gupta"/>
    <s v="Female"/>
    <s v="16/01/2002"/>
    <s v="Pune"/>
    <s v="West"/>
    <s v="WB"/>
    <s v="Home Appliances"/>
    <s v="Iron"/>
    <n v="18"/>
    <n v="1650"/>
    <n v="0.1"/>
    <n v="26730"/>
    <n v="3"/>
    <s v="Cash"/>
    <s v="Ritika"/>
    <s v="anita.gupta@company.com"/>
    <n v="9845884906"/>
    <s v="Global Trade"/>
    <n v="24"/>
    <s v="Gold"/>
    <d v="2027-09-10T00:00:00"/>
    <s v="January"/>
    <x v="0"/>
  </r>
  <r>
    <s v="ORD10095"/>
    <s v="C001"/>
    <s v="P201"/>
    <d v="2025-04-12T00:00:00"/>
    <s v="15/04/2025"/>
    <s v="Amit Sharma"/>
    <s v="Male"/>
    <s v="09/08/1991"/>
    <s v="Pune"/>
    <s v="West"/>
    <s v="RJ"/>
    <s v="Home Appliances"/>
    <s v="Mixer"/>
    <n v="7"/>
    <n v="2625"/>
    <n v="0.15"/>
    <n v="15618.75"/>
    <n v="3"/>
    <s v="Netbanking"/>
    <s v="Rahul"/>
    <s v="amit.sharma@company.com"/>
    <n v="9393097397"/>
    <s v="Global Trade"/>
    <n v="6"/>
    <s v="Silver"/>
    <d v="2025-10-15T00:00:00"/>
    <s v="August"/>
    <x v="0"/>
  </r>
  <r>
    <s v="ORD10096"/>
    <s v="C002"/>
    <s v="P203"/>
    <d v="2026-05-04T00:00:00"/>
    <s v="07/05/2026"/>
    <s v="Priya Patel"/>
    <s v="Female"/>
    <s v="07/03/1995"/>
    <s v="Mumbai"/>
    <s v="West"/>
    <s v="WB"/>
    <s v="Home Appliances"/>
    <s v="Microwave"/>
    <n v="19"/>
    <n v="6375"/>
    <n v="0.15"/>
    <n v="102956.25"/>
    <n v="4"/>
    <s v="Card"/>
    <s v="Karan"/>
    <s v="priya.patel@company.com"/>
    <n v="9958032109"/>
    <s v="TechHub"/>
    <n v="24"/>
    <s v="Platinum"/>
    <d v="2028-05-07T00:00:00"/>
    <s v="March"/>
    <x v="2"/>
  </r>
  <r>
    <s v="ORD10097"/>
    <s v="C006"/>
    <s v="P104"/>
    <d v="2026-01-18T00:00:00"/>
    <s v="27/01/2026"/>
    <s v="Sneha Joshi"/>
    <s v="Female"/>
    <s v="04/04/1981"/>
    <s v="Pune"/>
    <s v="West"/>
    <s v="WB"/>
    <s v="Electronics"/>
    <s v="Monitor"/>
    <n v="13"/>
    <n v="9000"/>
    <n v="0.15"/>
    <n v="99450"/>
    <n v="4"/>
    <s v="Cash"/>
    <s v="Rahul"/>
    <s v="sneha.joshi@company.com"/>
    <n v="9755082957"/>
    <s v="Global Trade"/>
    <n v="24"/>
    <s v="Gold"/>
    <d v="2028-01-27T00:00:00"/>
    <s v="April"/>
    <x v="2"/>
  </r>
  <r>
    <s v="ORD10098"/>
    <s v="C001"/>
    <s v="P302"/>
    <d v="2026-03-14T00:00:00"/>
    <s v="24/03/2026"/>
    <s v="Amit Sharma"/>
    <s v="Male"/>
    <s v="09/08/1991"/>
    <s v="Pune"/>
    <s v="West"/>
    <s v="RJ"/>
    <s v="Stationery"/>
    <s v="Pen"/>
    <n v="7"/>
    <n v="15"/>
    <n v="0"/>
    <n v="105"/>
    <n v="1"/>
    <s v="Card"/>
    <s v="Karan"/>
    <s v="amit.sharma@company.com"/>
    <n v="9872235856"/>
    <s v="Prime Supplies"/>
    <n v="12"/>
    <s v="Silver"/>
    <d v="2027-03-24T00:00:00"/>
    <s v="August"/>
    <x v="1"/>
  </r>
  <r>
    <s v="ORD10099"/>
    <s v="C004"/>
    <s v="P102"/>
    <d v="2025-05-09T00:00:00"/>
    <s v="11/05/2025"/>
    <s v="Anita Gupta"/>
    <s v="Female"/>
    <s v="16/01/2002"/>
    <s v="Pune"/>
    <s v="West"/>
    <s v="WB"/>
    <s v="Electronics"/>
    <s v="Mouse"/>
    <n v="5"/>
    <n v="525"/>
    <n v="0.15"/>
    <n v="2231.25"/>
    <n v="4"/>
    <s v="Card"/>
    <s v="Ritika"/>
    <s v="anita.gupta@company.com"/>
    <n v="9335138816"/>
    <s v="TechHub"/>
    <n v="24"/>
    <s v="Gold"/>
    <d v="2027-05-11T00:00:00"/>
    <s v="January"/>
    <x v="0"/>
  </r>
  <r>
    <s v="ORD10100"/>
    <s v="C007"/>
    <s v="P303"/>
    <d v="2026-05-07T00:00:00"/>
    <s v="10/05/2026"/>
    <s v="Arjun Rao"/>
    <s v="Male"/>
    <s v="07/02/1988"/>
    <s v="Hyderabad"/>
    <s v="South"/>
    <s v="RJ"/>
    <s v="Stationery"/>
    <s v="Marker"/>
    <n v="9"/>
    <n v="33.75"/>
    <n v="0.05"/>
    <n v="288.5625"/>
    <n v="3"/>
    <s v="Cash"/>
    <s v="Ritika"/>
    <s v="arjun.rao@company.com"/>
    <n v="9750365609"/>
    <s v="TechHub"/>
    <n v="12"/>
    <s v="Silver"/>
    <d v="2027-05-10T00:00:00"/>
    <s v="February"/>
    <x v="0"/>
  </r>
  <r>
    <s v="ORD10101"/>
    <s v="C003"/>
    <s v="P301"/>
    <d v="2025-04-21T00:00:00"/>
    <s v="29/04/2025"/>
    <s v="Rohit Singh"/>
    <s v="Male"/>
    <s v="10/05/1982"/>
    <s v="Delhi"/>
    <s v="North"/>
    <s v="DL"/>
    <s v="Stationery"/>
    <s v="Notebook"/>
    <n v="19"/>
    <n v="45"/>
    <n v="0.1"/>
    <n v="769.5"/>
    <n v="5"/>
    <s v="Netbanking"/>
    <s v="Neha"/>
    <s v="rohit.singh@company.com"/>
    <n v="9736812737"/>
    <s v="ABC Corp"/>
    <n v="12"/>
    <s v="Gold"/>
    <d v="2026-04-29T00:00:00"/>
    <s v="May"/>
    <x v="0"/>
  </r>
  <r>
    <s v="ORD10102"/>
    <s v="C001"/>
    <s v="P102"/>
    <d v="2025-12-11T00:00:00"/>
    <s v="20/12/2025"/>
    <s v="Amit Sharma"/>
    <s v="Male"/>
    <s v="09/08/1991"/>
    <s v="Pune"/>
    <s v="West"/>
    <s v="RJ"/>
    <s v="Electronics"/>
    <s v="Mouse"/>
    <n v="4"/>
    <n v="525"/>
    <n v="0.05"/>
    <n v="1995"/>
    <n v="3"/>
    <s v="Netbanking"/>
    <s v="Aisha"/>
    <s v="amit.sharma@company.com"/>
    <n v="9271420931"/>
    <s v="TechHub"/>
    <n v="24"/>
    <s v="Silver"/>
    <d v="2027-12-20T00:00:00"/>
    <s v="August"/>
    <x v="0"/>
  </r>
  <r>
    <s v="ORD10103"/>
    <s v="C001"/>
    <s v="P201"/>
    <d v="2026-05-07T00:00:00"/>
    <s v="15/05/2026"/>
    <s v="Amit Sharma"/>
    <s v="Male"/>
    <s v="09/08/1991"/>
    <s v="Pune"/>
    <s v="West"/>
    <s v="RJ"/>
    <s v="Home Appliances"/>
    <s v="Mixer"/>
    <n v="16"/>
    <n v="2625"/>
    <n v="0"/>
    <n v="42000"/>
    <n v="2"/>
    <s v="Card"/>
    <s v="Rahul"/>
    <s v="amit.sharma@company.com"/>
    <n v="9781411370"/>
    <s v="Global Trade"/>
    <n v="6"/>
    <s v="Silver"/>
    <d v="2026-11-15T00:00:00"/>
    <s v="August"/>
    <x v="1"/>
  </r>
  <r>
    <s v="ORD10104"/>
    <s v="C006"/>
    <s v="P303"/>
    <d v="2025-01-13T00:00:00"/>
    <s v="20/01/2025"/>
    <s v="Sneha Joshi"/>
    <s v="Female"/>
    <s v="04/04/1981"/>
    <s v="Pune"/>
    <s v="West"/>
    <s v="WB"/>
    <s v="Stationery"/>
    <s v="Marker"/>
    <n v="5"/>
    <n v="33.75"/>
    <n v="0.2"/>
    <n v="135"/>
    <n v="3"/>
    <s v="Card"/>
    <s v="Ritika"/>
    <s v="sneha.joshi@company.com"/>
    <n v="9584152818"/>
    <s v="TechHub"/>
    <n v="12"/>
    <s v="Gold"/>
    <d v="2026-01-20T00:00:00"/>
    <s v="April"/>
    <x v="0"/>
  </r>
  <r>
    <s v="ORD10105"/>
    <s v="C007"/>
    <s v="P302"/>
    <d v="2025-03-17T00:00:00"/>
    <s v="18/03/2025"/>
    <s v="Arjun Rao"/>
    <s v="Male"/>
    <s v="07/02/1988"/>
    <s v="Hyderabad"/>
    <s v="South"/>
    <s v="RJ"/>
    <s v="Stationery"/>
    <s v="Pen"/>
    <n v="9"/>
    <n v="15"/>
    <n v="0.1"/>
    <n v="121.5"/>
    <n v="4"/>
    <s v="Card"/>
    <s v="Ritika"/>
    <s v="arjun.rao@company.com"/>
    <n v="9507986836"/>
    <s v="Prime Supplies"/>
    <n v="12"/>
    <s v="Silver"/>
    <d v="2026-03-18T00:00:00"/>
    <s v="February"/>
    <x v="0"/>
  </r>
  <r>
    <s v="ORD10106"/>
    <s v="C010"/>
    <s v="P103"/>
    <d v="2025-02-25T00:00:00"/>
    <s v="01/03/2025"/>
    <s v="Pooja Shah"/>
    <s v="Female"/>
    <s v="16/09/1994"/>
    <s v="Bengaluru"/>
    <s v="South"/>
    <s v="WB"/>
    <s v="Electronics"/>
    <s v="Keyboard"/>
    <n v="9"/>
    <n v="900"/>
    <n v="0.05"/>
    <n v="7695"/>
    <n v="3"/>
    <s v="Upi"/>
    <s v="Ritika"/>
    <s v="pooja.shah@company.com"/>
    <n v="9518249687"/>
    <s v="TechHub"/>
    <n v="6"/>
    <s v="Silver"/>
    <d v="2025-09-01T00:00:00"/>
    <s v="September"/>
    <x v="0"/>
  </r>
  <r>
    <s v="ORD10107"/>
    <s v="C002"/>
    <s v="P201"/>
    <d v="2025-02-26T00:00:00"/>
    <s v="27/02/2025"/>
    <s v="Priya Patel"/>
    <s v="Female"/>
    <s v="07/03/1995"/>
    <s v="Mumbai"/>
    <s v="West"/>
    <s v="WB"/>
    <s v="Home Appliances"/>
    <s v="Mixer"/>
    <n v="3"/>
    <n v="2625"/>
    <n v="0.1"/>
    <n v="7087.5"/>
    <n v="2"/>
    <s v="Card"/>
    <s v="Karan"/>
    <s v="priya.patel@company.com"/>
    <n v="9179328207"/>
    <s v="Global Trade"/>
    <n v="6"/>
    <s v="Platinum"/>
    <d v="2025-08-27T00:00:00"/>
    <s v="March"/>
    <x v="1"/>
  </r>
  <r>
    <s v="ORD10108"/>
    <s v="C005"/>
    <s v="P103"/>
    <d v="2026-03-13T00:00:00"/>
    <s v="18/03/2026"/>
    <s v="Vikas Mehta"/>
    <s v="Male"/>
    <s v="03/08/1991"/>
    <s v="Mumbai"/>
    <s v="West"/>
    <s v="DL"/>
    <s v="Electronics"/>
    <s v="Keyboard"/>
    <n v="6"/>
    <n v="900"/>
    <n v="0.15"/>
    <n v="4590"/>
    <n v="4"/>
    <s v="Upi"/>
    <s v="Ritika"/>
    <s v="vikas.mehta@company.com"/>
    <n v="9778490728"/>
    <s v="TechHub"/>
    <n v="6"/>
    <s v="Gold"/>
    <d v="2026-09-18T00:00:00"/>
    <s v="August"/>
    <x v="0"/>
  </r>
  <r>
    <s v="ORD10109"/>
    <s v="C007"/>
    <s v="P103"/>
    <d v="2025-07-10T00:00:00"/>
    <s v="12/07/2025"/>
    <s v="Arjun Rao"/>
    <s v="Male"/>
    <s v="07/02/1988"/>
    <s v="Hyderabad"/>
    <s v="South"/>
    <s v="RJ"/>
    <s v="Electronics"/>
    <s v="Keyboard"/>
    <n v="17"/>
    <n v="900"/>
    <n v="0.15"/>
    <n v="13005"/>
    <n v="1"/>
    <s v="Cash"/>
    <s v="Aisha"/>
    <s v="arjun.rao@company.com"/>
    <n v="9223058722"/>
    <s v="TechHub"/>
    <n v="6"/>
    <s v="Silver"/>
    <d v="2026-01-12T00:00:00"/>
    <s v="February"/>
    <x v="1"/>
  </r>
  <r>
    <s v="ORD10110"/>
    <s v="C005"/>
    <s v="P203"/>
    <d v="2025-11-18T00:00:00"/>
    <s v="26/11/2025"/>
    <s v="Vikas Mehta"/>
    <s v="Male"/>
    <s v="03/08/1991"/>
    <s v="Mumbai"/>
    <s v="West"/>
    <s v="DL"/>
    <s v="Home Appliances"/>
    <s v="Microwave"/>
    <n v="15"/>
    <n v="6375"/>
    <n v="0"/>
    <n v="95625"/>
    <n v="3"/>
    <s v="Cash"/>
    <s v="Neha"/>
    <s v="vikas.mehta@company.com"/>
    <n v="9999889465"/>
    <s v="TechHub"/>
    <n v="24"/>
    <s v="Gold"/>
    <d v="2027-11-26T00:00:00"/>
    <s v="August"/>
    <x v="2"/>
  </r>
  <r>
    <s v="ORD10111"/>
    <s v="C003"/>
    <s v="P103"/>
    <d v="2025-04-13T00:00:00"/>
    <s v="19/04/2025"/>
    <s v="Rohit Singh"/>
    <s v="Male"/>
    <s v="10/05/1982"/>
    <s v="Delhi"/>
    <s v="North"/>
    <s v="DL"/>
    <s v="Electronics"/>
    <s v="Keyboard"/>
    <n v="1"/>
    <n v="900"/>
    <n v="0.2"/>
    <n v="720"/>
    <n v="1"/>
    <s v="Upi"/>
    <s v="Neha"/>
    <s v="rohit.singh@company.com"/>
    <n v="9489687402"/>
    <s v="TechHub"/>
    <n v="6"/>
    <s v="Gold"/>
    <d v="2025-10-19T00:00:00"/>
    <s v="May"/>
    <x v="1"/>
  </r>
  <r>
    <s v="ORD10112"/>
    <s v="C003"/>
    <s v="P203"/>
    <d v="2025-04-09T00:00:00"/>
    <s v="18/04/2025"/>
    <s v="Rohit Singh"/>
    <s v="Male"/>
    <s v="10/05/1982"/>
    <s v="Delhi"/>
    <s v="North"/>
    <s v="DL"/>
    <s v="Home Appliances"/>
    <s v="Microwave"/>
    <n v="5"/>
    <n v="6375"/>
    <n v="0.1"/>
    <n v="28687.5"/>
    <n v="1"/>
    <s v="Card"/>
    <s v="Aisha"/>
    <s v="rohit.singh@company.com"/>
    <n v="9236963301"/>
    <s v="TechHub"/>
    <n v="24"/>
    <s v="Gold"/>
    <d v="2027-04-18T00:00:00"/>
    <s v="May"/>
    <x v="1"/>
  </r>
  <r>
    <s v="ORD10113"/>
    <s v="C010"/>
    <s v="P303"/>
    <d v="2026-04-03T00:00:00"/>
    <s v="10/04/2026"/>
    <s v="Pooja Shah"/>
    <s v="Female"/>
    <s v="16/09/1994"/>
    <s v="Bengaluru"/>
    <s v="South"/>
    <s v="WB"/>
    <s v="Stationery"/>
    <s v="Marker"/>
    <n v="12"/>
    <n v="33.75"/>
    <n v="0.05"/>
    <n v="384.75"/>
    <n v="2"/>
    <s v="Netbanking"/>
    <s v="Ritika"/>
    <s v="pooja.shah@company.com"/>
    <n v="9653594592"/>
    <s v="TechHub"/>
    <n v="12"/>
    <s v="Silver"/>
    <d v="2027-04-10T00:00:00"/>
    <s v="September"/>
    <x v="1"/>
  </r>
  <r>
    <s v="ORD10114"/>
    <s v="C005"/>
    <s v="P301"/>
    <d v="2025-10-23T00:00:00"/>
    <s v="28/10/2025"/>
    <s v="Vikas Mehta"/>
    <s v="Male"/>
    <s v="03/08/1991"/>
    <s v="Mumbai"/>
    <s v="West"/>
    <s v="DL"/>
    <s v="Stationery"/>
    <s v="Notebook"/>
    <n v="5"/>
    <n v="45"/>
    <n v="0.05"/>
    <n v="213.75"/>
    <n v="2"/>
    <s v="Cash"/>
    <s v="Aisha"/>
    <s v="vikas.mehta@company.com"/>
    <n v="9781970426"/>
    <s v="ABC Corp"/>
    <n v="12"/>
    <s v="Gold"/>
    <d v="2026-10-28T00:00:00"/>
    <s v="August"/>
    <x v="1"/>
  </r>
  <r>
    <s v="ORD10115"/>
    <s v="C010"/>
    <s v="P102"/>
    <d v="2025-04-03T00:00:00"/>
    <s v="14/04/2025"/>
    <s v="Pooja Shah"/>
    <s v="Female"/>
    <s v="16/09/1994"/>
    <s v="Bengaluru"/>
    <s v="South"/>
    <s v="WB"/>
    <s v="Electronics"/>
    <s v="Mouse"/>
    <n v="3"/>
    <n v="525"/>
    <n v="0"/>
    <n v="1575"/>
    <n v="4"/>
    <s v="Card"/>
    <s v="Aisha"/>
    <s v="pooja.shah@company.com"/>
    <n v="9862165194"/>
    <s v="TechHub"/>
    <n v="24"/>
    <s v="Silver"/>
    <d v="2027-04-14T00:00:00"/>
    <s v="September"/>
    <x v="0"/>
  </r>
  <r>
    <s v="ORD10116"/>
    <s v="C004"/>
    <s v="P302"/>
    <d v="2025-04-25T00:00:00"/>
    <s v="29/04/2025"/>
    <s v="Anita Gupta"/>
    <s v="Female"/>
    <s v="16/01/2002"/>
    <s v="Pune"/>
    <s v="West"/>
    <s v="WB"/>
    <s v="Stationery"/>
    <s v="Pen"/>
    <n v="6"/>
    <n v="15"/>
    <n v="0.15"/>
    <n v="76.5"/>
    <n v="5"/>
    <s v="Card"/>
    <s v="Karan"/>
    <s v="anita.gupta@company.com"/>
    <n v="9661280388"/>
    <s v="Prime Supplies"/>
    <n v="12"/>
    <s v="Gold"/>
    <d v="2026-04-29T00:00:00"/>
    <s v="January"/>
    <x v="0"/>
  </r>
  <r>
    <s v="ORD10117"/>
    <s v="C002"/>
    <s v="P102"/>
    <d v="2025-08-24T00:00:00"/>
    <s v="31/08/2025"/>
    <s v="Priya Patel"/>
    <s v="Female"/>
    <s v="07/03/1995"/>
    <s v="Mumbai"/>
    <s v="West"/>
    <s v="WB"/>
    <s v="Electronics"/>
    <s v="Mouse"/>
    <n v="2"/>
    <n v="525"/>
    <n v="0.15"/>
    <n v="892.5"/>
    <n v="4"/>
    <s v="Cash"/>
    <s v="Karan"/>
    <s v="priya.patel@company.com"/>
    <n v="9896985355"/>
    <s v="TechHub"/>
    <n v="24"/>
    <s v="Platinum"/>
    <d v="2027-08-31T00:00:00"/>
    <s v="March"/>
    <x v="0"/>
  </r>
  <r>
    <s v="ORD10118"/>
    <s v="C001"/>
    <s v="P303"/>
    <d v="2025-05-31T00:00:00"/>
    <s v="11/06/2025"/>
    <s v="Amit Sharma"/>
    <s v="Male"/>
    <s v="09/08/1991"/>
    <s v="Pune"/>
    <s v="West"/>
    <s v="RJ"/>
    <s v="Stationery"/>
    <s v="Marker"/>
    <n v="16"/>
    <n v="33.75"/>
    <n v="0"/>
    <n v="540"/>
    <n v="1"/>
    <s v="Netbanking"/>
    <s v="Aisha"/>
    <s v="amit.sharma@company.com"/>
    <n v="9807154421"/>
    <s v="TechHub"/>
    <n v="12"/>
    <s v="Silver"/>
    <d v="2026-06-11T00:00:00"/>
    <s v="August"/>
    <x v="1"/>
  </r>
  <r>
    <s v="ORD10119"/>
    <s v="C009"/>
    <s v="P103"/>
    <d v="2025-05-30T00:00:00"/>
    <s v="02/06/2025"/>
    <s v="Mohit Verma"/>
    <s v="Male"/>
    <s v="13/04/1976"/>
    <s v="Delhi"/>
    <s v="North"/>
    <s v="KA"/>
    <s v="Electronics"/>
    <s v="Keyboard"/>
    <n v="10"/>
    <n v="900"/>
    <n v="0.15"/>
    <n v="7650"/>
    <n v="4"/>
    <s v="Upi"/>
    <s v="Karan"/>
    <s v="mohit.verma@company.com"/>
    <n v="9919834000"/>
    <s v="TechHub"/>
    <n v="6"/>
    <s v="Platinum"/>
    <d v="2025-12-02T00:00:00"/>
    <s v="April"/>
    <x v="0"/>
  </r>
  <r>
    <s v="ORD10120"/>
    <s v="C002"/>
    <s v="P104"/>
    <d v="2025-08-19T00:00:00"/>
    <s v="30/08/2025"/>
    <s v="Priya Patel"/>
    <s v="Female"/>
    <s v="07/03/1995"/>
    <s v="Mumbai"/>
    <s v="West"/>
    <s v="WB"/>
    <s v="Electronics"/>
    <s v="Monitor"/>
    <n v="14"/>
    <n v="9000"/>
    <n v="0.15"/>
    <n v="107100"/>
    <n v="2"/>
    <s v="Netbanking"/>
    <s v="Aisha"/>
    <s v="priya.patel@company.com"/>
    <n v="9739798818"/>
    <s v="Global Trade"/>
    <n v="24"/>
    <s v="Platinum"/>
    <d v="2027-08-30T00:00:00"/>
    <s v="March"/>
    <x v="1"/>
  </r>
  <r>
    <s v="ORD10121"/>
    <s v="C003"/>
    <s v="P203"/>
    <d v="2025-12-14T00:00:00"/>
    <s v="16/12/2025"/>
    <s v="Rohit Singh"/>
    <s v="Male"/>
    <s v="10/05/1982"/>
    <s v="Delhi"/>
    <s v="North"/>
    <s v="DL"/>
    <s v="Home Appliances"/>
    <s v="Microwave"/>
    <n v="8"/>
    <n v="6375"/>
    <n v="0.2"/>
    <n v="40800"/>
    <n v="3"/>
    <s v="Card"/>
    <s v="Rahul"/>
    <s v="rohit.singh@company.com"/>
    <n v="9208625306"/>
    <s v="TechHub"/>
    <n v="24"/>
    <s v="Gold"/>
    <d v="2027-12-16T00:00:00"/>
    <s v="May"/>
    <x v="0"/>
  </r>
  <r>
    <s v="ORD10122"/>
    <s v="C007"/>
    <s v="P303"/>
    <d v="2026-01-31T00:00:00"/>
    <s v="10/02/2026"/>
    <s v="Arjun Rao"/>
    <s v="Male"/>
    <s v="07/02/1988"/>
    <s v="Hyderabad"/>
    <s v="South"/>
    <s v="RJ"/>
    <s v="Stationery"/>
    <s v="Marker"/>
    <n v="3"/>
    <n v="33.75"/>
    <n v="0"/>
    <n v="101.25"/>
    <n v="4"/>
    <s v="Upi"/>
    <s v="Aisha"/>
    <s v="arjun.rao@company.com"/>
    <n v="9970178536"/>
    <s v="TechHub"/>
    <n v="12"/>
    <s v="Silver"/>
    <d v="2027-02-10T00:00:00"/>
    <s v="February"/>
    <x v="0"/>
  </r>
  <r>
    <s v="ORD10123"/>
    <s v="C001"/>
    <s v="P102"/>
    <d v="2026-01-03T00:00:00"/>
    <s v="04/01/2026"/>
    <s v="Amit Sharma"/>
    <s v="Male"/>
    <s v="09/08/1991"/>
    <s v="Pune"/>
    <s v="West"/>
    <s v="RJ"/>
    <s v="Electronics"/>
    <s v="Mouse"/>
    <n v="13"/>
    <n v="525"/>
    <n v="0.05"/>
    <n v="6483.75"/>
    <n v="3"/>
    <s v="Card"/>
    <s v="Neha"/>
    <s v="amit.sharma@company.com"/>
    <n v="9633745195"/>
    <s v="TechHub"/>
    <n v="24"/>
    <s v="Silver"/>
    <d v="2028-01-04T00:00:00"/>
    <s v="August"/>
    <x v="0"/>
  </r>
  <r>
    <s v="ORD10124"/>
    <s v="C004"/>
    <s v="P103"/>
    <d v="2025-10-20T00:00:00"/>
    <s v="26/10/2025"/>
    <s v="Anita Gupta"/>
    <s v="Female"/>
    <s v="16/01/2002"/>
    <s v="Pune"/>
    <s v="West"/>
    <s v="WB"/>
    <s v="Electronics"/>
    <s v="Keyboard"/>
    <n v="14"/>
    <n v="900"/>
    <n v="0.2"/>
    <n v="10080"/>
    <n v="5"/>
    <s v="Netbanking"/>
    <s v="Aisha"/>
    <s v="anita.gupta@company.com"/>
    <n v="9922102053"/>
    <s v="TechHub"/>
    <n v="6"/>
    <s v="Gold"/>
    <d v="2026-04-26T00:00:00"/>
    <s v="January"/>
    <x v="0"/>
  </r>
  <r>
    <s v="ORD10125"/>
    <s v="C002"/>
    <s v="P303"/>
    <d v="2025-05-11T00:00:00"/>
    <s v="21/05/2025"/>
    <s v="Priya Patel"/>
    <s v="Female"/>
    <s v="07/03/1995"/>
    <s v="Mumbai"/>
    <s v="West"/>
    <s v="WB"/>
    <s v="Stationery"/>
    <s v="Marker"/>
    <n v="2"/>
    <n v="33.75"/>
    <n v="0.05"/>
    <n v="64.125"/>
    <n v="3"/>
    <s v="Upi"/>
    <s v="Ritika"/>
    <s v="priya.patel@company.com"/>
    <n v="9135963930"/>
    <s v="TechHub"/>
    <n v="12"/>
    <s v="Platinum"/>
    <d v="2026-05-21T00:00:00"/>
    <s v="March"/>
    <x v="0"/>
  </r>
  <r>
    <s v="ORD10126"/>
    <s v="C004"/>
    <s v="P103"/>
    <d v="2026-01-02T00:00:00"/>
    <s v="06/01/2026"/>
    <s v="Anita Gupta"/>
    <s v="Female"/>
    <s v="16/01/2002"/>
    <s v="Pune"/>
    <s v="West"/>
    <s v="WB"/>
    <s v="Electronics"/>
    <s v="Keyboard"/>
    <n v="2"/>
    <n v="900"/>
    <n v="0.2"/>
    <n v="1440"/>
    <n v="3"/>
    <s v="Card"/>
    <s v="Neha"/>
    <s v="anita.gupta@company.com"/>
    <n v="9429405275"/>
    <s v="TechHub"/>
    <n v="6"/>
    <s v="Gold"/>
    <d v="2026-07-06T00:00:00"/>
    <s v="January"/>
    <x v="0"/>
  </r>
  <r>
    <s v="ORD10127"/>
    <s v="C003"/>
    <s v="P101"/>
    <d v="2026-04-20T00:00:00"/>
    <s v="26/04/2026"/>
    <s v="Rohit Singh"/>
    <s v="Male"/>
    <s v="10/05/1982"/>
    <s v="Delhi"/>
    <s v="North"/>
    <s v="DL"/>
    <s v="Electronics"/>
    <s v="Laptop"/>
    <n v="10"/>
    <n v="41250"/>
    <n v="0.05"/>
    <n v="391875"/>
    <n v="5"/>
    <s v="Upi"/>
    <s v="Aisha"/>
    <s v="rohit.singh@company.com"/>
    <n v="9521757571"/>
    <s v="TechHub"/>
    <n v="12"/>
    <s v="Gold"/>
    <d v="2027-04-26T00:00:00"/>
    <s v="May"/>
    <x v="3"/>
  </r>
  <r>
    <s v="ORD10128"/>
    <s v="C006"/>
    <s v="P201"/>
    <d v="2025-08-04T00:00:00"/>
    <s v="05/08/2025"/>
    <s v="Sneha Joshi"/>
    <s v="Female"/>
    <s v="04/04/1981"/>
    <s v="Pune"/>
    <s v="West"/>
    <s v="WB"/>
    <s v="Home Appliances"/>
    <s v="Mixer"/>
    <n v="15"/>
    <n v="2625"/>
    <n v="0.1"/>
    <n v="35437.5"/>
    <n v="3"/>
    <s v="Netbanking"/>
    <s v="Neha"/>
    <s v="sneha.joshi@company.com"/>
    <n v="9467375455"/>
    <s v="Global Trade"/>
    <n v="6"/>
    <s v="Gold"/>
    <d v="2026-02-05T00:00:00"/>
    <s v="April"/>
    <x v="0"/>
  </r>
  <r>
    <s v="ORD10129"/>
    <s v="C002"/>
    <s v="P202"/>
    <d v="2025-08-13T00:00:00"/>
    <s v="18/08/2025"/>
    <s v="Priya Patel"/>
    <s v="Female"/>
    <s v="07/03/1995"/>
    <s v="Mumbai"/>
    <s v="West"/>
    <s v="WB"/>
    <s v="Home Appliances"/>
    <s v="Iron"/>
    <n v="10"/>
    <n v="1650"/>
    <n v="0.15"/>
    <n v="14025"/>
    <n v="4"/>
    <s v="Card"/>
    <s v="Rahul"/>
    <s v="priya.patel@company.com"/>
    <n v="9838809695"/>
    <s v="Global Trade"/>
    <n v="24"/>
    <s v="Platinum"/>
    <d v="2027-08-18T00:00:00"/>
    <s v="March"/>
    <x v="0"/>
  </r>
  <r>
    <s v="ORD10130"/>
    <s v="C006"/>
    <s v="P201"/>
    <d v="2025-06-16T00:00:00"/>
    <s v="24/06/2025"/>
    <s v="Sneha Joshi"/>
    <s v="Female"/>
    <s v="04/04/1981"/>
    <s v="Pune"/>
    <s v="West"/>
    <s v="WB"/>
    <s v="Home Appliances"/>
    <s v="Mixer"/>
    <n v="11"/>
    <n v="2625"/>
    <n v="0.05"/>
    <n v="27431.25"/>
    <n v="5"/>
    <s v="Cash"/>
    <s v="Ritika"/>
    <s v="sneha.joshi@company.com"/>
    <n v="9296609782"/>
    <s v="Global Trade"/>
    <n v="6"/>
    <s v="Gold"/>
    <d v="2025-12-24T00:00:00"/>
    <s v="April"/>
    <x v="0"/>
  </r>
  <r>
    <s v="ORD10131"/>
    <s v="C004"/>
    <s v="P103"/>
    <d v="2026-04-27T00:00:00"/>
    <s v="30/04/2026"/>
    <s v="Anita Gupta"/>
    <s v="Female"/>
    <s v="16/01/2002"/>
    <s v="Pune"/>
    <s v="West"/>
    <s v="WB"/>
    <s v="Electronics"/>
    <s v="Keyboard"/>
    <n v="14"/>
    <n v="900"/>
    <n v="0"/>
    <n v="12600"/>
    <n v="5"/>
    <s v="Cash"/>
    <s v="Rahul"/>
    <s v="anita.gupta@company.com"/>
    <n v="9848259992"/>
    <s v="TechHub"/>
    <n v="6"/>
    <s v="Gold"/>
    <d v="2026-10-30T00:00:00"/>
    <s v="January"/>
    <x v="0"/>
  </r>
  <r>
    <s v="ORD10132"/>
    <s v="C002"/>
    <s v="P302"/>
    <d v="2026-02-17T00:00:00"/>
    <s v="22/02/2026"/>
    <s v="Priya Patel"/>
    <s v="Female"/>
    <s v="07/03/1995"/>
    <s v="Mumbai"/>
    <s v="West"/>
    <s v="WB"/>
    <s v="Stationery"/>
    <s v="Pen"/>
    <n v="11"/>
    <n v="15"/>
    <n v="0.2"/>
    <n v="132"/>
    <n v="4"/>
    <s v="Netbanking"/>
    <s v="Ritika"/>
    <s v="priya.patel@company.com"/>
    <n v="9254082295"/>
    <s v="Prime Supplies"/>
    <n v="12"/>
    <s v="Platinum"/>
    <d v="2027-02-22T00:00:00"/>
    <s v="March"/>
    <x v="0"/>
  </r>
  <r>
    <s v="ORD10133"/>
    <s v="C009"/>
    <s v="P104"/>
    <d v="2026-04-04T00:00:00"/>
    <s v="10/04/2026"/>
    <s v="Mohit Verma"/>
    <s v="Male"/>
    <s v="13/04/1976"/>
    <s v="Delhi"/>
    <s v="North"/>
    <s v="KA"/>
    <s v="Electronics"/>
    <s v="Monitor"/>
    <n v="6"/>
    <n v="9000"/>
    <n v="0.1"/>
    <n v="48600"/>
    <n v="5"/>
    <s v="Upi"/>
    <s v="Karan"/>
    <s v="mohit.verma@company.com"/>
    <n v="9687923860"/>
    <s v="Global Trade"/>
    <n v="24"/>
    <s v="Platinum"/>
    <d v="2028-04-10T00:00:00"/>
    <s v="April"/>
    <x v="0"/>
  </r>
  <r>
    <s v="ORD10134"/>
    <s v="C009"/>
    <s v="P202"/>
    <d v="2025-04-09T00:00:00"/>
    <s v="18/04/2025"/>
    <s v="Mohit Verma"/>
    <s v="Male"/>
    <s v="13/04/1976"/>
    <s v="Delhi"/>
    <s v="North"/>
    <s v="KA"/>
    <s v="Home Appliances"/>
    <s v="Iron"/>
    <n v="6"/>
    <n v="1650"/>
    <n v="0.05"/>
    <n v="9405"/>
    <n v="4"/>
    <s v="Cash"/>
    <s v="Rahul"/>
    <s v="mohit.verma@company.com"/>
    <n v="9426459149"/>
    <s v="Global Trade"/>
    <n v="24"/>
    <s v="Platinum"/>
    <d v="2027-04-18T00:00:00"/>
    <s v="April"/>
    <x v="0"/>
  </r>
  <r>
    <s v="ORD10135"/>
    <s v="C010"/>
    <s v="P201"/>
    <d v="2025-06-15T00:00:00"/>
    <s v="27/06/2025"/>
    <s v="Pooja Shah"/>
    <s v="Female"/>
    <s v="16/09/1994"/>
    <s v="Bengaluru"/>
    <s v="South"/>
    <s v="WB"/>
    <s v="Home Appliances"/>
    <s v="Mixer"/>
    <n v="3"/>
    <n v="2625"/>
    <n v="0.05"/>
    <n v="7481.25"/>
    <n v="4"/>
    <s v="Netbanking"/>
    <s v="Rahul"/>
    <s v="pooja.shah@company.com"/>
    <n v="9155925975"/>
    <s v="Global Trade"/>
    <n v="6"/>
    <s v="Silver"/>
    <d v="2025-12-27T00:00:00"/>
    <s v="September"/>
    <x v="0"/>
  </r>
  <r>
    <s v="ORD10136"/>
    <s v="C009"/>
    <s v="P203"/>
    <d v="2025-06-08T00:00:00"/>
    <s v="10/06/2025"/>
    <s v="Mohit Verma"/>
    <s v="Male"/>
    <s v="13/04/1976"/>
    <s v="Delhi"/>
    <s v="North"/>
    <s v="KA"/>
    <s v="Home Appliances"/>
    <s v="Microwave"/>
    <n v="5"/>
    <n v="6375"/>
    <n v="0.2"/>
    <n v="25500"/>
    <n v="5"/>
    <s v="Cash"/>
    <s v="Aisha"/>
    <s v="mohit.verma@company.com"/>
    <n v="9945247701"/>
    <s v="TechHub"/>
    <n v="24"/>
    <s v="Platinum"/>
    <d v="2027-06-10T00:00:00"/>
    <s v="April"/>
    <x v="0"/>
  </r>
  <r>
    <s v="ORD10137"/>
    <s v="C008"/>
    <s v="P201"/>
    <d v="2025-07-25T00:00:00"/>
    <s v="01/08/2025"/>
    <s v="Kavya Nair"/>
    <s v="Female"/>
    <s v="01/08/1976"/>
    <s v="Hyderabad"/>
    <s v="South"/>
    <s v="WB"/>
    <s v="Home Appliances"/>
    <s v="Mixer"/>
    <n v="14"/>
    <n v="2625"/>
    <n v="0.1"/>
    <n v="33075"/>
    <n v="4"/>
    <s v="Upi"/>
    <s v="Ritika"/>
    <s v="kavya.nair@company.com"/>
    <n v="9597378398"/>
    <s v="Global Trade"/>
    <n v="6"/>
    <s v="Silver"/>
    <d v="2026-02-01T00:00:00"/>
    <s v="August"/>
    <x v="0"/>
  </r>
  <r>
    <s v="ORD10138"/>
    <s v="C001"/>
    <s v="P303"/>
    <d v="2025-01-16T00:00:00"/>
    <s v="21/01/2025"/>
    <s v="Amit Sharma"/>
    <s v="Male"/>
    <s v="09/08/1991"/>
    <s v="Pune"/>
    <s v="West"/>
    <s v="RJ"/>
    <s v="Stationery"/>
    <s v="Marker"/>
    <n v="8"/>
    <n v="33.75"/>
    <n v="0"/>
    <n v="270"/>
    <n v="1"/>
    <s v="Card"/>
    <s v="Karan"/>
    <s v="amit.sharma@company.com"/>
    <n v="9343963736"/>
    <s v="TechHub"/>
    <n v="12"/>
    <s v="Silver"/>
    <d v="2026-01-21T00:00:00"/>
    <s v="August"/>
    <x v="1"/>
  </r>
  <r>
    <s v="ORD10139"/>
    <s v="C005"/>
    <s v="P303"/>
    <d v="2025-02-04T00:00:00"/>
    <s v="05/02/2025"/>
    <s v="Vikas Mehta"/>
    <s v="Male"/>
    <s v="03/08/1991"/>
    <s v="Mumbai"/>
    <s v="West"/>
    <s v="DL"/>
    <s v="Stationery"/>
    <s v="Marker"/>
    <n v="11"/>
    <n v="33.75"/>
    <n v="0.05"/>
    <n v="352.6875"/>
    <n v="3"/>
    <s v="Card"/>
    <s v="Rahul"/>
    <s v="vikas.mehta@company.com"/>
    <n v="9548742147"/>
    <s v="TechHub"/>
    <n v="12"/>
    <s v="Gold"/>
    <d v="2026-02-05T00:00:00"/>
    <s v="August"/>
    <x v="0"/>
  </r>
  <r>
    <s v="ORD10140"/>
    <s v="C007"/>
    <s v="P101"/>
    <d v="2025-01-22T00:00:00"/>
    <s v="30/01/2025"/>
    <s v="Arjun Rao"/>
    <s v="Male"/>
    <s v="07/02/1988"/>
    <s v="Hyderabad"/>
    <s v="South"/>
    <s v="RJ"/>
    <s v="Electronics"/>
    <s v="Laptop"/>
    <n v="19"/>
    <n v="41250"/>
    <n v="0"/>
    <n v="783750"/>
    <n v="2"/>
    <s v="Card"/>
    <s v="Ritika"/>
    <s v="arjun.rao@company.com"/>
    <n v="9912945471"/>
    <s v="TechHub"/>
    <n v="12"/>
    <s v="Silver"/>
    <d v="2026-01-30T00:00:00"/>
    <s v="February"/>
    <x v="1"/>
  </r>
  <r>
    <s v="ORD10141"/>
    <s v="C010"/>
    <s v="P201"/>
    <d v="2025-04-11T00:00:00"/>
    <s v="18/04/2025"/>
    <s v="Pooja Shah"/>
    <s v="Female"/>
    <s v="16/09/1994"/>
    <s v="Bengaluru"/>
    <s v="South"/>
    <s v="WB"/>
    <s v="Home Appliances"/>
    <s v="Mixer"/>
    <n v="20"/>
    <n v="2625"/>
    <n v="0.2"/>
    <n v="42000"/>
    <n v="4"/>
    <s v="Netbanking"/>
    <s v="Rahul"/>
    <s v="pooja.shah@company.com"/>
    <n v="9912630684"/>
    <s v="Global Trade"/>
    <n v="6"/>
    <s v="Silver"/>
    <d v="2025-10-18T00:00:00"/>
    <s v="September"/>
    <x v="0"/>
  </r>
  <r>
    <s v="ORD10142"/>
    <s v="C007"/>
    <s v="P202"/>
    <d v="2025-07-04T00:00:00"/>
    <s v="14/07/2025"/>
    <s v="Arjun Rao"/>
    <s v="Male"/>
    <s v="07/02/1988"/>
    <s v="Hyderabad"/>
    <s v="South"/>
    <s v="RJ"/>
    <s v="Home Appliances"/>
    <s v="Iron"/>
    <n v="17"/>
    <n v="1650"/>
    <n v="0"/>
    <n v="28050"/>
    <n v="5"/>
    <s v="Netbanking"/>
    <s v="Ritika"/>
    <s v="arjun.rao@company.com"/>
    <n v="9114017237"/>
    <s v="Global Trade"/>
    <n v="24"/>
    <s v="Silver"/>
    <d v="2027-07-14T00:00:00"/>
    <s v="February"/>
    <x v="0"/>
  </r>
  <r>
    <s v="ORD10143"/>
    <s v="C007"/>
    <s v="P103"/>
    <d v="2025-01-22T00:00:00"/>
    <s v="29/01/2025"/>
    <s v="Arjun Rao"/>
    <s v="Male"/>
    <s v="07/02/1988"/>
    <s v="Hyderabad"/>
    <s v="South"/>
    <s v="RJ"/>
    <s v="Electronics"/>
    <s v="Keyboard"/>
    <n v="10"/>
    <n v="900"/>
    <n v="0.05"/>
    <n v="8550"/>
    <n v="2"/>
    <s v="Cash"/>
    <s v="Rahul"/>
    <s v="arjun.rao@company.com"/>
    <n v="9872471236"/>
    <s v="TechHub"/>
    <n v="6"/>
    <s v="Silver"/>
    <d v="2025-07-29T00:00:00"/>
    <s v="February"/>
    <x v="1"/>
  </r>
  <r>
    <s v="ORD10144"/>
    <s v="C005"/>
    <s v="P301"/>
    <d v="2025-12-17T00:00:00"/>
    <s v="18/12/2025"/>
    <s v="Vikas Mehta"/>
    <s v="Male"/>
    <s v="03/08/1991"/>
    <s v="Mumbai"/>
    <s v="West"/>
    <s v="DL"/>
    <s v="Stationery"/>
    <s v="Notebook"/>
    <n v="3"/>
    <n v="45"/>
    <n v="0"/>
    <n v="135"/>
    <n v="4"/>
    <s v="Netbanking"/>
    <s v="Karan"/>
    <s v="vikas.mehta@company.com"/>
    <n v="9461383824"/>
    <s v="ABC Corp"/>
    <n v="12"/>
    <s v="Gold"/>
    <d v="2026-12-18T00:00:00"/>
    <s v="August"/>
    <x v="0"/>
  </r>
  <r>
    <s v="ORD10145"/>
    <s v="C010"/>
    <s v="P202"/>
    <d v="2025-10-10T00:00:00"/>
    <s v="21/10/2025"/>
    <s v="Pooja Shah"/>
    <s v="Female"/>
    <s v="16/09/1994"/>
    <s v="Bengaluru"/>
    <s v="South"/>
    <s v="WB"/>
    <s v="Home Appliances"/>
    <s v="Iron"/>
    <n v="18"/>
    <n v="1650"/>
    <n v="0.1"/>
    <n v="26730"/>
    <n v="1"/>
    <s v="Card"/>
    <s v="Karan"/>
    <s v="pooja.shah@company.com"/>
    <n v="9243407457"/>
    <s v="Global Trade"/>
    <n v="24"/>
    <s v="Silver"/>
    <d v="2027-10-21T00:00:00"/>
    <s v="September"/>
    <x v="1"/>
  </r>
  <r>
    <s v="ORD10146"/>
    <s v="C009"/>
    <s v="P301"/>
    <d v="2026-03-07T00:00:00"/>
    <s v="10/03/2026"/>
    <s v="Mohit Verma"/>
    <s v="Male"/>
    <s v="13/04/1976"/>
    <s v="Delhi"/>
    <s v="North"/>
    <s v="KA"/>
    <s v="Stationery"/>
    <s v="Notebook"/>
    <n v="18"/>
    <n v="45"/>
    <n v="0.05"/>
    <n v="769.5"/>
    <n v="3"/>
    <s v="Card"/>
    <s v="Rahul"/>
    <s v="mohit.verma@company.com"/>
    <n v="9418672379"/>
    <s v="ABC Corp"/>
    <n v="12"/>
    <s v="Platinum"/>
    <d v="2027-03-10T00:00:00"/>
    <s v="April"/>
    <x v="0"/>
  </r>
  <r>
    <s v="ORD10147"/>
    <s v="C003"/>
    <s v="P101"/>
    <d v="2025-08-16T00:00:00"/>
    <s v="23/08/2025"/>
    <s v="Rohit Singh"/>
    <s v="Male"/>
    <s v="10/05/1982"/>
    <s v="Delhi"/>
    <s v="North"/>
    <s v="DL"/>
    <s v="Electronics"/>
    <s v="Laptop"/>
    <n v="11"/>
    <n v="41250"/>
    <n v="0.15"/>
    <n v="385687.5"/>
    <n v="4"/>
    <s v="Upi"/>
    <s v="Neha"/>
    <s v="rohit.singh@company.com"/>
    <n v="9222733065"/>
    <s v="TechHub"/>
    <n v="12"/>
    <s v="Gold"/>
    <d v="2026-08-23T00:00:00"/>
    <s v="May"/>
    <x v="2"/>
  </r>
  <r>
    <s v="ORD10148"/>
    <s v="C006"/>
    <s v="P203"/>
    <d v="2025-12-23T00:00:00"/>
    <s v="03/01/2026"/>
    <s v="Sneha Joshi"/>
    <s v="Female"/>
    <s v="04/04/1981"/>
    <s v="Pune"/>
    <s v="West"/>
    <s v="WB"/>
    <s v="Home Appliances"/>
    <s v="Microwave"/>
    <n v="5"/>
    <n v="6375"/>
    <n v="0.05"/>
    <n v="30281.25"/>
    <n v="4"/>
    <s v="Cash"/>
    <s v="Karan"/>
    <s v="sneha.joshi@company.com"/>
    <n v="9684246902"/>
    <s v="TechHub"/>
    <n v="24"/>
    <s v="Gold"/>
    <d v="2028-01-03T00:00:00"/>
    <s v="April"/>
    <x v="0"/>
  </r>
  <r>
    <s v="ORD10049"/>
    <s v="C002"/>
    <s v="P102"/>
    <d v="2025-09-08T00:00:00"/>
    <s v="19/09/2025"/>
    <s v="Priya Patel"/>
    <s v="Female"/>
    <s v="07/03/1995"/>
    <s v="Mumbai"/>
    <s v="West"/>
    <s v="WB"/>
    <s v="Electronics"/>
    <s v="Mouse"/>
    <n v="16"/>
    <n v="525"/>
    <n v="0.15"/>
    <n v="7140"/>
    <n v="4"/>
    <s v="Card"/>
    <s v="Aisha"/>
    <s v="priya.patel@company.com"/>
    <n v="9989580228"/>
    <s v="TechHub"/>
    <n v="24"/>
    <s v="Platinum"/>
    <d v="2027-09-19T00:00:00"/>
    <s v="March"/>
    <x v="0"/>
  </r>
  <r>
    <s v="ORD10150"/>
    <s v="C003"/>
    <s v="P102"/>
    <d v="2025-07-07T00:00:00"/>
    <s v="13/07/2025"/>
    <s v="Rohit Singh"/>
    <s v="Male"/>
    <s v="10/05/1982"/>
    <s v="Delhi"/>
    <s v="North"/>
    <s v="DL"/>
    <s v="Electronics"/>
    <s v="Mouse"/>
    <n v="6"/>
    <n v="525"/>
    <n v="0.1"/>
    <n v="2835"/>
    <n v="4"/>
    <s v="Cash"/>
    <s v="Rahul"/>
    <s v="rohit.singh@company.com"/>
    <n v="9110269572"/>
    <s v="TechHub"/>
    <n v="24"/>
    <s v="Gold"/>
    <d v="2027-07-13T00:00:00"/>
    <s v="May"/>
    <x v="0"/>
  </r>
  <r>
    <s v="ORD10151"/>
    <s v="C010"/>
    <s v="P201"/>
    <d v="2026-05-03T00:00:00"/>
    <s v="15/05/2026"/>
    <s v="Pooja Shah"/>
    <s v="Female"/>
    <s v="16/09/1994"/>
    <s v="Bengaluru"/>
    <s v="South"/>
    <s v="WB"/>
    <s v="Home Appliances"/>
    <s v="Mixer"/>
    <n v="20"/>
    <n v="2625"/>
    <n v="0.1"/>
    <n v="47250"/>
    <n v="4"/>
    <s v="Upi"/>
    <s v="Rahul"/>
    <s v="pooja.shah@company.com"/>
    <n v="9745972422"/>
    <s v="Global Trade"/>
    <n v="6"/>
    <s v="Silver"/>
    <d v="2026-11-15T00:00:00"/>
    <s v="September"/>
    <x v="0"/>
  </r>
  <r>
    <s v="ORD10152"/>
    <s v="C008"/>
    <s v="P302"/>
    <d v="2025-11-29T00:00:00"/>
    <s v="07/12/2025"/>
    <s v="Kavya Nair"/>
    <s v="Female"/>
    <s v="01/08/1976"/>
    <s v="Hyderabad"/>
    <s v="South"/>
    <s v="WB"/>
    <s v="Stationery"/>
    <s v="Pen"/>
    <n v="2"/>
    <n v="15"/>
    <n v="0.1"/>
    <n v="27"/>
    <n v="1"/>
    <s v="Netbanking"/>
    <s v="Neha"/>
    <s v="kavya.nair@company.com"/>
    <n v="9123712257"/>
    <s v="Prime Supplies"/>
    <n v="12"/>
    <s v="Silver"/>
    <d v="2026-12-07T00:00:00"/>
    <s v="August"/>
    <x v="1"/>
  </r>
  <r>
    <s v="ORD10153"/>
    <s v="C002"/>
    <s v="P202"/>
    <d v="2025-07-14T00:00:00"/>
    <s v="19/07/2025"/>
    <s v="Priya Patel"/>
    <s v="Female"/>
    <s v="07/03/1995"/>
    <s v="Mumbai"/>
    <s v="West"/>
    <s v="WB"/>
    <s v="Home Appliances"/>
    <s v="Iron"/>
    <n v="16"/>
    <n v="1650"/>
    <n v="0.2"/>
    <n v="21120"/>
    <n v="2"/>
    <s v="Upi"/>
    <s v="Karan"/>
    <s v="priya.patel@company.com"/>
    <n v="9665525431"/>
    <s v="Global Trade"/>
    <n v="24"/>
    <s v="Platinum"/>
    <d v="2027-07-19T00:00:00"/>
    <s v="March"/>
    <x v="1"/>
  </r>
  <r>
    <s v="ORD10154"/>
    <s v="C005"/>
    <s v="P104"/>
    <d v="2025-03-13T00:00:00"/>
    <s v="23/03/2025"/>
    <s v="Vikas Mehta"/>
    <s v="Male"/>
    <s v="03/08/1991"/>
    <s v="Mumbai"/>
    <s v="West"/>
    <s v="DL"/>
    <s v="Electronics"/>
    <s v="Monitor"/>
    <n v="15"/>
    <n v="9000"/>
    <n v="0"/>
    <n v="135000"/>
    <n v="1"/>
    <s v="Card"/>
    <s v="Aisha"/>
    <s v="vikas.mehta@company.com"/>
    <n v="9682415134"/>
    <s v="Global Trade"/>
    <n v="24"/>
    <s v="Gold"/>
    <d v="2027-03-23T00:00:00"/>
    <s v="August"/>
    <x v="1"/>
  </r>
  <r>
    <s v="ORD10155"/>
    <s v="C008"/>
    <s v="P301"/>
    <d v="2025-07-22T00:00:00"/>
    <s v="23/07/2025"/>
    <s v="Kavya Nair"/>
    <s v="Female"/>
    <s v="01/08/1976"/>
    <s v="Hyderabad"/>
    <s v="South"/>
    <s v="WB"/>
    <s v="Stationery"/>
    <s v="Notebook"/>
    <n v="14"/>
    <n v="45"/>
    <n v="0.15"/>
    <n v="535.5"/>
    <n v="4"/>
    <s v="Upi"/>
    <s v="Rahul"/>
    <s v="kavya.nair@company.com"/>
    <n v="9808223872"/>
    <s v="ABC Corp"/>
    <n v="12"/>
    <s v="Silver"/>
    <d v="2026-07-23T00:00:00"/>
    <s v="August"/>
    <x v="0"/>
  </r>
  <r>
    <s v="ORD10156"/>
    <s v="C010"/>
    <s v="P103"/>
    <d v="2025-07-21T00:00:00"/>
    <s v="24/07/2025"/>
    <s v="Pooja Shah"/>
    <s v="Female"/>
    <s v="16/09/1994"/>
    <s v="Bengaluru"/>
    <s v="South"/>
    <s v="WB"/>
    <s v="Electronics"/>
    <s v="Keyboard"/>
    <n v="9"/>
    <n v="900"/>
    <n v="0.05"/>
    <n v="7695"/>
    <n v="5"/>
    <s v="Netbanking"/>
    <s v="Aisha"/>
    <s v="pooja.shah@company.com"/>
    <n v="9193549730"/>
    <s v="TechHub"/>
    <n v="6"/>
    <s v="Silver"/>
    <d v="2026-01-24T00:00:00"/>
    <s v="September"/>
    <x v="0"/>
  </r>
  <r>
    <s v="ORD10157"/>
    <s v="C005"/>
    <s v="P103"/>
    <d v="2025-07-19T00:00:00"/>
    <s v="29/07/2025"/>
    <s v="Vikas Mehta"/>
    <s v="Male"/>
    <s v="03/08/1991"/>
    <s v="Mumbai"/>
    <s v="West"/>
    <s v="DL"/>
    <s v="Electronics"/>
    <s v="Keyboard"/>
    <n v="3"/>
    <n v="900"/>
    <n v="0.1"/>
    <n v="2430"/>
    <n v="2"/>
    <s v="Card"/>
    <s v="Karan"/>
    <s v="vikas.mehta@company.com"/>
    <n v="9520617130"/>
    <s v="TechHub"/>
    <n v="6"/>
    <s v="Gold"/>
    <d v="2026-01-29T00:00:00"/>
    <s v="August"/>
    <x v="1"/>
  </r>
  <r>
    <s v="ORD10158"/>
    <s v="C001"/>
    <s v="P301"/>
    <d v="2025-04-10T00:00:00"/>
    <s v="12/04/2025"/>
    <s v="Amit Sharma"/>
    <s v="Male"/>
    <s v="09/08/1991"/>
    <s v="Pune"/>
    <s v="West"/>
    <s v="RJ"/>
    <s v="Stationery"/>
    <s v="Notebook"/>
    <n v="2"/>
    <n v="45"/>
    <n v="0.1"/>
    <n v="81"/>
    <n v="2"/>
    <s v="Upi"/>
    <s v="Aisha"/>
    <s v="amit.sharma@company.com"/>
    <n v="9264578122"/>
    <s v="ABC Corp"/>
    <n v="12"/>
    <s v="Silver"/>
    <d v="2026-04-12T00:00:00"/>
    <s v="August"/>
    <x v="1"/>
  </r>
  <r>
    <s v="ORD10159"/>
    <s v="C009"/>
    <s v="P201"/>
    <d v="2026-05-13T00:00:00"/>
    <s v="23/05/2026"/>
    <s v="Mohit Verma"/>
    <s v="Male"/>
    <s v="13/04/1976"/>
    <s v="Delhi"/>
    <s v="North"/>
    <s v="KA"/>
    <s v="Home Appliances"/>
    <s v="Mixer"/>
    <n v="9"/>
    <n v="2625"/>
    <n v="0.2"/>
    <n v="18900"/>
    <n v="1"/>
    <s v="Netbanking"/>
    <s v="Ritika"/>
    <s v="mohit.verma@company.com"/>
    <n v="9275071213"/>
    <s v="Global Trade"/>
    <n v="6"/>
    <s v="Platinum"/>
    <d v="2026-11-23T00:00:00"/>
    <s v="April"/>
    <x v="1"/>
  </r>
  <r>
    <s v="ORD10160"/>
    <s v="C005"/>
    <s v="P101"/>
    <d v="2026-03-13T00:00:00"/>
    <s v="16/03/2026"/>
    <s v="Vikas Mehta"/>
    <s v="Male"/>
    <s v="03/08/1991"/>
    <s v="Mumbai"/>
    <s v="West"/>
    <s v="DL"/>
    <s v="Electronics"/>
    <s v="Laptop"/>
    <n v="4"/>
    <n v="41250"/>
    <n v="0.05"/>
    <n v="156750"/>
    <n v="2"/>
    <s v="Cash"/>
    <s v="Karan"/>
    <s v="vikas.mehta@company.com"/>
    <n v="9715222543"/>
    <s v="TechHub"/>
    <n v="12"/>
    <s v="Gold"/>
    <d v="2027-03-16T00:00:00"/>
    <s v="August"/>
    <x v="1"/>
  </r>
  <r>
    <s v="ORD10161"/>
    <s v="C001"/>
    <s v="P102"/>
    <d v="2025-06-27T00:00:00"/>
    <s v="01/07/2025"/>
    <s v="Amit Sharma"/>
    <s v="Male"/>
    <s v="09/08/1991"/>
    <s v="Pune"/>
    <s v="West"/>
    <s v="RJ"/>
    <s v="Electronics"/>
    <s v="Mouse"/>
    <n v="11"/>
    <n v="525"/>
    <n v="0.2"/>
    <n v="4620"/>
    <n v="4"/>
    <s v="Cash"/>
    <s v="Karan"/>
    <s v="amit.sharma@company.com"/>
    <n v="9942010833"/>
    <s v="TechHub"/>
    <n v="24"/>
    <s v="Silver"/>
    <d v="2027-07-01T00:00:00"/>
    <s v="August"/>
    <x v="0"/>
  </r>
  <r>
    <s v="ORD10162"/>
    <s v="C004"/>
    <s v="P103"/>
    <d v="2025-11-19T00:00:00"/>
    <s v="29/11/2025"/>
    <s v="Anita Gupta"/>
    <s v="Female"/>
    <s v="16/01/2002"/>
    <s v="Pune"/>
    <s v="West"/>
    <s v="WB"/>
    <s v="Electronics"/>
    <s v="Keyboard"/>
    <n v="16"/>
    <n v="900"/>
    <n v="0.05"/>
    <n v="13680"/>
    <n v="1"/>
    <s v="Card"/>
    <s v="Ritika"/>
    <s v="anita.gupta@company.com"/>
    <n v="9347718932"/>
    <s v="TechHub"/>
    <n v="6"/>
    <s v="Gold"/>
    <d v="2026-05-29T00:00:00"/>
    <s v="January"/>
    <x v="1"/>
  </r>
  <r>
    <s v="ORD10163"/>
    <s v="C004"/>
    <s v="P103"/>
    <d v="2025-09-15T00:00:00"/>
    <s v="17/09/2025"/>
    <s v="Anita Gupta"/>
    <s v="Female"/>
    <s v="16/01/2002"/>
    <s v="Pune"/>
    <s v="West"/>
    <s v="WB"/>
    <s v="Electronics"/>
    <s v="Keyboard"/>
    <n v="1"/>
    <n v="900"/>
    <n v="0.05"/>
    <n v="855"/>
    <n v="4"/>
    <s v="Card"/>
    <s v="Ritika"/>
    <s v="anita.gupta@company.com"/>
    <n v="9274808844"/>
    <s v="TechHub"/>
    <n v="6"/>
    <s v="Gold"/>
    <d v="2026-03-17T00:00:00"/>
    <s v="January"/>
    <x v="0"/>
  </r>
  <r>
    <s v="ORD10164"/>
    <s v="C001"/>
    <s v="P301"/>
    <d v="2025-11-04T00:00:00"/>
    <s v="13/11/2025"/>
    <s v="Amit Sharma"/>
    <s v="Male"/>
    <s v="09/08/1991"/>
    <s v="Pune"/>
    <s v="West"/>
    <s v="RJ"/>
    <s v="Stationery"/>
    <s v="Notebook"/>
    <n v="7"/>
    <n v="45"/>
    <n v="0"/>
    <n v="315"/>
    <n v="2"/>
    <s v="Upi"/>
    <s v="Karan"/>
    <s v="amit.sharma@company.com"/>
    <n v="9798996063"/>
    <s v="ABC Corp"/>
    <n v="12"/>
    <s v="Silver"/>
    <d v="2026-11-13T00:00:00"/>
    <s v="August"/>
    <x v="1"/>
  </r>
  <r>
    <s v="ORD10165"/>
    <s v="C004"/>
    <s v="P202"/>
    <d v="2025-01-03T00:00:00"/>
    <s v="07/01/2025"/>
    <s v="Anita Gupta"/>
    <s v="Female"/>
    <s v="16/01/2002"/>
    <s v="Pune"/>
    <s v="West"/>
    <s v="WB"/>
    <s v="Home Appliances"/>
    <s v="Iron"/>
    <n v="14"/>
    <n v="1650"/>
    <n v="0"/>
    <n v="23100"/>
    <n v="2"/>
    <s v="Upi"/>
    <s v="Ritika"/>
    <s v="anita.gupta@company.com"/>
    <n v="9145200936"/>
    <s v="Global Trade"/>
    <n v="24"/>
    <s v="Gold"/>
    <d v="2027-01-07T00:00:00"/>
    <s v="January"/>
    <x v="1"/>
  </r>
  <r>
    <s v="ORD10166"/>
    <s v="C004"/>
    <s v="P201"/>
    <d v="2025-06-19T00:00:00"/>
    <s v="27/06/2025"/>
    <s v="Anita Gupta"/>
    <s v="Female"/>
    <s v="16/01/2002"/>
    <s v="Pune"/>
    <s v="West"/>
    <s v="WB"/>
    <s v="Home Appliances"/>
    <s v="Mixer"/>
    <n v="15"/>
    <n v="2625"/>
    <n v="0.15"/>
    <n v="33468.75"/>
    <n v="2"/>
    <s v="Upi"/>
    <s v="Aisha"/>
    <s v="anita.gupta@company.com"/>
    <n v="9697654418"/>
    <s v="Global Trade"/>
    <n v="6"/>
    <s v="Gold"/>
    <d v="2025-12-27T00:00:00"/>
    <s v="January"/>
    <x v="1"/>
  </r>
  <r>
    <s v="ORD10167"/>
    <s v="C003"/>
    <s v="P201"/>
    <d v="2025-03-26T00:00:00"/>
    <s v="06/04/2025"/>
    <s v="Rohit Singh"/>
    <s v="Male"/>
    <s v="10/05/1982"/>
    <s v="Delhi"/>
    <s v="North"/>
    <s v="DL"/>
    <s v="Home Appliances"/>
    <s v="Mixer"/>
    <n v="19"/>
    <n v="2625"/>
    <n v="0.05"/>
    <n v="47381.25"/>
    <n v="2"/>
    <s v="Cash"/>
    <s v="Neha"/>
    <s v="rohit.singh@company.com"/>
    <n v="9457923119"/>
    <s v="Global Trade"/>
    <n v="6"/>
    <s v="Gold"/>
    <d v="2025-10-06T00:00:00"/>
    <s v="May"/>
    <x v="1"/>
  </r>
  <r>
    <s v="ORD10168"/>
    <s v="C001"/>
    <s v="P101"/>
    <d v="2025-07-06T00:00:00"/>
    <s v="10/07/2025"/>
    <s v="Amit Sharma"/>
    <s v="Male"/>
    <s v="09/08/1991"/>
    <s v="Pune"/>
    <s v="West"/>
    <s v="RJ"/>
    <s v="Electronics"/>
    <s v="Laptop"/>
    <n v="12"/>
    <n v="41250"/>
    <n v="0.05"/>
    <n v="470250"/>
    <n v="4"/>
    <s v="Card"/>
    <s v="Aisha"/>
    <s v="amit.sharma@company.com"/>
    <n v="9236111271"/>
    <s v="TechHub"/>
    <n v="12"/>
    <s v="Silver"/>
    <d v="2026-07-10T00:00:00"/>
    <s v="August"/>
    <x v="3"/>
  </r>
  <r>
    <s v="ORD10169"/>
    <s v="C010"/>
    <s v="P103"/>
    <d v="2026-01-18T00:00:00"/>
    <s v="26/01/2026"/>
    <s v="Pooja Shah"/>
    <s v="Female"/>
    <s v="16/09/1994"/>
    <s v="Bengaluru"/>
    <s v="South"/>
    <s v="WB"/>
    <s v="Electronics"/>
    <s v="Keyboard"/>
    <n v="6"/>
    <n v="900"/>
    <n v="0.1"/>
    <n v="4860"/>
    <n v="5"/>
    <s v="Netbanking"/>
    <s v="Neha"/>
    <s v="pooja.shah@company.com"/>
    <n v="9402569141"/>
    <s v="TechHub"/>
    <n v="6"/>
    <s v="Silver"/>
    <d v="2026-07-26T00:00:00"/>
    <s v="September"/>
    <x v="0"/>
  </r>
  <r>
    <s v="ORD10170"/>
    <s v="C006"/>
    <s v="P203"/>
    <d v="2025-09-19T00:00:00"/>
    <s v="20/09/2025"/>
    <s v="Sneha Joshi"/>
    <s v="Female"/>
    <s v="04/04/1981"/>
    <s v="Pune"/>
    <s v="West"/>
    <s v="WB"/>
    <s v="Home Appliances"/>
    <s v="Microwave"/>
    <n v="1"/>
    <n v="6375"/>
    <n v="0"/>
    <n v="6375"/>
    <n v="1"/>
    <s v="Upi"/>
    <s v="Karan"/>
    <s v="sneha.joshi@company.com"/>
    <n v="9138184056"/>
    <s v="TechHub"/>
    <n v="24"/>
    <s v="Gold"/>
    <d v="2027-09-20T00:00:00"/>
    <s v="April"/>
    <x v="1"/>
  </r>
  <r>
    <s v="ORD10171"/>
    <s v="C003"/>
    <s v="P101"/>
    <d v="2026-04-01T00:00:00"/>
    <s v="07/04/2026"/>
    <s v="Rohit Singh"/>
    <s v="Male"/>
    <s v="10/05/1982"/>
    <s v="Delhi"/>
    <s v="North"/>
    <s v="DL"/>
    <s v="Electronics"/>
    <s v="Laptop"/>
    <n v="20"/>
    <n v="41250"/>
    <n v="0.1"/>
    <n v="742500"/>
    <n v="5"/>
    <s v="Netbanking"/>
    <s v="Karan"/>
    <s v="rohit.singh@company.com"/>
    <n v="9609598700"/>
    <s v="TechHub"/>
    <n v="12"/>
    <s v="Gold"/>
    <d v="2027-04-07T00:00:00"/>
    <s v="May"/>
    <x v="3"/>
  </r>
  <r>
    <s v="ORD10172"/>
    <s v="C005"/>
    <s v="P103"/>
    <d v="2025-10-28T00:00:00"/>
    <s v="29/10/2025"/>
    <s v="Vikas Mehta"/>
    <s v="Male"/>
    <s v="03/08/1991"/>
    <s v="Mumbai"/>
    <s v="West"/>
    <s v="DL"/>
    <s v="Electronics"/>
    <s v="Keyboard"/>
    <n v="8"/>
    <n v="900"/>
    <n v="0.15"/>
    <n v="6120"/>
    <n v="2"/>
    <s v="Upi"/>
    <s v="Neha"/>
    <s v="vikas.mehta@company.com"/>
    <n v="9385894399"/>
    <s v="TechHub"/>
    <n v="6"/>
    <s v="Gold"/>
    <d v="2026-04-29T00:00:00"/>
    <s v="August"/>
    <x v="1"/>
  </r>
  <r>
    <s v="ORD10173"/>
    <s v="C008"/>
    <s v="P201"/>
    <d v="2025-02-06T00:00:00"/>
    <s v="17/02/2025"/>
    <s v="Kavya Nair"/>
    <s v="Female"/>
    <s v="01/08/1976"/>
    <s v="Hyderabad"/>
    <s v="South"/>
    <s v="WB"/>
    <s v="Home Appliances"/>
    <s v="Mixer"/>
    <n v="19"/>
    <n v="2625"/>
    <n v="0.05"/>
    <n v="47381.25"/>
    <n v="4"/>
    <s v="Upi"/>
    <s v="Rahul"/>
    <s v="kavya.nair@company.com"/>
    <n v="9329448011"/>
    <s v="Global Trade"/>
    <n v="6"/>
    <s v="Silver"/>
    <d v="2025-08-17T00:00:00"/>
    <s v="August"/>
    <x v="0"/>
  </r>
  <r>
    <s v="ORD10174"/>
    <s v="C005"/>
    <s v="P303"/>
    <d v="2025-04-27T00:00:00"/>
    <s v="29/04/2025"/>
    <s v="Vikas Mehta"/>
    <s v="Male"/>
    <s v="03/08/1991"/>
    <s v="Mumbai"/>
    <s v="West"/>
    <s v="DL"/>
    <s v="Stationery"/>
    <s v="Marker"/>
    <n v="6"/>
    <n v="33.75"/>
    <n v="0.2"/>
    <n v="162"/>
    <n v="1"/>
    <s v="Card"/>
    <s v="Rahul"/>
    <s v="vikas.mehta@company.com"/>
    <n v="9889544104"/>
    <s v="TechHub"/>
    <n v="12"/>
    <s v="Gold"/>
    <d v="2026-04-29T00:00:00"/>
    <s v="August"/>
    <x v="1"/>
  </r>
  <r>
    <s v="ORD10175"/>
    <s v="C006"/>
    <s v="P303"/>
    <d v="2025-03-14T00:00:00"/>
    <s v="25/03/2025"/>
    <s v="Sneha Joshi"/>
    <s v="Female"/>
    <s v="04/04/1981"/>
    <s v="Pune"/>
    <s v="West"/>
    <s v="WB"/>
    <s v="Stationery"/>
    <s v="Marker"/>
    <n v="17"/>
    <n v="33.75"/>
    <n v="0.15"/>
    <n v="487.6875"/>
    <n v="5"/>
    <s v="Cash"/>
    <s v="Neha"/>
    <s v="sneha.joshi@company.com"/>
    <n v="9101861045"/>
    <s v="TechHub"/>
    <n v="12"/>
    <s v="Gold"/>
    <d v="2026-03-25T00:00:00"/>
    <s v="April"/>
    <x v="0"/>
  </r>
  <r>
    <s v="ORD10176"/>
    <s v="C008"/>
    <s v="P302"/>
    <d v="2025-07-04T00:00:00"/>
    <s v="16/07/2025"/>
    <s v="Kavya Nair"/>
    <s v="Female"/>
    <s v="01/08/1976"/>
    <s v="Hyderabad"/>
    <s v="South"/>
    <s v="WB"/>
    <s v="Stationery"/>
    <s v="Pen"/>
    <n v="19"/>
    <n v="15"/>
    <n v="0.05"/>
    <n v="270.75"/>
    <n v="4"/>
    <s v="Cash"/>
    <s v="Ritika"/>
    <s v="kavya.nair@company.com"/>
    <n v="9364712105"/>
    <s v="Prime Supplies"/>
    <n v="12"/>
    <s v="Silver"/>
    <d v="2026-07-16T00:00:00"/>
    <s v="August"/>
    <x v="0"/>
  </r>
  <r>
    <s v="ORD10177"/>
    <s v="C006"/>
    <s v="P302"/>
    <d v="2025-12-02T00:00:00"/>
    <s v="03/12/2025"/>
    <s v="Sneha Joshi"/>
    <s v="Female"/>
    <s v="04/04/1981"/>
    <s v="Pune"/>
    <s v="West"/>
    <s v="WB"/>
    <s v="Stationery"/>
    <s v="Pen"/>
    <n v="11"/>
    <n v="15"/>
    <n v="0"/>
    <n v="165"/>
    <n v="3"/>
    <s v="Netbanking"/>
    <s v="Rahul"/>
    <s v="sneha.joshi@company.com"/>
    <n v="9950206376"/>
    <s v="Prime Supplies"/>
    <n v="12"/>
    <s v="Gold"/>
    <d v="2026-12-03T00:00:00"/>
    <s v="April"/>
    <x v="0"/>
  </r>
  <r>
    <s v="ORD10178"/>
    <s v="C004"/>
    <s v="P301"/>
    <d v="2026-02-14T00:00:00"/>
    <s v="21/02/2026"/>
    <s v="Anita Gupta"/>
    <s v="Female"/>
    <s v="16/01/2002"/>
    <s v="Pune"/>
    <s v="West"/>
    <s v="WB"/>
    <s v="Stationery"/>
    <s v="Notebook"/>
    <n v="12"/>
    <n v="45"/>
    <n v="0"/>
    <n v="540"/>
    <n v="2"/>
    <s v="Netbanking"/>
    <s v="Rahul"/>
    <s v="anita.gupta@company.com"/>
    <n v="9235822094"/>
    <s v="ABC Corp"/>
    <n v="12"/>
    <s v="Gold"/>
    <d v="2027-02-21T00:00:00"/>
    <s v="January"/>
    <x v="1"/>
  </r>
  <r>
    <s v="ORD10179"/>
    <s v="C005"/>
    <s v="P303"/>
    <d v="2025-11-09T00:00:00"/>
    <s v="13/11/2025"/>
    <s v="Vikas Mehta"/>
    <s v="Male"/>
    <s v="03/08/1991"/>
    <s v="Mumbai"/>
    <s v="West"/>
    <s v="DL"/>
    <s v="Stationery"/>
    <s v="Marker"/>
    <n v="14"/>
    <n v="33.75"/>
    <n v="0.15"/>
    <n v="401.625"/>
    <n v="5"/>
    <s v="Upi"/>
    <s v="Neha"/>
    <s v="vikas.mehta@company.com"/>
    <n v="9311021344"/>
    <s v="TechHub"/>
    <n v="12"/>
    <s v="Gold"/>
    <d v="2026-11-13T00:00:00"/>
    <s v="August"/>
    <x v="0"/>
  </r>
  <r>
    <s v="ORD10180"/>
    <s v="C008"/>
    <s v="P102"/>
    <d v="2025-02-07T00:00:00"/>
    <s v="19/02/2025"/>
    <s v="Kavya Nair"/>
    <s v="Female"/>
    <s v="01/08/1976"/>
    <s v="Hyderabad"/>
    <s v="South"/>
    <s v="WB"/>
    <s v="Electronics"/>
    <s v="Mouse"/>
    <n v="15"/>
    <n v="525"/>
    <n v="0.1"/>
    <n v="7087.5"/>
    <n v="3"/>
    <s v="Netbanking"/>
    <s v="Rahul"/>
    <s v="kavya.nair@company.com"/>
    <n v="9891358505"/>
    <s v="TechHub"/>
    <n v="24"/>
    <s v="Silver"/>
    <d v="2027-02-19T00:00:00"/>
    <s v="August"/>
    <x v="0"/>
  </r>
  <r>
    <s v="ORD10181"/>
    <s v="C002"/>
    <s v="P203"/>
    <d v="2025-05-26T00:00:00"/>
    <s v="30/05/2025"/>
    <s v="Priya Patel"/>
    <s v="Female"/>
    <s v="07/03/1995"/>
    <s v="Mumbai"/>
    <s v="West"/>
    <s v="WB"/>
    <s v="Home Appliances"/>
    <s v="Microwave"/>
    <n v="19"/>
    <n v="6375"/>
    <n v="0.15"/>
    <n v="102956.25"/>
    <n v="2"/>
    <s v="Cash"/>
    <s v="Ritika"/>
    <s v="priya.patel@company.com"/>
    <n v="9910085332"/>
    <s v="TechHub"/>
    <n v="24"/>
    <s v="Platinum"/>
    <d v="2027-05-30T00:00:00"/>
    <s v="March"/>
    <x v="1"/>
  </r>
  <r>
    <s v="ORD10182"/>
    <s v="C006"/>
    <s v="P301"/>
    <d v="2025-10-04T00:00:00"/>
    <s v="06/10/2025"/>
    <s v="Sneha Joshi"/>
    <s v="Female"/>
    <s v="04/04/1981"/>
    <s v="Pune"/>
    <s v="West"/>
    <s v="WB"/>
    <s v="Stationery"/>
    <s v="Notebook"/>
    <n v="19"/>
    <n v="45"/>
    <n v="0.2"/>
    <n v="684"/>
    <n v="4"/>
    <s v="Card"/>
    <s v="Rahul"/>
    <s v="sneha.joshi@company.com"/>
    <n v="9756908023"/>
    <s v="ABC Corp"/>
    <n v="12"/>
    <s v="Gold"/>
    <d v="2026-10-06T00:00:00"/>
    <s v="April"/>
    <x v="0"/>
  </r>
  <r>
    <s v="ORD10183"/>
    <s v="C002"/>
    <s v="P303"/>
    <d v="2025-05-15T00:00:00"/>
    <s v="26/05/2025"/>
    <s v="Priya Patel"/>
    <s v="Female"/>
    <s v="07/03/1995"/>
    <s v="Mumbai"/>
    <s v="West"/>
    <s v="WB"/>
    <s v="Stationery"/>
    <s v="Marker"/>
    <n v="10"/>
    <n v="33.75"/>
    <n v="0.15"/>
    <n v="286.875"/>
    <n v="4"/>
    <s v="Cash"/>
    <s v="Karan"/>
    <s v="priya.patel@company.com"/>
    <n v="9645913247"/>
    <s v="TechHub"/>
    <n v="12"/>
    <s v="Platinum"/>
    <d v="2026-05-26T00:00:00"/>
    <s v="March"/>
    <x v="0"/>
  </r>
  <r>
    <s v="ORD10184"/>
    <s v="C009"/>
    <s v="P202"/>
    <d v="2025-06-14T00:00:00"/>
    <s v="23/06/2025"/>
    <s v="Mohit Verma"/>
    <s v="Male"/>
    <s v="13/04/1976"/>
    <s v="Delhi"/>
    <s v="North"/>
    <s v="KA"/>
    <s v="Home Appliances"/>
    <s v="Iron"/>
    <n v="7"/>
    <n v="1650"/>
    <n v="0.2"/>
    <n v="9240"/>
    <n v="5"/>
    <s v="Upi"/>
    <s v="Rahul"/>
    <s v="mohit.verma@company.com"/>
    <n v="9806914795"/>
    <s v="Global Trade"/>
    <n v="24"/>
    <s v="Platinum"/>
    <d v="2027-06-23T00:00:00"/>
    <s v="April"/>
    <x v="0"/>
  </r>
  <r>
    <s v="ORD10185"/>
    <s v="C002"/>
    <s v="P203"/>
    <d v="2025-04-22T00:00:00"/>
    <s v="04/05/2025"/>
    <s v="Priya Patel"/>
    <s v="Female"/>
    <s v="07/03/1995"/>
    <s v="Mumbai"/>
    <s v="West"/>
    <s v="WB"/>
    <s v="Home Appliances"/>
    <s v="Microwave"/>
    <n v="20"/>
    <n v="6375"/>
    <n v="0.2"/>
    <n v="102000"/>
    <n v="4"/>
    <s v="Netbanking"/>
    <s v="Ritika"/>
    <s v="priya.patel@company.com"/>
    <n v="9276222829"/>
    <s v="TechHub"/>
    <n v="24"/>
    <s v="Platinum"/>
    <d v="2027-05-04T00:00:00"/>
    <s v="March"/>
    <x v="2"/>
  </r>
  <r>
    <s v="ORD10186"/>
    <s v="C006"/>
    <s v="P202"/>
    <d v="2025-01-22T00:00:00"/>
    <s v="24/01/2025"/>
    <s v="Sneha Joshi"/>
    <s v="Female"/>
    <s v="04/04/1981"/>
    <s v="Pune"/>
    <s v="West"/>
    <s v="WB"/>
    <s v="Home Appliances"/>
    <s v="Iron"/>
    <n v="10"/>
    <n v="1650"/>
    <n v="0.05"/>
    <n v="15675"/>
    <n v="2"/>
    <s v="Netbanking"/>
    <s v="Rahul"/>
    <s v="sneha.joshi@company.com"/>
    <n v="9533835528"/>
    <s v="Global Trade"/>
    <n v="24"/>
    <s v="Gold"/>
    <d v="2027-01-24T00:00:00"/>
    <s v="April"/>
    <x v="1"/>
  </r>
  <r>
    <s v="ORD10187"/>
    <s v="C003"/>
    <s v="P301"/>
    <d v="2025-12-16T00:00:00"/>
    <s v="26/12/2025"/>
    <s v="Rohit Singh"/>
    <s v="Male"/>
    <s v="10/05/1982"/>
    <s v="Delhi"/>
    <s v="North"/>
    <s v="DL"/>
    <s v="Stationery"/>
    <s v="Notebook"/>
    <n v="15"/>
    <n v="45"/>
    <n v="0.2"/>
    <n v="540"/>
    <n v="1"/>
    <s v="Card"/>
    <s v="Ritika"/>
    <s v="rohit.singh@company.com"/>
    <n v="9654885820"/>
    <s v="ABC Corp"/>
    <n v="12"/>
    <s v="Gold"/>
    <d v="2026-12-26T00:00:00"/>
    <s v="May"/>
    <x v="1"/>
  </r>
  <r>
    <s v="ORD10188"/>
    <s v="C005"/>
    <s v="P201"/>
    <d v="2025-06-24T00:00:00"/>
    <s v="28/06/2025"/>
    <s v="Vikas Mehta"/>
    <s v="Male"/>
    <s v="03/08/1991"/>
    <s v="Mumbai"/>
    <s v="West"/>
    <s v="DL"/>
    <s v="Home Appliances"/>
    <s v="Mixer"/>
    <n v="18"/>
    <n v="2625"/>
    <n v="0.05"/>
    <n v="44887.5"/>
    <n v="1"/>
    <s v="Card"/>
    <s v="Rahul"/>
    <s v="vikas.mehta@company.com"/>
    <n v="9456029544"/>
    <s v="Global Trade"/>
    <n v="6"/>
    <s v="Gold"/>
    <d v="2025-12-28T00:00:00"/>
    <s v="August"/>
    <x v="1"/>
  </r>
  <r>
    <s v="ORD10189"/>
    <s v="C001"/>
    <s v="P104"/>
    <d v="2026-05-12T00:00:00"/>
    <s v="22/05/2026"/>
    <s v="Amit Sharma"/>
    <s v="Male"/>
    <s v="09/08/1991"/>
    <s v="Pune"/>
    <s v="West"/>
    <s v="RJ"/>
    <s v="Electronics"/>
    <s v="Monitor"/>
    <n v="6"/>
    <n v="9000"/>
    <n v="0.05"/>
    <n v="51300"/>
    <n v="1"/>
    <s v="Netbanking"/>
    <s v="Rahul"/>
    <s v="amit.sharma@company.com"/>
    <n v="9914571493"/>
    <s v="Global Trade"/>
    <n v="24"/>
    <s v="Silver"/>
    <d v="2028-05-22T00:00:00"/>
    <s v="August"/>
    <x v="1"/>
  </r>
  <r>
    <s v="ORD10190"/>
    <s v="C001"/>
    <s v="P302"/>
    <d v="2026-02-14T00:00:00"/>
    <s v="16/02/2026"/>
    <s v="Amit Sharma"/>
    <s v="Male"/>
    <s v="09/08/1991"/>
    <s v="Pune"/>
    <s v="West"/>
    <s v="RJ"/>
    <s v="Stationery"/>
    <s v="Pen"/>
    <n v="19"/>
    <n v="15"/>
    <n v="0.1"/>
    <n v="256.5"/>
    <n v="2"/>
    <s v="Netbanking"/>
    <s v="Ritika"/>
    <s v="amit.sharma@company.com"/>
    <n v="9270726986"/>
    <s v="Prime Supplies"/>
    <n v="12"/>
    <s v="Silver"/>
    <d v="2027-02-16T00:00:00"/>
    <s v="August"/>
    <x v="1"/>
  </r>
  <r>
    <s v="ORD10191"/>
    <s v="C005"/>
    <s v="P202"/>
    <d v="2026-05-13T00:00:00"/>
    <s v="20/05/2026"/>
    <s v="Vikas Mehta"/>
    <s v="Male"/>
    <s v="03/08/1991"/>
    <s v="Mumbai"/>
    <s v="West"/>
    <s v="DL"/>
    <s v="Home Appliances"/>
    <s v="Iron"/>
    <n v="7"/>
    <n v="1650"/>
    <n v="0"/>
    <n v="11550"/>
    <n v="1"/>
    <s v="Card"/>
    <s v="Neha"/>
    <s v="vikas.mehta@company.com"/>
    <n v="9570080664"/>
    <s v="Global Trade"/>
    <n v="24"/>
    <s v="Gold"/>
    <d v="2028-05-20T00:00:00"/>
    <s v="August"/>
    <x v="1"/>
  </r>
  <r>
    <s v="ORD10192"/>
    <s v="C001"/>
    <s v="P104"/>
    <d v="2025-11-16T00:00:00"/>
    <s v="20/11/2025"/>
    <s v="Amit Sharma"/>
    <s v="Male"/>
    <s v="09/08/1991"/>
    <s v="Pune"/>
    <s v="West"/>
    <s v="RJ"/>
    <s v="Electronics"/>
    <s v="Monitor"/>
    <n v="3"/>
    <n v="9000"/>
    <n v="0.05"/>
    <n v="25650"/>
    <n v="3"/>
    <s v="Card"/>
    <s v="Aisha"/>
    <s v="amit.sharma@company.com"/>
    <n v="9109009524"/>
    <s v="Global Trade"/>
    <n v="24"/>
    <s v="Silver"/>
    <d v="2027-11-20T00:00:00"/>
    <s v="August"/>
    <x v="0"/>
  </r>
  <r>
    <s v="ORD10193"/>
    <s v="C004"/>
    <s v="P202"/>
    <d v="2025-10-23T00:00:00"/>
    <s v="04/11/2025"/>
    <s v="Anita Gupta"/>
    <s v="Female"/>
    <s v="16/01/2002"/>
    <s v="Pune"/>
    <s v="West"/>
    <s v="WB"/>
    <s v="Home Appliances"/>
    <s v="Iron"/>
    <n v="16"/>
    <n v="1650"/>
    <n v="0"/>
    <n v="26400"/>
    <n v="5"/>
    <s v="Card"/>
    <s v="Ritika"/>
    <s v="anita.gupta@company.com"/>
    <n v="9701276770"/>
    <s v="Global Trade"/>
    <n v="24"/>
    <s v="Gold"/>
    <d v="2027-11-04T00:00:00"/>
    <s v="January"/>
    <x v="0"/>
  </r>
  <r>
    <s v="ORD10194"/>
    <s v="C006"/>
    <s v="P202"/>
    <d v="2025-02-16T00:00:00"/>
    <s v="18/02/2025"/>
    <s v="Sneha Joshi"/>
    <s v="Female"/>
    <s v="04/04/1981"/>
    <s v="Pune"/>
    <s v="West"/>
    <s v="WB"/>
    <s v="Home Appliances"/>
    <s v="Iron"/>
    <n v="8"/>
    <n v="1650"/>
    <n v="0.05"/>
    <n v="12540"/>
    <n v="2"/>
    <s v="Upi"/>
    <s v="Karan"/>
    <s v="sneha.joshi@company.com"/>
    <n v="9298278507"/>
    <s v="Global Trade"/>
    <n v="24"/>
    <s v="Gold"/>
    <d v="2027-02-18T00:00:00"/>
    <s v="April"/>
    <x v="1"/>
  </r>
  <r>
    <s v="ORD10195"/>
    <s v="C006"/>
    <s v="P202"/>
    <d v="2025-12-11T00:00:00"/>
    <s v="14/12/2025"/>
    <s v="Sneha Joshi"/>
    <s v="Female"/>
    <s v="04/04/1981"/>
    <s v="Pune"/>
    <s v="West"/>
    <s v="WB"/>
    <s v="Home Appliances"/>
    <s v="Iron"/>
    <n v="10"/>
    <n v="1650"/>
    <n v="0.1"/>
    <n v="14850"/>
    <n v="5"/>
    <s v="Netbanking"/>
    <s v="Neha"/>
    <s v="sneha.joshi@company.com"/>
    <n v="9895908093"/>
    <s v="Global Trade"/>
    <n v="24"/>
    <s v="Gold"/>
    <d v="2027-12-14T00:00:00"/>
    <s v="April"/>
    <x v="0"/>
  </r>
  <r>
    <s v="ORD10196"/>
    <s v="C007"/>
    <s v="P302"/>
    <d v="2025-04-28T00:00:00"/>
    <s v="09/05/2025"/>
    <s v="Arjun Rao"/>
    <s v="Male"/>
    <s v="07/02/1988"/>
    <s v="Hyderabad"/>
    <s v="South"/>
    <s v="RJ"/>
    <s v="Stationery"/>
    <s v="Pen"/>
    <n v="7"/>
    <n v="15"/>
    <n v="0.1"/>
    <n v="94.5"/>
    <n v="4"/>
    <s v="Card"/>
    <s v="Aisha"/>
    <s v="arjun.rao@company.com"/>
    <n v="9734108795"/>
    <s v="Prime Supplies"/>
    <n v="12"/>
    <s v="Silver"/>
    <d v="2026-05-09T00:00:00"/>
    <s v="February"/>
    <x v="0"/>
  </r>
  <r>
    <s v="ORD10197"/>
    <s v="C005"/>
    <s v="P203"/>
    <d v="2026-01-11T00:00:00"/>
    <s v="14/01/2026"/>
    <s v="Vikas Mehta"/>
    <s v="Male"/>
    <s v="03/08/1991"/>
    <s v="Mumbai"/>
    <s v="West"/>
    <s v="DL"/>
    <s v="Home Appliances"/>
    <s v="Microwave"/>
    <n v="19"/>
    <n v="6375"/>
    <n v="0.2"/>
    <n v="96900"/>
    <n v="3"/>
    <s v="Netbanking"/>
    <s v="Aisha"/>
    <s v="vikas.mehta@company.com"/>
    <n v="9799597413"/>
    <s v="TechHub"/>
    <n v="24"/>
    <s v="Gold"/>
    <d v="2028-01-14T00:00:00"/>
    <s v="August"/>
    <x v="2"/>
  </r>
  <r>
    <s v="ORD10198"/>
    <s v="C002"/>
    <s v="P301"/>
    <d v="2025-03-01T00:00:00"/>
    <s v="06/03/2025"/>
    <s v="Priya Patel"/>
    <s v="Female"/>
    <s v="07/03/1995"/>
    <s v="Mumbai"/>
    <s v="West"/>
    <s v="WB"/>
    <s v="Stationery"/>
    <s v="Notebook"/>
    <n v="16"/>
    <n v="45"/>
    <n v="0"/>
    <n v="720"/>
    <n v="2"/>
    <s v="Netbanking"/>
    <s v="Neha"/>
    <s v="priya.patel@company.com"/>
    <n v="9688987266"/>
    <s v="ABC Corp"/>
    <n v="12"/>
    <s v="Platinum"/>
    <d v="2026-03-06T00:00:00"/>
    <s v="March"/>
    <x v="1"/>
  </r>
  <r>
    <s v="ORD10199"/>
    <s v="C005"/>
    <s v="P201"/>
    <d v="2026-04-15T00:00:00"/>
    <s v="27/04/2026"/>
    <s v="Vikas Mehta"/>
    <s v="Male"/>
    <s v="03/08/1991"/>
    <s v="Mumbai"/>
    <s v="West"/>
    <s v="DL"/>
    <s v="Home Appliances"/>
    <s v="Mixer"/>
    <n v="18"/>
    <n v="2625"/>
    <n v="0.05"/>
    <n v="44887.5"/>
    <n v="1"/>
    <s v="Upi"/>
    <s v="Neha"/>
    <s v="vikas.mehta@company.com"/>
    <n v="9867169037"/>
    <s v="Global Trade"/>
    <n v="6"/>
    <s v="Gold"/>
    <d v="2026-10-27T00:00:00"/>
    <s v="August"/>
    <x v="1"/>
  </r>
  <r>
    <s v="ORD10200"/>
    <s v="C002"/>
    <s v="P101"/>
    <d v="2025-02-20T00:00:00"/>
    <s v="01/03/2025"/>
    <s v="Priya Patel"/>
    <s v="Female"/>
    <s v="07/03/1995"/>
    <s v="Mumbai"/>
    <s v="West"/>
    <s v="WB"/>
    <s v="Electronics"/>
    <s v="Laptop"/>
    <n v="16"/>
    <n v="41250"/>
    <n v="0"/>
    <n v="660000"/>
    <n v="1"/>
    <s v="Card"/>
    <s v="Aisha"/>
    <s v="priya.patel@company.com"/>
    <n v="9485547425"/>
    <s v="TechHub"/>
    <n v="12"/>
    <s v="Platinum"/>
    <d v="2026-03-01T00:00:00"/>
    <s v="March"/>
    <x v="1"/>
  </r>
  <r>
    <s v="ORD10201"/>
    <s v="C005"/>
    <s v="P103"/>
    <d v="2025-02-06T00:00:00"/>
    <s v="09/02/2025"/>
    <s v="Vikas Mehta"/>
    <s v="Male"/>
    <s v="03/08/1991"/>
    <s v="Mumbai"/>
    <s v="West"/>
    <s v="DL"/>
    <s v="Electronics"/>
    <s v="Keyboard"/>
    <n v="18"/>
    <n v="900"/>
    <n v="0.15"/>
    <n v="13770"/>
    <n v="2"/>
    <s v="Netbanking"/>
    <s v="Ritika"/>
    <s v="vikas.mehta@company.com"/>
    <n v="9889733076"/>
    <s v="TechHub"/>
    <n v="6"/>
    <s v="Gold"/>
    <d v="2025-08-09T00:00:00"/>
    <s v="August"/>
    <x v="1"/>
  </r>
  <r>
    <s v="ORD10202"/>
    <s v="C009"/>
    <s v="P303"/>
    <d v="2025-05-24T00:00:00"/>
    <s v="27/05/2025"/>
    <s v="Mohit Verma"/>
    <s v="Male"/>
    <s v="13/04/1976"/>
    <s v="Delhi"/>
    <s v="North"/>
    <s v="KA"/>
    <s v="Stationery"/>
    <s v="Marker"/>
    <n v="2"/>
    <n v="33.75"/>
    <n v="0.15"/>
    <n v="57.375"/>
    <n v="5"/>
    <s v="Cash"/>
    <s v="Aisha"/>
    <s v="mohit.verma@company.com"/>
    <n v="9145434449"/>
    <s v="TechHub"/>
    <n v="12"/>
    <s v="Platinum"/>
    <d v="2026-05-27T00:00:00"/>
    <s v="April"/>
    <x v="0"/>
  </r>
  <r>
    <s v="ORD10203"/>
    <s v="C010"/>
    <s v="P203"/>
    <d v="2026-01-06T00:00:00"/>
    <s v="12/01/2026"/>
    <s v="Pooja Shah"/>
    <s v="Female"/>
    <s v="16/09/1994"/>
    <s v="Bengaluru"/>
    <s v="South"/>
    <s v="WB"/>
    <s v="Home Appliances"/>
    <s v="Microwave"/>
    <n v="20"/>
    <n v="6375"/>
    <n v="0"/>
    <n v="127500"/>
    <n v="4"/>
    <s v="Netbanking"/>
    <s v="Aisha"/>
    <s v="pooja.shah@company.com"/>
    <n v="9598942148"/>
    <s v="TechHub"/>
    <n v="24"/>
    <s v="Silver"/>
    <d v="2028-01-12T00:00:00"/>
    <s v="September"/>
    <x v="3"/>
  </r>
  <r>
    <s v="ORD10204"/>
    <s v="C003"/>
    <s v="P201"/>
    <d v="2026-03-08T00:00:00"/>
    <s v="09/03/2026"/>
    <s v="Rohit Singh"/>
    <s v="Male"/>
    <s v="10/05/1982"/>
    <s v="Delhi"/>
    <s v="North"/>
    <s v="DL"/>
    <s v="Home Appliances"/>
    <s v="Mixer"/>
    <n v="6"/>
    <n v="2625"/>
    <n v="0.05"/>
    <n v="14962.5"/>
    <n v="1"/>
    <s v="Cash"/>
    <s v="Karan"/>
    <s v="rohit.singh@company.com"/>
    <n v="9599252705"/>
    <s v="Global Trade"/>
    <n v="6"/>
    <s v="Gold"/>
    <d v="2026-09-09T00:00:00"/>
    <s v="May"/>
    <x v="1"/>
  </r>
  <r>
    <s v="ORD10205"/>
    <s v="C004"/>
    <s v="P303"/>
    <d v="2025-10-05T00:00:00"/>
    <s v="09/10/2025"/>
    <s v="Anita Gupta"/>
    <s v="Female"/>
    <s v="16/01/2002"/>
    <s v="Pune"/>
    <s v="West"/>
    <s v="WB"/>
    <s v="Stationery"/>
    <s v="Marker"/>
    <n v="8"/>
    <n v="33.75"/>
    <n v="0.05"/>
    <n v="256.5"/>
    <n v="2"/>
    <s v="Cash"/>
    <s v="Rahul"/>
    <s v="anita.gupta@company.com"/>
    <n v="9626843681"/>
    <s v="TechHub"/>
    <n v="12"/>
    <s v="Gold"/>
    <d v="2026-10-09T00:00:00"/>
    <s v="January"/>
    <x v="1"/>
  </r>
  <r>
    <s v="ORD10206"/>
    <s v="C001"/>
    <s v="P202"/>
    <d v="2025-03-06T00:00:00"/>
    <s v="12/03/2025"/>
    <s v="Amit Sharma"/>
    <s v="Male"/>
    <s v="09/08/1991"/>
    <s v="Pune"/>
    <s v="West"/>
    <s v="RJ"/>
    <s v="Home Appliances"/>
    <s v="Iron"/>
    <n v="18"/>
    <n v="1650"/>
    <n v="0.15"/>
    <n v="25245"/>
    <n v="4"/>
    <s v="Card"/>
    <s v="Aisha"/>
    <s v="amit.sharma@company.com"/>
    <n v="9934933215"/>
    <s v="Global Trade"/>
    <n v="24"/>
    <s v="Silver"/>
    <d v="2027-03-12T00:00:00"/>
    <s v="August"/>
    <x v="0"/>
  </r>
  <r>
    <s v="ORD10207"/>
    <s v="C005"/>
    <s v="P102"/>
    <d v="2026-04-06T00:00:00"/>
    <s v="15/04/2026"/>
    <s v="Vikas Mehta"/>
    <s v="Male"/>
    <s v="03/08/1991"/>
    <s v="Mumbai"/>
    <s v="West"/>
    <s v="DL"/>
    <s v="Electronics"/>
    <s v="Mouse"/>
    <n v="18"/>
    <n v="525"/>
    <n v="0.15"/>
    <n v="8032.5"/>
    <n v="3"/>
    <s v="Card"/>
    <s v="Karan"/>
    <s v="vikas.mehta@company.com"/>
    <n v="9508025585"/>
    <s v="TechHub"/>
    <n v="24"/>
    <s v="Gold"/>
    <d v="2028-04-15T00:00:00"/>
    <s v="August"/>
    <x v="0"/>
  </r>
  <r>
    <s v="ORD10208"/>
    <s v="C001"/>
    <s v="P101"/>
    <d v="2026-01-17T00:00:00"/>
    <s v="20/01/2026"/>
    <s v="Amit Sharma"/>
    <s v="Male"/>
    <s v="09/08/1991"/>
    <s v="Pune"/>
    <s v="West"/>
    <s v="RJ"/>
    <s v="Electronics"/>
    <s v="Laptop"/>
    <n v="12"/>
    <n v="41250"/>
    <n v="0"/>
    <n v="495000"/>
    <n v="2"/>
    <s v="Upi"/>
    <s v="Rahul"/>
    <s v="amit.sharma@company.com"/>
    <n v="9364681052"/>
    <s v="TechHub"/>
    <n v="12"/>
    <s v="Silver"/>
    <d v="2027-01-20T00:00:00"/>
    <s v="August"/>
    <x v="1"/>
  </r>
  <r>
    <s v="ORD10209"/>
    <s v="C008"/>
    <s v="P104"/>
    <d v="2025-11-15T00:00:00"/>
    <s v="24/11/2025"/>
    <s v="Kavya Nair"/>
    <s v="Female"/>
    <s v="01/08/1976"/>
    <s v="Hyderabad"/>
    <s v="South"/>
    <s v="WB"/>
    <s v="Electronics"/>
    <s v="Monitor"/>
    <n v="7"/>
    <n v="9000"/>
    <n v="0.05"/>
    <n v="59850"/>
    <n v="3"/>
    <s v="Card"/>
    <s v="Karan"/>
    <s v="kavya.nair@company.com"/>
    <n v="9117102884"/>
    <s v="Global Trade"/>
    <n v="24"/>
    <s v="Silver"/>
    <d v="2027-11-24T00:00:00"/>
    <s v="August"/>
    <x v="2"/>
  </r>
  <r>
    <s v="ORD10210"/>
    <s v="C006"/>
    <s v="P104"/>
    <d v="2025-09-21T00:00:00"/>
    <s v="23/09/2025"/>
    <s v="Sneha Joshi"/>
    <s v="Female"/>
    <s v="04/04/1981"/>
    <s v="Pune"/>
    <s v="West"/>
    <s v="WB"/>
    <s v="Electronics"/>
    <s v="Monitor"/>
    <n v="8"/>
    <n v="9000"/>
    <n v="0.15"/>
    <n v="61200"/>
    <n v="4"/>
    <s v="Card"/>
    <s v="Rahul"/>
    <s v="sneha.joshi@company.com"/>
    <n v="9819453185"/>
    <s v="Global Trade"/>
    <n v="24"/>
    <s v="Gold"/>
    <d v="2027-09-23T00:00:00"/>
    <s v="April"/>
    <x v="2"/>
  </r>
  <r>
    <s v="ORD10211"/>
    <s v="C001"/>
    <s v="P201"/>
    <d v="2025-12-18T00:00:00"/>
    <s v="27/12/2025"/>
    <s v="Amit Sharma"/>
    <s v="Male"/>
    <s v="09/08/1991"/>
    <s v="Pune"/>
    <s v="West"/>
    <s v="RJ"/>
    <s v="Home Appliances"/>
    <s v="Mixer"/>
    <n v="19"/>
    <n v="2625"/>
    <n v="0.05"/>
    <n v="47381.25"/>
    <n v="3"/>
    <s v="Card"/>
    <s v="Aisha"/>
    <s v="amit.sharma@company.com"/>
    <n v="9511806701"/>
    <s v="Global Trade"/>
    <n v="6"/>
    <s v="Silver"/>
    <d v="2026-06-27T00:00:00"/>
    <s v="August"/>
    <x v="0"/>
  </r>
  <r>
    <s v="ORD10212"/>
    <s v="C006"/>
    <s v="P303"/>
    <d v="2025-02-06T00:00:00"/>
    <s v="16/02/2025"/>
    <s v="Sneha Joshi"/>
    <s v="Female"/>
    <s v="04/04/1981"/>
    <s v="Pune"/>
    <s v="West"/>
    <s v="WB"/>
    <s v="Stationery"/>
    <s v="Marker"/>
    <n v="7"/>
    <n v="33.75"/>
    <n v="0.05"/>
    <n v="224.4375"/>
    <n v="3"/>
    <s v="Card"/>
    <s v="Ritika"/>
    <s v="sneha.joshi@company.com"/>
    <n v="9875249891"/>
    <s v="TechHub"/>
    <n v="12"/>
    <s v="Gold"/>
    <d v="2026-02-16T00:00:00"/>
    <s v="April"/>
    <x v="0"/>
  </r>
  <r>
    <s v="ORD10213"/>
    <s v="C008"/>
    <s v="P301"/>
    <d v="2025-06-02T00:00:00"/>
    <s v="08/06/2025"/>
    <s v="Kavya Nair"/>
    <s v="Female"/>
    <s v="01/08/1976"/>
    <s v="Hyderabad"/>
    <s v="South"/>
    <s v="WB"/>
    <s v="Stationery"/>
    <s v="Notebook"/>
    <n v="3"/>
    <n v="45"/>
    <n v="0.15"/>
    <n v="114.75"/>
    <n v="3"/>
    <s v="Netbanking"/>
    <s v="Rahul"/>
    <s v="kavya.nair@company.com"/>
    <n v="9438232503"/>
    <s v="ABC Corp"/>
    <n v="12"/>
    <s v="Silver"/>
    <d v="2026-06-08T00:00:00"/>
    <s v="August"/>
    <x v="0"/>
  </r>
  <r>
    <s v="ORD10214"/>
    <s v="C010"/>
    <s v="P303"/>
    <d v="2026-04-22T00:00:00"/>
    <s v="04/05/2026"/>
    <s v="Pooja Shah"/>
    <s v="Female"/>
    <s v="16/09/1994"/>
    <s v="Bengaluru"/>
    <s v="South"/>
    <s v="WB"/>
    <s v="Stationery"/>
    <s v="Marker"/>
    <n v="19"/>
    <n v="33.75"/>
    <n v="0"/>
    <n v="641.25"/>
    <n v="2"/>
    <s v="Cash"/>
    <s v="Aisha"/>
    <s v="pooja.shah@company.com"/>
    <n v="9449953754"/>
    <s v="TechHub"/>
    <n v="12"/>
    <s v="Silver"/>
    <d v="2027-05-04T00:00:00"/>
    <s v="September"/>
    <x v="1"/>
  </r>
  <r>
    <s v="ORD10215"/>
    <s v="C002"/>
    <s v="P104"/>
    <d v="2026-03-06T00:00:00"/>
    <s v="16/03/2026"/>
    <s v="Priya Patel"/>
    <s v="Female"/>
    <s v="07/03/1995"/>
    <s v="Mumbai"/>
    <s v="West"/>
    <s v="WB"/>
    <s v="Electronics"/>
    <s v="Monitor"/>
    <n v="10"/>
    <n v="9000"/>
    <n v="0.05"/>
    <n v="85500"/>
    <n v="1"/>
    <s v="Card"/>
    <s v="Neha"/>
    <s v="priya.patel@company.com"/>
    <n v="9833801891"/>
    <s v="Global Trade"/>
    <n v="24"/>
    <s v="Platinum"/>
    <d v="2028-03-16T00:00:00"/>
    <s v="March"/>
    <x v="1"/>
  </r>
  <r>
    <s v="ORD10216"/>
    <s v="C008"/>
    <s v="P103"/>
    <d v="2025-02-28T00:00:00"/>
    <s v="12/03/2025"/>
    <s v="Kavya Nair"/>
    <s v="Female"/>
    <s v="01/08/1976"/>
    <s v="Hyderabad"/>
    <s v="South"/>
    <s v="WB"/>
    <s v="Electronics"/>
    <s v="Keyboard"/>
    <n v="4"/>
    <n v="900"/>
    <n v="0"/>
    <n v="3600"/>
    <n v="4"/>
    <s v="Cash"/>
    <s v="Aisha"/>
    <s v="kavya.nair@company.com"/>
    <n v="9183949273"/>
    <s v="TechHub"/>
    <n v="6"/>
    <s v="Silver"/>
    <d v="2025-09-12T00:00:00"/>
    <s v="August"/>
    <x v="0"/>
  </r>
  <r>
    <s v="ORD10217"/>
    <s v="C005"/>
    <s v="P203"/>
    <d v="2025-10-31T00:00:00"/>
    <s v="07/11/2025"/>
    <s v="Vikas Mehta"/>
    <s v="Male"/>
    <s v="03/08/1991"/>
    <s v="Mumbai"/>
    <s v="West"/>
    <s v="DL"/>
    <s v="Home Appliances"/>
    <s v="Microwave"/>
    <n v="2"/>
    <n v="6375"/>
    <n v="0.2"/>
    <n v="10200"/>
    <n v="3"/>
    <s v="Card"/>
    <s v="Karan"/>
    <s v="vikas.mehta@company.com"/>
    <n v="9168257367"/>
    <s v="TechHub"/>
    <n v="24"/>
    <s v="Gold"/>
    <d v="2027-11-07T00:00:00"/>
    <s v="August"/>
    <x v="0"/>
  </r>
  <r>
    <s v="ORD10218"/>
    <s v="C007"/>
    <s v="P102"/>
    <d v="2026-01-30T00:00:00"/>
    <s v="08/02/2026"/>
    <s v="Arjun Rao"/>
    <s v="Male"/>
    <s v="07/02/1988"/>
    <s v="Hyderabad"/>
    <s v="South"/>
    <s v="RJ"/>
    <s v="Electronics"/>
    <s v="Mouse"/>
    <n v="7"/>
    <n v="525"/>
    <n v="0.2"/>
    <n v="2940"/>
    <n v="2"/>
    <s v="Card"/>
    <s v="Karan"/>
    <s v="arjun.rao@company.com"/>
    <n v="9580903210"/>
    <s v="TechHub"/>
    <n v="24"/>
    <s v="Silver"/>
    <d v="2028-02-08T00:00:00"/>
    <s v="February"/>
    <x v="1"/>
  </r>
  <r>
    <s v="ORD10219"/>
    <s v="C010"/>
    <s v="P302"/>
    <d v="2026-04-29T00:00:00"/>
    <s v="03/05/2026"/>
    <s v="Pooja Shah"/>
    <s v="Female"/>
    <s v="16/09/1994"/>
    <s v="Bengaluru"/>
    <s v="South"/>
    <s v="WB"/>
    <s v="Stationery"/>
    <s v="Pen"/>
    <n v="9"/>
    <n v="15"/>
    <n v="0.15"/>
    <n v="114.75"/>
    <n v="3"/>
    <s v="Netbanking"/>
    <s v="Neha"/>
    <s v="pooja.shah@company.com"/>
    <n v="9602152945"/>
    <s v="Prime Supplies"/>
    <n v="12"/>
    <s v="Silver"/>
    <d v="2027-05-03T00:00:00"/>
    <s v="September"/>
    <x v="0"/>
  </r>
  <r>
    <s v="ORD10220"/>
    <s v="C002"/>
    <s v="P203"/>
    <d v="2025-05-18T00:00:00"/>
    <s v="20/05/2025"/>
    <s v="Priya Patel"/>
    <s v="Female"/>
    <s v="07/03/1995"/>
    <s v="Mumbai"/>
    <s v="West"/>
    <s v="WB"/>
    <s v="Home Appliances"/>
    <s v="Microwave"/>
    <n v="16"/>
    <n v="6375"/>
    <n v="0"/>
    <n v="102000"/>
    <n v="4"/>
    <s v="Netbanking"/>
    <s v="Ritika"/>
    <s v="priya.patel@company.com"/>
    <n v="9646917552"/>
    <s v="TechHub"/>
    <n v="24"/>
    <s v="Platinum"/>
    <d v="2027-05-20T00:00:00"/>
    <s v="March"/>
    <x v="3"/>
  </r>
  <r>
    <s v="ORD10221"/>
    <s v="C006"/>
    <s v="P201"/>
    <d v="2026-03-26T00:00:00"/>
    <s v="28/03/2026"/>
    <s v="Sneha Joshi"/>
    <s v="Female"/>
    <s v="04/04/1981"/>
    <s v="Pune"/>
    <s v="West"/>
    <s v="WB"/>
    <s v="Home Appliances"/>
    <s v="Mixer"/>
    <n v="10"/>
    <n v="2625"/>
    <n v="0.05"/>
    <n v="24937.5"/>
    <n v="3"/>
    <s v="Netbanking"/>
    <s v="Neha"/>
    <s v="sneha.joshi@company.com"/>
    <n v="9127548552"/>
    <s v="Global Trade"/>
    <n v="6"/>
    <s v="Gold"/>
    <d v="2026-09-28T00:00:00"/>
    <s v="April"/>
    <x v="0"/>
  </r>
  <r>
    <s v="ORD10222"/>
    <s v="C010"/>
    <s v="P104"/>
    <d v="2026-01-19T00:00:00"/>
    <s v="27/01/2026"/>
    <s v="Pooja Shah"/>
    <s v="Female"/>
    <s v="16/09/1994"/>
    <s v="Bengaluru"/>
    <s v="South"/>
    <s v="WB"/>
    <s v="Electronics"/>
    <s v="Monitor"/>
    <n v="1"/>
    <n v="9000"/>
    <n v="0"/>
    <n v="9000"/>
    <n v="5"/>
    <s v="Upi"/>
    <s v="Neha"/>
    <s v="pooja.shah@company.com"/>
    <n v="9712805603"/>
    <s v="Global Trade"/>
    <n v="24"/>
    <s v="Silver"/>
    <d v="2028-01-27T00:00:00"/>
    <s v="September"/>
    <x v="0"/>
  </r>
  <r>
    <s v="ORD10223"/>
    <s v="C001"/>
    <s v="P303"/>
    <d v="2026-05-02T00:00:00"/>
    <s v="10/05/2026"/>
    <s v="Amit Sharma"/>
    <s v="Male"/>
    <s v="09/08/1991"/>
    <s v="Pune"/>
    <s v="West"/>
    <s v="RJ"/>
    <s v="Stationery"/>
    <s v="Marker"/>
    <n v="19"/>
    <n v="33.75"/>
    <n v="0.15"/>
    <n v="545.0625"/>
    <n v="2"/>
    <s v="Upi"/>
    <s v="Karan"/>
    <s v="amit.sharma@company.com"/>
    <n v="9798313682"/>
    <s v="TechHub"/>
    <n v="12"/>
    <s v="Silver"/>
    <d v="2027-05-10T00:00:00"/>
    <s v="August"/>
    <x v="1"/>
  </r>
  <r>
    <s v="ORD10224"/>
    <s v="C008"/>
    <s v="P101"/>
    <d v="2025-10-31T00:00:00"/>
    <s v="02/11/2025"/>
    <s v="Kavya Nair"/>
    <s v="Female"/>
    <s v="01/08/1976"/>
    <s v="Hyderabad"/>
    <s v="South"/>
    <s v="WB"/>
    <s v="Electronics"/>
    <s v="Laptop"/>
    <n v="13"/>
    <n v="41250"/>
    <n v="0.05"/>
    <n v="509437.5"/>
    <n v="4"/>
    <s v="Card"/>
    <s v="Rahul"/>
    <s v="kavya.nair@company.com"/>
    <n v="9642822397"/>
    <s v="TechHub"/>
    <n v="12"/>
    <s v="Silver"/>
    <d v="2026-11-02T00:00:00"/>
    <s v="August"/>
    <x v="3"/>
  </r>
  <r>
    <s v="ORD10225"/>
    <s v="C007"/>
    <s v="P303"/>
    <d v="2025-07-20T00:00:00"/>
    <s v="26/07/2025"/>
    <s v="Arjun Rao"/>
    <s v="Male"/>
    <s v="07/02/1988"/>
    <s v="Hyderabad"/>
    <s v="South"/>
    <s v="RJ"/>
    <s v="Stationery"/>
    <s v="Marker"/>
    <n v="2"/>
    <n v="33.75"/>
    <n v="0.15"/>
    <n v="57.375"/>
    <n v="1"/>
    <s v="Netbanking"/>
    <s v="Neha"/>
    <s v="arjun.rao@company.com"/>
    <n v="9490067655"/>
    <s v="TechHub"/>
    <n v="12"/>
    <s v="Silver"/>
    <d v="2026-07-26T00:00:00"/>
    <s v="February"/>
    <x v="1"/>
  </r>
  <r>
    <s v="ORD10226"/>
    <s v="C002"/>
    <s v="P302"/>
    <d v="2025-02-19T00:00:00"/>
    <s v="24/02/2025"/>
    <s v="Priya Patel"/>
    <s v="Female"/>
    <s v="07/03/1995"/>
    <s v="Mumbai"/>
    <s v="West"/>
    <s v="WB"/>
    <s v="Stationery"/>
    <s v="Pen"/>
    <n v="8"/>
    <n v="15"/>
    <n v="0.15"/>
    <n v="102"/>
    <n v="1"/>
    <s v="Card"/>
    <s v="Ritika"/>
    <s v="priya.patel@company.com"/>
    <n v="9389792144"/>
    <s v="Prime Supplies"/>
    <n v="12"/>
    <s v="Platinum"/>
    <d v="2026-02-24T00:00:00"/>
    <s v="March"/>
    <x v="1"/>
  </r>
  <r>
    <s v="ORD10227"/>
    <s v="C004"/>
    <s v="P104"/>
    <d v="2025-04-20T00:00:00"/>
    <s v="01/05/2025"/>
    <s v="Anita Gupta"/>
    <s v="Female"/>
    <s v="16/01/2002"/>
    <s v="Pune"/>
    <s v="West"/>
    <s v="WB"/>
    <s v="Electronics"/>
    <s v="Monitor"/>
    <n v="9"/>
    <n v="9000"/>
    <n v="0.05"/>
    <n v="76950"/>
    <n v="2"/>
    <s v="Card"/>
    <s v="Ritika"/>
    <s v="anita.gupta@company.com"/>
    <n v="9736113863"/>
    <s v="Global Trade"/>
    <n v="24"/>
    <s v="Gold"/>
    <d v="2027-05-01T00:00:00"/>
    <s v="January"/>
    <x v="1"/>
  </r>
  <r>
    <s v="ORD10228"/>
    <s v="C009"/>
    <s v="P201"/>
    <d v="2025-06-05T00:00:00"/>
    <s v="13/06/2025"/>
    <s v="Mohit Verma"/>
    <s v="Male"/>
    <s v="13/04/1976"/>
    <s v="Delhi"/>
    <s v="North"/>
    <s v="KA"/>
    <s v="Home Appliances"/>
    <s v="Mixer"/>
    <n v="3"/>
    <n v="2625"/>
    <n v="0.15"/>
    <n v="6693.75"/>
    <n v="1"/>
    <s v="Cash"/>
    <s v="Rahul"/>
    <s v="mohit.verma@company.com"/>
    <n v="9324634732"/>
    <s v="Global Trade"/>
    <n v="6"/>
    <s v="Platinum"/>
    <d v="2025-12-13T00:00:00"/>
    <s v="April"/>
    <x v="1"/>
  </r>
  <r>
    <s v="ORD10229"/>
    <s v="C002"/>
    <s v="P102"/>
    <d v="2025-05-20T00:00:00"/>
    <s v="23/05/2025"/>
    <s v="Priya Patel"/>
    <s v="Female"/>
    <s v="07/03/1995"/>
    <s v="Mumbai"/>
    <s v="West"/>
    <s v="WB"/>
    <s v="Electronics"/>
    <s v="Mouse"/>
    <n v="18"/>
    <n v="525"/>
    <n v="0.2"/>
    <n v="7560"/>
    <n v="1"/>
    <s v="Card"/>
    <s v="Karan"/>
    <s v="priya.patel@company.com"/>
    <n v="9529968110"/>
    <s v="TechHub"/>
    <n v="24"/>
    <s v="Platinum"/>
    <d v="2027-05-23T00:00:00"/>
    <s v="March"/>
    <x v="1"/>
  </r>
  <r>
    <s v="ORD10230"/>
    <s v="C009"/>
    <s v="P201"/>
    <d v="2026-01-24T00:00:00"/>
    <s v="31/01/2026"/>
    <s v="Mohit Verma"/>
    <s v="Male"/>
    <s v="13/04/1976"/>
    <s v="Delhi"/>
    <s v="North"/>
    <s v="KA"/>
    <s v="Home Appliances"/>
    <s v="Mixer"/>
    <n v="14"/>
    <n v="2625"/>
    <n v="0.05"/>
    <n v="34912.5"/>
    <n v="1"/>
    <s v="Cash"/>
    <s v="Aisha"/>
    <s v="mohit.verma@company.com"/>
    <n v="9102417647"/>
    <s v="Global Trade"/>
    <n v="6"/>
    <s v="Platinum"/>
    <d v="2026-07-31T00:00:00"/>
    <s v="April"/>
    <x v="1"/>
  </r>
  <r>
    <s v="ORD10231"/>
    <s v="C002"/>
    <s v="P102"/>
    <d v="2025-06-02T00:00:00"/>
    <s v="04/06/2025"/>
    <s v="Priya Patel"/>
    <s v="Female"/>
    <s v="07/03/1995"/>
    <s v="Mumbai"/>
    <s v="West"/>
    <s v="WB"/>
    <s v="Electronics"/>
    <s v="Mouse"/>
    <n v="6"/>
    <n v="525"/>
    <n v="0.05"/>
    <n v="2992.5"/>
    <n v="5"/>
    <s v="Cash"/>
    <s v="Ritika"/>
    <s v="priya.patel@company.com"/>
    <n v="9630302865"/>
    <s v="TechHub"/>
    <n v="24"/>
    <s v="Platinum"/>
    <d v="2027-06-04T00:00:00"/>
    <s v="March"/>
    <x v="0"/>
  </r>
  <r>
    <s v="ORD10232"/>
    <s v="C002"/>
    <s v="P201"/>
    <d v="2025-06-11T00:00:00"/>
    <s v="19/06/2025"/>
    <s v="Priya Patel"/>
    <s v="Female"/>
    <s v="07/03/1995"/>
    <s v="Mumbai"/>
    <s v="West"/>
    <s v="WB"/>
    <s v="Home Appliances"/>
    <s v="Mixer"/>
    <n v="17"/>
    <n v="2625"/>
    <n v="0.15"/>
    <n v="37931.25"/>
    <n v="3"/>
    <s v="Netbanking"/>
    <s v="Rahul"/>
    <s v="priya.patel@company.com"/>
    <n v="9465353780"/>
    <s v="Global Trade"/>
    <n v="6"/>
    <s v="Platinum"/>
    <d v="2025-12-19T00:00:00"/>
    <s v="March"/>
    <x v="0"/>
  </r>
  <r>
    <s v="ORD10233"/>
    <s v="C006"/>
    <s v="P302"/>
    <d v="2026-01-16T00:00:00"/>
    <s v="24/01/2026"/>
    <s v="Sneha Joshi"/>
    <s v="Female"/>
    <s v="04/04/1981"/>
    <s v="Pune"/>
    <s v="West"/>
    <s v="WB"/>
    <s v="Stationery"/>
    <s v="Pen"/>
    <n v="7"/>
    <n v="15"/>
    <n v="0.05"/>
    <n v="99.75"/>
    <n v="2"/>
    <s v="Upi"/>
    <s v="Karan"/>
    <s v="sneha.joshi@company.com"/>
    <n v="9837426414"/>
    <s v="Prime Supplies"/>
    <n v="12"/>
    <s v="Gold"/>
    <d v="2027-01-24T00:00:00"/>
    <s v="April"/>
    <x v="1"/>
  </r>
  <r>
    <s v="ORD10234"/>
    <s v="C008"/>
    <s v="P202"/>
    <d v="2026-02-20T00:00:00"/>
    <s v="04/03/2026"/>
    <s v="Kavya Nair"/>
    <s v="Female"/>
    <s v="01/08/1976"/>
    <s v="Hyderabad"/>
    <s v="South"/>
    <s v="WB"/>
    <s v="Home Appliances"/>
    <s v="Iron"/>
    <n v="15"/>
    <n v="1650"/>
    <n v="0.2"/>
    <n v="19800"/>
    <n v="2"/>
    <s v="Cash"/>
    <s v="Aisha"/>
    <s v="kavya.nair@company.com"/>
    <n v="9249918272"/>
    <s v="Global Trade"/>
    <n v="24"/>
    <s v="Silver"/>
    <d v="2028-03-04T00:00:00"/>
    <s v="August"/>
    <x v="1"/>
  </r>
  <r>
    <s v="ORD10235"/>
    <s v="C009"/>
    <s v="P302"/>
    <d v="2026-02-17T00:00:00"/>
    <s v="25/02/2026"/>
    <s v="Mohit Verma"/>
    <s v="Male"/>
    <s v="13/04/1976"/>
    <s v="Delhi"/>
    <s v="North"/>
    <s v="KA"/>
    <s v="Stationery"/>
    <s v="Pen"/>
    <n v="5"/>
    <n v="15"/>
    <n v="0"/>
    <n v="75"/>
    <n v="3"/>
    <s v="Cash"/>
    <s v="Karan"/>
    <s v="mohit.verma@company.com"/>
    <n v="9265580582"/>
    <s v="Prime Supplies"/>
    <n v="12"/>
    <s v="Platinum"/>
    <d v="2027-02-25T00:00:00"/>
    <s v="April"/>
    <x v="0"/>
  </r>
  <r>
    <s v="ORD10236"/>
    <s v="C003"/>
    <s v="P104"/>
    <d v="2025-07-09T00:00:00"/>
    <s v="14/07/2025"/>
    <s v="Rohit Singh"/>
    <s v="Male"/>
    <s v="10/05/1982"/>
    <s v="Delhi"/>
    <s v="North"/>
    <s v="DL"/>
    <s v="Electronics"/>
    <s v="Monitor"/>
    <n v="8"/>
    <n v="9000"/>
    <n v="0.2"/>
    <n v="57600"/>
    <n v="3"/>
    <s v="Card"/>
    <s v="Aisha"/>
    <s v="rohit.singh@company.com"/>
    <n v="9751049833"/>
    <s v="Global Trade"/>
    <n v="24"/>
    <s v="Gold"/>
    <d v="2027-07-14T00:00:00"/>
    <s v="May"/>
    <x v="2"/>
  </r>
  <r>
    <s v="ORD10237"/>
    <s v="C003"/>
    <s v="P201"/>
    <d v="2025-02-08T00:00:00"/>
    <s v="16/02/2025"/>
    <s v="Rohit Singh"/>
    <s v="Male"/>
    <s v="10/05/1982"/>
    <s v="Delhi"/>
    <s v="North"/>
    <s v="DL"/>
    <s v="Home Appliances"/>
    <s v="Mixer"/>
    <n v="4"/>
    <n v="2625"/>
    <n v="0.2"/>
    <n v="8400"/>
    <n v="1"/>
    <s v="Card"/>
    <s v="Neha"/>
    <s v="rohit.singh@company.com"/>
    <n v="9741671507"/>
    <s v="Global Trade"/>
    <n v="6"/>
    <s v="Gold"/>
    <d v="2025-08-16T00:00:00"/>
    <s v="May"/>
    <x v="1"/>
  </r>
  <r>
    <s v="ORD10238"/>
    <s v="C005"/>
    <s v="P303"/>
    <d v="2025-02-25T00:00:00"/>
    <s v="04/03/2025"/>
    <s v="Vikas Mehta"/>
    <s v="Male"/>
    <s v="03/08/1991"/>
    <s v="Mumbai"/>
    <s v="West"/>
    <s v="DL"/>
    <s v="Stationery"/>
    <s v="Marker"/>
    <n v="19"/>
    <n v="33.75"/>
    <n v="0.1"/>
    <n v="577.125"/>
    <n v="1"/>
    <s v="Cash"/>
    <s v="Neha"/>
    <s v="vikas.mehta@company.com"/>
    <n v="9367541035"/>
    <s v="TechHub"/>
    <n v="12"/>
    <s v="Gold"/>
    <d v="2026-03-04T00:00:00"/>
    <s v="August"/>
    <x v="1"/>
  </r>
  <r>
    <s v="ORD10239"/>
    <s v="C010"/>
    <s v="P303"/>
    <d v="2026-01-27T00:00:00"/>
    <s v="06/02/2026"/>
    <s v="Pooja Shah"/>
    <s v="Female"/>
    <s v="16/09/1994"/>
    <s v="Bengaluru"/>
    <s v="South"/>
    <s v="WB"/>
    <s v="Stationery"/>
    <s v="Marker"/>
    <n v="10"/>
    <n v="33.75"/>
    <n v="0"/>
    <n v="337.5"/>
    <n v="4"/>
    <s v="Upi"/>
    <s v="Aisha"/>
    <s v="pooja.shah@company.com"/>
    <n v="9323696971"/>
    <s v="TechHub"/>
    <n v="12"/>
    <s v="Silver"/>
    <d v="2027-02-06T00:00:00"/>
    <s v="September"/>
    <x v="0"/>
  </r>
  <r>
    <s v="ORD10240"/>
    <s v="C010"/>
    <s v="P303"/>
    <d v="2026-01-08T00:00:00"/>
    <s v="17/01/2026"/>
    <s v="Pooja Shah"/>
    <s v="Female"/>
    <s v="16/09/1994"/>
    <s v="Bengaluru"/>
    <s v="South"/>
    <s v="WB"/>
    <s v="Stationery"/>
    <s v="Marker"/>
    <n v="16"/>
    <n v="33.75"/>
    <n v="0.15"/>
    <n v="459"/>
    <n v="3"/>
    <s v="Cash"/>
    <s v="Neha"/>
    <s v="pooja.shah@company.com"/>
    <n v="9786384529"/>
    <s v="TechHub"/>
    <n v="12"/>
    <s v="Silver"/>
    <d v="2027-01-17T00:00:00"/>
    <s v="September"/>
    <x v="0"/>
  </r>
  <r>
    <s v="ORD10241"/>
    <s v="C004"/>
    <s v="P203"/>
    <d v="2025-03-25T00:00:00"/>
    <s v="27/03/2025"/>
    <s v="Anita Gupta"/>
    <s v="Female"/>
    <s v="16/01/2002"/>
    <s v="Pune"/>
    <s v="West"/>
    <s v="WB"/>
    <s v="Home Appliances"/>
    <s v="Microwave"/>
    <n v="16"/>
    <n v="6375"/>
    <n v="0.15"/>
    <n v="86700"/>
    <n v="4"/>
    <s v="Netbanking"/>
    <s v="Ritika"/>
    <s v="anita.gupta@company.com"/>
    <n v="9444900541"/>
    <s v="TechHub"/>
    <n v="24"/>
    <s v="Gold"/>
    <d v="2027-03-27T00:00:00"/>
    <s v="January"/>
    <x v="2"/>
  </r>
  <r>
    <s v="ORD10242"/>
    <s v="C004"/>
    <s v="P302"/>
    <d v="2025-09-01T00:00:00"/>
    <s v="12/09/2025"/>
    <s v="Anita Gupta"/>
    <s v="Female"/>
    <s v="16/01/2002"/>
    <s v="Pune"/>
    <s v="West"/>
    <s v="WB"/>
    <s v="Stationery"/>
    <s v="Pen"/>
    <n v="15"/>
    <n v="15"/>
    <n v="0.2"/>
    <n v="180"/>
    <n v="3"/>
    <s v="Netbanking"/>
    <s v="Rahul"/>
    <s v="anita.gupta@company.com"/>
    <n v="9108024911"/>
    <s v="Prime Supplies"/>
    <n v="12"/>
    <s v="Gold"/>
    <d v="2026-09-12T00:00:00"/>
    <s v="January"/>
    <x v="0"/>
  </r>
  <r>
    <s v="ORD10243"/>
    <s v="C007"/>
    <s v="P301"/>
    <d v="2026-01-09T00:00:00"/>
    <s v="13/01/2026"/>
    <s v="Arjun Rao"/>
    <s v="Male"/>
    <s v="07/02/1988"/>
    <s v="Hyderabad"/>
    <s v="South"/>
    <s v="RJ"/>
    <s v="Stationery"/>
    <s v="Notebook"/>
    <n v="14"/>
    <n v="45"/>
    <n v="0.05"/>
    <n v="598.5"/>
    <n v="4"/>
    <s v="Cash"/>
    <s v="Rahul"/>
    <s v="arjun.rao@company.com"/>
    <n v="9897181325"/>
    <s v="ABC Corp"/>
    <n v="12"/>
    <s v="Silver"/>
    <d v="2027-01-13T00:00:00"/>
    <s v="February"/>
    <x v="0"/>
  </r>
  <r>
    <s v="ORD10244"/>
    <s v="C010"/>
    <s v="P103"/>
    <d v="2026-05-16T00:00:00"/>
    <s v="19/05/2026"/>
    <s v="Pooja Shah"/>
    <s v="Female"/>
    <s v="16/09/1994"/>
    <s v="Bengaluru"/>
    <s v="South"/>
    <s v="WB"/>
    <s v="Electronics"/>
    <s v="Keyboard"/>
    <n v="19"/>
    <n v="900"/>
    <n v="0.2"/>
    <n v="13680"/>
    <n v="2"/>
    <s v="Cash"/>
    <s v="Neha"/>
    <s v="pooja.shah@company.com"/>
    <n v="9554719621"/>
    <s v="TechHub"/>
    <n v="6"/>
    <s v="Silver"/>
    <d v="2026-11-19T00:00:00"/>
    <s v="September"/>
    <x v="1"/>
  </r>
  <r>
    <s v="ORD10245"/>
    <s v="C008"/>
    <s v="P303"/>
    <d v="2025-10-13T00:00:00"/>
    <s v="14/10/2025"/>
    <s v="Kavya Nair"/>
    <s v="Female"/>
    <s v="01/08/1976"/>
    <s v="Hyderabad"/>
    <s v="South"/>
    <s v="WB"/>
    <s v="Stationery"/>
    <s v="Marker"/>
    <n v="5"/>
    <n v="33.75"/>
    <n v="0.15"/>
    <n v="143.4375"/>
    <n v="2"/>
    <s v="Cash"/>
    <s v="Aisha"/>
    <s v="kavya.nair@company.com"/>
    <n v="9815899217"/>
    <s v="TechHub"/>
    <n v="12"/>
    <s v="Silver"/>
    <d v="2026-10-14T00:00:00"/>
    <s v="August"/>
    <x v="1"/>
  </r>
  <r>
    <s v="ORD10246"/>
    <s v="C001"/>
    <s v="P102"/>
    <d v="2025-05-25T00:00:00"/>
    <s v="01/06/2025"/>
    <s v="Amit Sharma"/>
    <s v="Male"/>
    <s v="09/08/1991"/>
    <s v="Pune"/>
    <s v="West"/>
    <s v="RJ"/>
    <s v="Electronics"/>
    <s v="Mouse"/>
    <n v="19"/>
    <n v="525"/>
    <n v="0.05"/>
    <n v="9476.25"/>
    <n v="5"/>
    <s v="Upi"/>
    <s v="Karan"/>
    <s v="amit.sharma@company.com"/>
    <n v="9308497039"/>
    <s v="TechHub"/>
    <n v="24"/>
    <s v="Silver"/>
    <d v="2027-06-01T00:00:00"/>
    <s v="August"/>
    <x v="0"/>
  </r>
  <r>
    <s v="ORD10247"/>
    <s v="C003"/>
    <s v="P301"/>
    <d v="2026-01-03T00:00:00"/>
    <s v="04/01/2026"/>
    <s v="Rohit Singh"/>
    <s v="Male"/>
    <s v="10/05/1982"/>
    <s v="Delhi"/>
    <s v="North"/>
    <s v="DL"/>
    <s v="Stationery"/>
    <s v="Notebook"/>
    <n v="7"/>
    <n v="45"/>
    <n v="0"/>
    <n v="315"/>
    <n v="4"/>
    <s v="Cash"/>
    <s v="Neha"/>
    <s v="rohit.singh@company.com"/>
    <n v="9882054354"/>
    <s v="ABC Corp"/>
    <n v="12"/>
    <s v="Gold"/>
    <d v="2027-01-04T00:00:00"/>
    <s v="May"/>
    <x v="0"/>
  </r>
  <r>
    <s v="ORD10248"/>
    <s v="C009"/>
    <s v="P202"/>
    <d v="2025-12-22T00:00:00"/>
    <s v="02/01/2026"/>
    <s v="Mohit Verma"/>
    <s v="Male"/>
    <s v="13/04/1976"/>
    <s v="Delhi"/>
    <s v="North"/>
    <s v="KA"/>
    <s v="Home Appliances"/>
    <s v="Iron"/>
    <n v="13"/>
    <n v="1650"/>
    <n v="0.1"/>
    <n v="19305"/>
    <n v="1"/>
    <s v="Card"/>
    <s v="Karan"/>
    <s v="mohit.verma@company.com"/>
    <n v="9193016830"/>
    <s v="Global Trade"/>
    <n v="24"/>
    <s v="Platinum"/>
    <d v="2028-01-02T00:00:00"/>
    <s v="April"/>
    <x v="1"/>
  </r>
  <r>
    <s v="ORD10249"/>
    <s v="C009"/>
    <s v="P202"/>
    <d v="2025-12-28T00:00:00"/>
    <s v="05/01/2026"/>
    <s v="Mohit Verma"/>
    <s v="Male"/>
    <s v="13/04/1976"/>
    <s v="Delhi"/>
    <s v="North"/>
    <s v="KA"/>
    <s v="Home Appliances"/>
    <s v="Iron"/>
    <n v="9"/>
    <n v="1650"/>
    <n v="0.1"/>
    <n v="13365"/>
    <n v="2"/>
    <s v="Crypto"/>
    <s v="Aisha"/>
    <s v="mohit.verma@company.com"/>
    <n v="9921470418"/>
    <s v="Global Trade"/>
    <n v="24"/>
    <s v="Platinum"/>
    <d v="2028-01-05T00:00:00"/>
    <s v="April"/>
    <x v="1"/>
  </r>
  <r>
    <s v="ORD10250"/>
    <s v="C001"/>
    <s v="P203"/>
    <d v="2025-05-15T00:00:00"/>
    <s v="17/05/2025"/>
    <s v="Amit Sharma"/>
    <s v="Male"/>
    <s v="09/08/1991"/>
    <s v="Pune"/>
    <s v="West"/>
    <s v="RJ"/>
    <s v="Home Appliances"/>
    <s v="Microwave"/>
    <n v="6"/>
    <n v="6375"/>
    <n v="0.15"/>
    <n v="32512.5"/>
    <n v="2"/>
    <s v="Cash"/>
    <s v="Karan"/>
    <s v="amit.sharma@company.com"/>
    <n v="9686979026"/>
    <s v="TechHub"/>
    <n v="24"/>
    <s v="Silver"/>
    <d v="2027-05-17T00:00:00"/>
    <s v="August"/>
    <x v="1"/>
  </r>
  <r>
    <s v="ORD10251"/>
    <s v="C005"/>
    <s v="P202"/>
    <d v="2026-02-17T00:00:00"/>
    <s v="25/02/2026"/>
    <s v="Vikas Mehta"/>
    <s v="Male"/>
    <s v="03/08/1991"/>
    <s v="Mumbai"/>
    <s v="West"/>
    <s v="DL"/>
    <s v="Home Appliances"/>
    <s v="Iron"/>
    <n v="9"/>
    <n v="1650"/>
    <n v="0.1"/>
    <n v="13365"/>
    <n v="3"/>
    <s v="Card"/>
    <s v="Ritika"/>
    <s v="vikas.mehta@company.com"/>
    <n v="9569007422"/>
    <s v="Global Trade"/>
    <n v="24"/>
    <s v="Gold"/>
    <d v="2028-02-25T00:00:00"/>
    <s v="August"/>
    <x v="0"/>
  </r>
  <r>
    <s v="ORD10252"/>
    <s v="C008"/>
    <s v="P203"/>
    <d v="2025-03-23T00:00:00"/>
    <s v="26/03/2025"/>
    <s v="Kavya Nair"/>
    <s v="Female"/>
    <s v="01/08/1976"/>
    <s v="Hyderabad"/>
    <s v="South"/>
    <s v="WB"/>
    <s v="Home Appliances"/>
    <s v="Microwave"/>
    <n v="16"/>
    <n v="6375"/>
    <n v="0"/>
    <n v="102000"/>
    <n v="5"/>
    <s v="Upi"/>
    <s v="Neha"/>
    <s v="kavya.nair@company.com"/>
    <n v="9180820441"/>
    <s v="TechHub"/>
    <n v="24"/>
    <s v="Silver"/>
    <d v="2027-03-26T00:00:00"/>
    <s v="August"/>
    <x v="3"/>
  </r>
  <r>
    <s v="ORD10253"/>
    <s v="C001"/>
    <s v="P103"/>
    <d v="2025-12-15T00:00:00"/>
    <s v="16/12/2025"/>
    <s v="Amit Sharma"/>
    <s v="Male"/>
    <s v="09/08/1991"/>
    <s v="Pune"/>
    <s v="West"/>
    <s v="RJ"/>
    <s v="Electronics"/>
    <s v="Keyboard"/>
    <n v="10"/>
    <n v="900"/>
    <n v="0.15"/>
    <n v="7650"/>
    <n v="5"/>
    <s v="Cash"/>
    <s v="Rahul"/>
    <s v="amit.sharma@company.com"/>
    <n v="9769075826"/>
    <s v="TechHub"/>
    <n v="6"/>
    <s v="Silver"/>
    <d v="2026-06-16T00:00:00"/>
    <s v="August"/>
    <x v="0"/>
  </r>
  <r>
    <s v="ORD10254"/>
    <s v="C003"/>
    <s v="P104"/>
    <d v="2025-03-05T00:00:00"/>
    <s v="15/03/2025"/>
    <s v="Rohit Singh"/>
    <s v="Male"/>
    <s v="10/05/1982"/>
    <s v="Delhi"/>
    <s v="North"/>
    <s v="DL"/>
    <s v="Electronics"/>
    <s v="Monitor"/>
    <n v="7"/>
    <n v="9000"/>
    <n v="0"/>
    <n v="63000"/>
    <n v="1"/>
    <s v="Upi"/>
    <s v="Karan"/>
    <s v="rohit.singh@company.com"/>
    <n v="9467916296"/>
    <s v="Global Trade"/>
    <n v="24"/>
    <s v="Gold"/>
    <d v="2027-03-15T00:00:00"/>
    <s v="May"/>
    <x v="1"/>
  </r>
  <r>
    <s v="ORD10255"/>
    <s v="C005"/>
    <s v="P104"/>
    <d v="2025-09-19T00:00:00"/>
    <s v="01/10/2025"/>
    <s v="Vikas Mehta"/>
    <s v="Male"/>
    <s v="03/08/1991"/>
    <s v="Mumbai"/>
    <s v="West"/>
    <s v="DL"/>
    <s v="Electronics"/>
    <s v="Monitor"/>
    <n v="3"/>
    <n v="9000"/>
    <n v="0.1"/>
    <n v="24300"/>
    <n v="4"/>
    <s v="Card"/>
    <s v="Karan"/>
    <s v="vikas.mehta@company.com"/>
    <n v="9477052923"/>
    <s v="Global Trade"/>
    <n v="24"/>
    <s v="Gold"/>
    <d v="2027-10-01T00:00:00"/>
    <s v="August"/>
    <x v="0"/>
  </r>
  <r>
    <s v="ORD10256"/>
    <s v="C005"/>
    <s v="P104"/>
    <d v="2025-11-03T00:00:00"/>
    <s v="09/11/2025"/>
    <s v="Vikas Mehta"/>
    <s v="Male"/>
    <s v="03/08/1991"/>
    <s v="Mumbai"/>
    <s v="West"/>
    <s v="DL"/>
    <s v="Electronics"/>
    <s v="Monitor"/>
    <n v="4"/>
    <n v="9000"/>
    <n v="0.15"/>
    <n v="30600"/>
    <n v="3"/>
    <s v="Card"/>
    <s v="Ritika"/>
    <s v="vikas.mehta@company.com"/>
    <n v="9184311420"/>
    <s v="Global Trade"/>
    <n v="24"/>
    <s v="Gold"/>
    <d v="2027-11-09T00:00:00"/>
    <s v="August"/>
    <x v="0"/>
  </r>
  <r>
    <s v="ORD10257"/>
    <s v="C003"/>
    <s v="P104"/>
    <d v="2025-06-16T00:00:00"/>
    <s v="18/06/2025"/>
    <s v="Rohit Singh"/>
    <s v="Male"/>
    <s v="10/05/1982"/>
    <s v="Delhi"/>
    <s v="North"/>
    <s v="DL"/>
    <s v="Electronics"/>
    <s v="Monitor"/>
    <n v="13"/>
    <n v="9000"/>
    <n v="0.1"/>
    <n v="105300"/>
    <n v="2"/>
    <s v="Cash"/>
    <s v="Karan"/>
    <s v="rohit.singh@company.com"/>
    <n v="9630913127"/>
    <s v="Global Trade"/>
    <n v="24"/>
    <s v="Gold"/>
    <d v="2027-06-18T00:00:00"/>
    <s v="May"/>
    <x v="1"/>
  </r>
  <r>
    <s v="ORD10258"/>
    <s v="C008"/>
    <s v="P201"/>
    <d v="2025-06-04T00:00:00"/>
    <s v="11/06/2025"/>
    <s v="Kavya Nair"/>
    <s v="Female"/>
    <s v="01/08/1976"/>
    <s v="Hyderabad"/>
    <s v="South"/>
    <s v="WB"/>
    <s v="Home Appliances"/>
    <s v="Mixer"/>
    <n v="19"/>
    <n v="2625"/>
    <n v="0.2"/>
    <n v="39900"/>
    <n v="1"/>
    <s v="Cash"/>
    <s v="Aisha"/>
    <s v="kavya.nair@company.com"/>
    <n v="9997515828"/>
    <s v="Global Trade"/>
    <n v="6"/>
    <s v="Silver"/>
    <d v="2025-12-11T00:00:00"/>
    <s v="August"/>
    <x v="1"/>
  </r>
  <r>
    <s v="ORD10259"/>
    <s v="C008"/>
    <s v="P202"/>
    <d v="2025-02-07T00:00:00"/>
    <s v="12/02/2025"/>
    <s v="Kavya Nair"/>
    <s v="Female"/>
    <s v="01/08/1976"/>
    <s v="Hyderabad"/>
    <s v="South"/>
    <s v="WB"/>
    <s v="Home Appliances"/>
    <s v="Iron"/>
    <n v="7"/>
    <n v="1650"/>
    <n v="0.05"/>
    <n v="10972.5"/>
    <n v="3"/>
    <s v="Upi"/>
    <s v="Aisha"/>
    <s v="kavya.nair@company.com"/>
    <n v="9394291182"/>
    <s v="Global Trade"/>
    <n v="24"/>
    <s v="Silver"/>
    <d v="2027-02-12T00:00:00"/>
    <s v="August"/>
    <x v="0"/>
  </r>
  <r>
    <s v="ORD10260"/>
    <s v="C007"/>
    <s v="P102"/>
    <d v="2026-05-09T00:00:00"/>
    <s v="13/05/2026"/>
    <s v="Arjun Rao"/>
    <s v="Male"/>
    <s v="07/02/1988"/>
    <s v="Hyderabad"/>
    <s v="South"/>
    <s v="RJ"/>
    <s v="Electronics"/>
    <s v="Mouse"/>
    <n v="18"/>
    <n v="525"/>
    <n v="0.05"/>
    <n v="8977.5"/>
    <n v="2"/>
    <s v="Upi"/>
    <s v="Aisha"/>
    <s v="arjun.rao@company.com"/>
    <n v="9616853220"/>
    <s v="TechHub"/>
    <n v="24"/>
    <s v="Silver"/>
    <d v="2028-05-13T00:00:00"/>
    <s v="February"/>
    <x v="1"/>
  </r>
  <r>
    <s v="ORD10261"/>
    <s v="C008"/>
    <s v="P302"/>
    <d v="2025-07-20T00:00:00"/>
    <s v="30/07/2025"/>
    <s v="Kavya Nair"/>
    <s v="Female"/>
    <s v="01/08/1976"/>
    <s v="Hyderabad"/>
    <s v="South"/>
    <s v="WB"/>
    <s v="Stationery"/>
    <s v="Pen"/>
    <n v="11"/>
    <n v="15"/>
    <n v="0"/>
    <n v="165"/>
    <n v="2"/>
    <s v="Netbanking"/>
    <s v="Neha"/>
    <s v="kavya.nair@company.com"/>
    <n v="9147552626"/>
    <s v="Prime Supplies"/>
    <n v="12"/>
    <s v="Silver"/>
    <d v="2026-07-30T00:00:00"/>
    <s v="August"/>
    <x v="1"/>
  </r>
  <r>
    <s v="ORD10262"/>
    <s v="C001"/>
    <s v="P104"/>
    <d v="2025-02-28T00:00:00"/>
    <s v="07/03/2025"/>
    <s v="Amit Sharma"/>
    <s v="Male"/>
    <s v="09/08/1991"/>
    <s v="Pune"/>
    <s v="West"/>
    <s v="RJ"/>
    <s v="Electronics"/>
    <s v="Monitor"/>
    <n v="17"/>
    <n v="9000"/>
    <n v="0.2"/>
    <n v="122400"/>
    <n v="4"/>
    <s v="Upi"/>
    <s v="Karan"/>
    <s v="amit.sharma@company.com"/>
    <n v="9724197033"/>
    <s v="Global Trade"/>
    <n v="24"/>
    <s v="Silver"/>
    <d v="2027-03-07T00:00:00"/>
    <s v="August"/>
    <x v="2"/>
  </r>
  <r>
    <s v="ORD10263"/>
    <s v="C006"/>
    <s v="P202"/>
    <d v="2025-07-08T00:00:00"/>
    <s v="13/07/2025"/>
    <s v="Sneha Joshi"/>
    <s v="Female"/>
    <s v="04/04/1981"/>
    <s v="Pune"/>
    <s v="West"/>
    <s v="WB"/>
    <s v="Home Appliances"/>
    <s v="Iron"/>
    <n v="4"/>
    <n v="1650"/>
    <n v="0.05"/>
    <n v="6270"/>
    <n v="2"/>
    <s v="Cash"/>
    <s v="Ritika"/>
    <s v="sneha.joshi@company.com"/>
    <n v="9130666128"/>
    <s v="Global Trade"/>
    <n v="24"/>
    <s v="Gold"/>
    <d v="2027-07-13T00:00:00"/>
    <s v="April"/>
    <x v="1"/>
  </r>
  <r>
    <s v="ORD10264"/>
    <s v="C008"/>
    <s v="P101"/>
    <d v="2025-12-12T00:00:00"/>
    <s v="19/12/2025"/>
    <s v="Kavya Nair"/>
    <s v="Female"/>
    <s v="01/08/1976"/>
    <s v="Hyderabad"/>
    <s v="South"/>
    <s v="WB"/>
    <s v="Electronics"/>
    <s v="Laptop"/>
    <n v="6"/>
    <n v="41250"/>
    <n v="0.2"/>
    <n v="198000"/>
    <n v="2"/>
    <s v="Upi"/>
    <s v="Karan"/>
    <s v="kavya.nair@company.com"/>
    <n v="9866567601"/>
    <s v="TechHub"/>
    <n v="12"/>
    <s v="Silver"/>
    <d v="2026-12-19T00:00:00"/>
    <s v="August"/>
    <x v="1"/>
  </r>
  <r>
    <s v="ORD10265"/>
    <s v="C009"/>
    <s v="P203"/>
    <d v="2026-01-04T00:00:00"/>
    <s v="14/01/2026"/>
    <s v="Mohit Verma"/>
    <s v="Male"/>
    <s v="13/04/1976"/>
    <s v="Delhi"/>
    <s v="North"/>
    <s v="KA"/>
    <s v="Home Appliances"/>
    <s v="Microwave"/>
    <n v="6"/>
    <n v="6375"/>
    <n v="0.1"/>
    <n v="34425"/>
    <n v="5"/>
    <s v="Upi"/>
    <s v="Aisha"/>
    <s v="mohit.verma@company.com"/>
    <n v="9477282450"/>
    <s v="TechHub"/>
    <n v="24"/>
    <s v="Platinum"/>
    <d v="2028-01-14T00:00:00"/>
    <s v="April"/>
    <x v="0"/>
  </r>
  <r>
    <s v="ORD10266"/>
    <s v="C008"/>
    <s v="P302"/>
    <d v="2025-08-20T00:00:00"/>
    <s v="25/08/2025"/>
    <s v="Kavya Nair"/>
    <s v="Female"/>
    <s v="01/08/1976"/>
    <s v="Hyderabad"/>
    <s v="South"/>
    <s v="WB"/>
    <s v="Stationery"/>
    <s v="Pen"/>
    <n v="6"/>
    <n v="15"/>
    <n v="0.15"/>
    <n v="76.5"/>
    <n v="2"/>
    <s v="Upi"/>
    <s v="Rahul"/>
    <s v="kavya.nair@company.com"/>
    <n v="9857621478"/>
    <s v="Prime Supplies"/>
    <n v="12"/>
    <s v="Silver"/>
    <d v="2026-08-25T00:00:00"/>
    <s v="August"/>
    <x v="1"/>
  </r>
  <r>
    <s v="ORD10267"/>
    <s v="C010"/>
    <s v="P301"/>
    <d v="2025-05-03T00:00:00"/>
    <s v="11/05/2025"/>
    <s v="Pooja Shah"/>
    <s v="Female"/>
    <s v="16/09/1994"/>
    <s v="Bengaluru"/>
    <s v="South"/>
    <s v="WB"/>
    <s v="Stationery"/>
    <s v="Notebook"/>
    <n v="6"/>
    <n v="45"/>
    <n v="0.05"/>
    <n v="256.5"/>
    <n v="1"/>
    <s v="Netbanking"/>
    <s v="Aisha"/>
    <s v="pooja.shah@company.com"/>
    <n v="9753869055"/>
    <s v="ABC Corp"/>
    <n v="12"/>
    <s v="Silver"/>
    <d v="2026-05-11T00:00:00"/>
    <s v="September"/>
    <x v="1"/>
  </r>
  <r>
    <s v="ORD10268"/>
    <s v="C003"/>
    <s v="P203"/>
    <d v="2025-01-09T00:00:00"/>
    <s v="12/01/2025"/>
    <s v="Rohit Singh"/>
    <s v="Male"/>
    <s v="10/05/1982"/>
    <s v="Delhi"/>
    <s v="North"/>
    <s v="DL"/>
    <s v="Home Appliances"/>
    <s v="Microwave"/>
    <n v="19"/>
    <n v="6375"/>
    <n v="0"/>
    <n v="121125"/>
    <n v="5"/>
    <s v="Upi"/>
    <s v="Karan"/>
    <s v="rohit.singh@company.com"/>
    <n v="9663266204"/>
    <s v="TechHub"/>
    <n v="24"/>
    <s v="Gold"/>
    <d v="2027-01-12T00:00:00"/>
    <s v="May"/>
    <x v="3"/>
  </r>
  <r>
    <s v="ORD10269"/>
    <s v="C006"/>
    <s v="P101"/>
    <d v="2025-09-01T00:00:00"/>
    <s v="10/09/2025"/>
    <s v="Sneha Joshi"/>
    <s v="Female"/>
    <s v="04/04/1981"/>
    <s v="Pune"/>
    <s v="West"/>
    <s v="WB"/>
    <s v="Electronics"/>
    <s v="Laptop"/>
    <n v="8"/>
    <n v="41250"/>
    <n v="0"/>
    <n v="330000"/>
    <n v="3"/>
    <s v="Card"/>
    <s v="Neha"/>
    <s v="sneha.joshi@company.com"/>
    <n v="9675208616"/>
    <s v="TechHub"/>
    <n v="12"/>
    <s v="Gold"/>
    <d v="2026-09-10T00:00:00"/>
    <s v="April"/>
    <x v="2"/>
  </r>
  <r>
    <s v="ORD10270"/>
    <s v="C009"/>
    <s v="P104"/>
    <d v="2026-05-02T00:00:00"/>
    <s v="07/05/2026"/>
    <s v="Mohit Verma"/>
    <s v="Male"/>
    <s v="13/04/1976"/>
    <s v="Delhi"/>
    <s v="North"/>
    <s v="KA"/>
    <s v="Electronics"/>
    <s v="Monitor"/>
    <n v="18"/>
    <n v="9000"/>
    <n v="0.2"/>
    <n v="129600"/>
    <n v="5"/>
    <s v="Upi"/>
    <s v="Aisha"/>
    <s v="mohit.verma@company.com"/>
    <n v="9618393586"/>
    <s v="Global Trade"/>
    <n v="24"/>
    <s v="Platinum"/>
    <d v="2028-05-07T00:00:00"/>
    <s v="April"/>
    <x v="2"/>
  </r>
  <r>
    <s v="ORD10271"/>
    <s v="C003"/>
    <s v="P203"/>
    <d v="2025-04-17T00:00:00"/>
    <s v="26/04/2025"/>
    <s v="Rohit Singh"/>
    <s v="Male"/>
    <s v="10/05/1982"/>
    <s v="Delhi"/>
    <s v="North"/>
    <s v="DL"/>
    <s v="Home Appliances"/>
    <s v="Microwave"/>
    <n v="8"/>
    <n v="6375"/>
    <n v="0.05"/>
    <n v="48450"/>
    <n v="2"/>
    <s v="Card"/>
    <s v="Aisha"/>
    <s v="rohit.singh@company.com"/>
    <n v="9137027840"/>
    <s v="TechHub"/>
    <n v="24"/>
    <s v="Gold"/>
    <d v="2027-04-26T00:00:00"/>
    <s v="May"/>
    <x v="1"/>
  </r>
  <r>
    <s v="ORD10272"/>
    <s v="C008"/>
    <s v="P302"/>
    <d v="2025-08-09T00:00:00"/>
    <s v="18/08/2025"/>
    <s v="Kavya Nair"/>
    <s v="Female"/>
    <s v="01/08/1976"/>
    <s v="Hyderabad"/>
    <s v="South"/>
    <s v="WB"/>
    <s v="Stationery"/>
    <s v="Pen"/>
    <n v="13"/>
    <n v="15"/>
    <n v="0.05"/>
    <n v="185.25"/>
    <n v="3"/>
    <s v="Netbanking"/>
    <s v="Neha"/>
    <s v="kavya.nair@company.com"/>
    <n v="9362758134"/>
    <s v="Prime Supplies"/>
    <n v="12"/>
    <s v="Silver"/>
    <d v="2026-08-18T00:00:00"/>
    <s v="August"/>
    <x v="0"/>
  </r>
  <r>
    <s v="ORD10273"/>
    <s v="C007"/>
    <s v="P301"/>
    <d v="2026-04-04T00:00:00"/>
    <s v="16/04/2026"/>
    <s v="Arjun Rao"/>
    <s v="Male"/>
    <s v="07/02/1988"/>
    <s v="Hyderabad"/>
    <s v="South"/>
    <s v="RJ"/>
    <s v="Stationery"/>
    <s v="Notebook"/>
    <n v="1"/>
    <n v="45"/>
    <n v="0.15"/>
    <n v="38.25"/>
    <n v="2"/>
    <s v="Card"/>
    <s v="Aisha"/>
    <s v="arjun.rao@company.com"/>
    <n v="9648541985"/>
    <s v="ABC Corp"/>
    <n v="12"/>
    <s v="Silver"/>
    <d v="2027-04-16T00:00:00"/>
    <s v="February"/>
    <x v="1"/>
  </r>
  <r>
    <s v="ORD10274"/>
    <s v="C010"/>
    <s v="P302"/>
    <d v="2025-06-22T00:00:00"/>
    <s v="28/06/2025"/>
    <s v="Pooja Shah"/>
    <s v="Female"/>
    <s v="16/09/1994"/>
    <s v="Bengaluru"/>
    <s v="South"/>
    <s v="WB"/>
    <s v="Stationery"/>
    <s v="Pen"/>
    <n v="5"/>
    <n v="15"/>
    <n v="0.05"/>
    <n v="71.25"/>
    <n v="2"/>
    <s v="Netbanking"/>
    <s v="Rahul"/>
    <s v="pooja.shah@company.com"/>
    <n v="9175002781"/>
    <s v="Prime Supplies"/>
    <n v="12"/>
    <s v="Silver"/>
    <d v="2026-06-28T00:00:00"/>
    <s v="September"/>
    <x v="1"/>
  </r>
  <r>
    <s v="ORD10275"/>
    <s v="C005"/>
    <s v="P302"/>
    <d v="2025-05-19T00:00:00"/>
    <s v="24/05/2025"/>
    <s v="Vikas Mehta"/>
    <s v="Male"/>
    <s v="03/08/1991"/>
    <s v="Mumbai"/>
    <s v="West"/>
    <s v="DL"/>
    <s v="Stationery"/>
    <s v="Pen"/>
    <n v="19"/>
    <n v="15"/>
    <n v="0.2"/>
    <n v="228"/>
    <n v="3"/>
    <s v="Cash"/>
    <s v="Ritika"/>
    <s v="vikas.mehta@company.com"/>
    <n v="9786241263"/>
    <s v="Prime Supplies"/>
    <n v="12"/>
    <s v="Gold"/>
    <d v="2026-05-24T00:00:00"/>
    <s v="August"/>
    <x v="0"/>
  </r>
  <r>
    <s v="ORD10276"/>
    <s v="C002"/>
    <s v="P303"/>
    <d v="2025-03-29T00:00:00"/>
    <s v="07/04/2025"/>
    <s v="Priya Patel"/>
    <s v="Female"/>
    <s v="07/03/1995"/>
    <s v="Mumbai"/>
    <s v="West"/>
    <s v="WB"/>
    <s v="Stationery"/>
    <s v="Marker"/>
    <n v="17"/>
    <n v="33.75"/>
    <n v="0.05"/>
    <n v="545.0625"/>
    <n v="4"/>
    <s v="Cash"/>
    <s v="Neha"/>
    <s v="priya.patel@company.com"/>
    <n v="9691078176"/>
    <s v="TechHub"/>
    <n v="12"/>
    <s v="Platinum"/>
    <d v="2026-04-07T00:00:00"/>
    <s v="March"/>
    <x v="0"/>
  </r>
  <r>
    <s v="ORD10277"/>
    <s v="C007"/>
    <s v="P102"/>
    <d v="2026-02-18T00:00:00"/>
    <s v="22/02/2026"/>
    <s v="Arjun Rao"/>
    <s v="Male"/>
    <s v="07/02/1988"/>
    <s v="Hyderabad"/>
    <s v="South"/>
    <s v="RJ"/>
    <s v="Electronics"/>
    <s v="Mouse"/>
    <n v="8"/>
    <n v="525"/>
    <n v="0.15"/>
    <n v="3570"/>
    <n v="4"/>
    <s v="Netbanking"/>
    <s v="Ritika"/>
    <s v="arjun.rao@company.com"/>
    <n v="9336679085"/>
    <s v="TechHub"/>
    <n v="24"/>
    <s v="Silver"/>
    <d v="2028-02-22T00:00:00"/>
    <s v="February"/>
    <x v="0"/>
  </r>
  <r>
    <s v="ORD10278"/>
    <s v="C004"/>
    <s v="P202"/>
    <d v="2026-01-21T00:00:00"/>
    <s v="29/01/2026"/>
    <s v="Anita Gupta"/>
    <s v="Female"/>
    <s v="16/01/2002"/>
    <s v="Pune"/>
    <s v="West"/>
    <s v="WB"/>
    <s v="Home Appliances"/>
    <s v="Iron"/>
    <n v="15"/>
    <n v="1650"/>
    <n v="0.1"/>
    <n v="22275"/>
    <n v="5"/>
    <s v="Upi"/>
    <s v="Karan"/>
    <s v="anita.gupta@company.com"/>
    <n v="9497351043"/>
    <s v="Global Trade"/>
    <n v="24"/>
    <s v="Gold"/>
    <d v="2028-01-29T00:00:00"/>
    <s v="January"/>
    <x v="0"/>
  </r>
  <r>
    <s v="ORD10279"/>
    <s v="C002"/>
    <s v="P202"/>
    <d v="2025-09-17T00:00:00"/>
    <s v="29/09/2025"/>
    <s v="Priya Patel"/>
    <s v="Female"/>
    <s v="07/03/1995"/>
    <s v="Mumbai"/>
    <s v="West"/>
    <s v="WB"/>
    <s v="Home Appliances"/>
    <s v="Iron"/>
    <n v="1"/>
    <n v="1650"/>
    <n v="0"/>
    <n v="1650"/>
    <n v="4"/>
    <s v="Cash"/>
    <s v="Rahul"/>
    <s v="priya.patel@company.com"/>
    <n v="9357038998"/>
    <s v="Global Trade"/>
    <n v="24"/>
    <s v="Platinum"/>
    <d v="2027-09-29T00:00:00"/>
    <s v="March"/>
    <x v="0"/>
  </r>
  <r>
    <s v="ORD10280"/>
    <s v="C006"/>
    <s v="P201"/>
    <d v="2025-06-19T00:00:00"/>
    <s v="30/06/2025"/>
    <s v="Sneha Joshi"/>
    <s v="Female"/>
    <s v="04/04/1981"/>
    <s v="Pune"/>
    <s v="West"/>
    <s v="WB"/>
    <s v="Home Appliances"/>
    <s v="Mixer"/>
    <n v="10"/>
    <n v="2625"/>
    <n v="0.1"/>
    <n v="23625"/>
    <n v="4"/>
    <s v="Netbanking"/>
    <s v="Ritika"/>
    <s v="sneha.joshi@company.com"/>
    <n v="9986371291"/>
    <s v="Global Trade"/>
    <n v="6"/>
    <s v="Gold"/>
    <d v="2025-12-30T00:00:00"/>
    <s v="April"/>
    <x v="0"/>
  </r>
  <r>
    <s v="ORD10281"/>
    <s v="C009"/>
    <s v="P201"/>
    <d v="2025-05-12T00:00:00"/>
    <s v="16/05/2025"/>
    <s v="Mohit Verma"/>
    <s v="Male"/>
    <s v="13/04/1976"/>
    <s v="Delhi"/>
    <s v="North"/>
    <s v="KA"/>
    <s v="Home Appliances"/>
    <s v="Mixer"/>
    <n v="16"/>
    <n v="2625"/>
    <n v="0.15"/>
    <n v="35700"/>
    <n v="1"/>
    <s v="Card"/>
    <s v="Neha"/>
    <s v="mohit.verma@company.com"/>
    <n v="9397839191"/>
    <s v="Global Trade"/>
    <n v="6"/>
    <s v="Platinum"/>
    <d v="2025-11-16T00:00:00"/>
    <s v="April"/>
    <x v="1"/>
  </r>
  <r>
    <s v="ORD10282"/>
    <s v="C006"/>
    <s v="P104"/>
    <d v="2025-09-06T00:00:00"/>
    <s v="18/09/2025"/>
    <s v="Sneha Joshi"/>
    <s v="Female"/>
    <s v="04/04/1981"/>
    <s v="Pune"/>
    <s v="West"/>
    <s v="WB"/>
    <s v="Electronics"/>
    <s v="Monitor"/>
    <n v="1"/>
    <n v="9000"/>
    <n v="0"/>
    <n v="9000"/>
    <n v="4"/>
    <s v="Netbanking"/>
    <s v="Neha"/>
    <s v="sneha.joshi@company.com"/>
    <n v="9162975843"/>
    <s v="Global Trade"/>
    <n v="24"/>
    <s v="Gold"/>
    <d v="2027-09-18T00:00:00"/>
    <s v="April"/>
    <x v="0"/>
  </r>
  <r>
    <s v="ORD10283"/>
    <s v="C007"/>
    <s v="P102"/>
    <d v="2025-04-23T00:00:00"/>
    <s v="29/04/2025"/>
    <s v="Arjun Rao"/>
    <s v="Male"/>
    <s v="07/02/1988"/>
    <s v="Hyderabad"/>
    <s v="South"/>
    <s v="RJ"/>
    <s v="Electronics"/>
    <s v="Mouse"/>
    <n v="6"/>
    <n v="525"/>
    <n v="0.2"/>
    <n v="2520"/>
    <n v="2"/>
    <s v="Netbanking"/>
    <s v="Neha"/>
    <s v="arjun.rao@company.com"/>
    <n v="9237616558"/>
    <s v="TechHub"/>
    <n v="24"/>
    <s v="Silver"/>
    <d v="2027-04-29T00:00:00"/>
    <s v="February"/>
    <x v="1"/>
  </r>
  <r>
    <s v="ORD10284"/>
    <s v="C009"/>
    <s v="P202"/>
    <d v="2026-02-21T00:00:00"/>
    <s v="27/02/2026"/>
    <s v="Mohit Verma"/>
    <s v="Male"/>
    <s v="13/04/1976"/>
    <s v="Delhi"/>
    <s v="North"/>
    <s v="KA"/>
    <s v="Home Appliances"/>
    <s v="Iron"/>
    <n v="3"/>
    <n v="1650"/>
    <n v="0"/>
    <n v="4950"/>
    <n v="4"/>
    <s v="Card"/>
    <s v="Ritika"/>
    <s v="mohit.verma@company.com"/>
    <n v="9935063989"/>
    <s v="Global Trade"/>
    <n v="24"/>
    <s v="Platinum"/>
    <d v="2028-02-27T00:00:00"/>
    <s v="April"/>
    <x v="0"/>
  </r>
  <r>
    <s v="ORD10285"/>
    <s v="C006"/>
    <s v="P303"/>
    <d v="2025-12-28T00:00:00"/>
    <s v="01/01/2026"/>
    <s v="Sneha Joshi"/>
    <s v="Female"/>
    <s v="04/04/1981"/>
    <s v="Pune"/>
    <s v="West"/>
    <s v="WB"/>
    <s v="Stationery"/>
    <s v="Marker"/>
    <n v="6"/>
    <n v="33.75"/>
    <n v="0.15"/>
    <n v="172.125"/>
    <n v="1"/>
    <s v="Upi"/>
    <s v="Rahul"/>
    <s v="sneha.joshi@company.com"/>
    <n v="9167376169"/>
    <s v="TechHub"/>
    <n v="12"/>
    <s v="Gold"/>
    <d v="2027-01-01T00:00:00"/>
    <s v="April"/>
    <x v="1"/>
  </r>
  <r>
    <s v="ORD10286"/>
    <s v="C006"/>
    <s v="P103"/>
    <d v="2025-09-22T00:00:00"/>
    <s v="30/09/2025"/>
    <s v="Sneha Joshi"/>
    <s v="Female"/>
    <s v="04/04/1981"/>
    <s v="Pune"/>
    <s v="West"/>
    <s v="WB"/>
    <s v="Electronics"/>
    <s v="Keyboard"/>
    <n v="2"/>
    <n v="900"/>
    <n v="0"/>
    <n v="1800"/>
    <n v="1"/>
    <s v="Cash"/>
    <s v="Karan"/>
    <s v="sneha.joshi@company.com"/>
    <n v="9231845497"/>
    <s v="TechHub"/>
    <n v="6"/>
    <s v="Gold"/>
    <d v="2026-03-30T00:00:00"/>
    <s v="April"/>
    <x v="1"/>
  </r>
  <r>
    <s v="ORD10287"/>
    <s v="C004"/>
    <s v="P102"/>
    <d v="2026-05-08T00:00:00"/>
    <s v="11/05/2026"/>
    <s v="Anita Gupta"/>
    <s v="Female"/>
    <s v="16/01/2002"/>
    <s v="Pune"/>
    <s v="West"/>
    <s v="WB"/>
    <s v="Electronics"/>
    <s v="Mouse"/>
    <n v="14"/>
    <n v="525"/>
    <n v="0.15"/>
    <n v="6247.5"/>
    <n v="5"/>
    <s v="Cash"/>
    <s v="Neha"/>
    <s v="anita.gupta@company.com"/>
    <n v="9409415805"/>
    <s v="TechHub"/>
    <n v="24"/>
    <s v="Gold"/>
    <d v="2028-05-11T00:00:00"/>
    <s v="January"/>
    <x v="0"/>
  </r>
  <r>
    <s v="ORD10288"/>
    <s v="C002"/>
    <s v="P302"/>
    <d v="2025-11-05T00:00:00"/>
    <s v="06/11/2025"/>
    <s v="Priya Patel"/>
    <s v="Female"/>
    <s v="07/03/1995"/>
    <s v="Mumbai"/>
    <s v="West"/>
    <s v="WB"/>
    <s v="Stationery"/>
    <s v="Pen"/>
    <n v="13"/>
    <n v="15"/>
    <n v="0.05"/>
    <n v="185.25"/>
    <n v="1"/>
    <s v="Card"/>
    <s v="Ritika"/>
    <s v="priya.patel@company.com"/>
    <n v="9240800508"/>
    <s v="Prime Supplies"/>
    <n v="12"/>
    <s v="Platinum"/>
    <d v="2026-11-06T00:00:00"/>
    <s v="March"/>
    <x v="1"/>
  </r>
  <r>
    <s v="ORD10289"/>
    <s v="C009"/>
    <s v="P202"/>
    <d v="2025-03-08T00:00:00"/>
    <s v="15/03/2025"/>
    <s v="Mohit Verma"/>
    <s v="Male"/>
    <s v="13/04/1976"/>
    <s v="Delhi"/>
    <s v="North"/>
    <s v="KA"/>
    <s v="Home Appliances"/>
    <s v="Iron"/>
    <n v="3"/>
    <n v="1650"/>
    <n v="0"/>
    <n v="4950"/>
    <n v="4"/>
    <s v="Netbanking"/>
    <s v="Aisha"/>
    <s v="mohit.verma@company.com"/>
    <n v="9764609936"/>
    <s v="Global Trade"/>
    <n v="24"/>
    <s v="Platinum"/>
    <d v="2027-03-15T00:00:00"/>
    <s v="April"/>
    <x v="0"/>
  </r>
  <r>
    <s v="ORD10290"/>
    <s v="C009"/>
    <s v="P301"/>
    <d v="2026-02-09T00:00:00"/>
    <s v="21/02/2026"/>
    <s v="Mohit Verma"/>
    <s v="Male"/>
    <s v="13/04/1976"/>
    <s v="Delhi"/>
    <s v="North"/>
    <s v="KA"/>
    <s v="Stationery"/>
    <s v="Notebook"/>
    <n v="3"/>
    <n v="45"/>
    <n v="0.15"/>
    <n v="114.75"/>
    <n v="4"/>
    <s v="Upi"/>
    <s v="Neha"/>
    <s v="mohit.verma@company.com"/>
    <n v="9362733217"/>
    <s v="ABC Corp"/>
    <n v="12"/>
    <s v="Platinum"/>
    <d v="2027-02-21T00:00:00"/>
    <s v="April"/>
    <x v="0"/>
  </r>
  <r>
    <s v="ORD10291"/>
    <s v="C003"/>
    <s v="P201"/>
    <d v="2025-03-17T00:00:00"/>
    <s v="23/03/2025"/>
    <s v="Rohit Singh"/>
    <s v="Male"/>
    <s v="10/05/1982"/>
    <s v="Delhi"/>
    <s v="North"/>
    <s v="DL"/>
    <s v="Home Appliances"/>
    <s v="Mixer"/>
    <n v="9"/>
    <n v="2625"/>
    <n v="0.05"/>
    <n v="22443.75"/>
    <n v="1"/>
    <s v="Cash"/>
    <s v="Aisha"/>
    <s v="rohit.singh@company.com"/>
    <n v="9270466205"/>
    <s v="Global Trade"/>
    <n v="6"/>
    <s v="Gold"/>
    <d v="2025-09-23T00:00:00"/>
    <s v="May"/>
    <x v="1"/>
  </r>
  <r>
    <s v="ORD10292"/>
    <s v="C001"/>
    <s v="P103"/>
    <d v="2025-03-27T00:00:00"/>
    <s v="01/04/2025"/>
    <s v="Amit Sharma"/>
    <s v="Male"/>
    <s v="09/08/1991"/>
    <s v="Pune"/>
    <s v="West"/>
    <s v="RJ"/>
    <s v="Electronics"/>
    <s v="Keyboard"/>
    <n v="5"/>
    <n v="900"/>
    <n v="0.2"/>
    <n v="3600"/>
    <n v="2"/>
    <s v="Upi"/>
    <s v="Neha"/>
    <s v="amit.sharma@company.com"/>
    <n v="9571436865"/>
    <s v="TechHub"/>
    <n v="6"/>
    <s v="Silver"/>
    <d v="2025-10-01T00:00:00"/>
    <s v="August"/>
    <x v="1"/>
  </r>
  <r>
    <s v="ORD10293"/>
    <s v="C010"/>
    <s v="P103"/>
    <d v="2025-03-12T00:00:00"/>
    <s v="14/03/2025"/>
    <s v="Pooja Shah"/>
    <s v="Female"/>
    <s v="16/09/1994"/>
    <s v="Bengaluru"/>
    <s v="South"/>
    <s v="WB"/>
    <s v="Electronics"/>
    <s v="Keyboard"/>
    <n v="10"/>
    <n v="900"/>
    <n v="0.2"/>
    <n v="7200"/>
    <n v="4"/>
    <s v="Cash"/>
    <s v="Rahul"/>
    <s v="pooja.shah@company.com"/>
    <n v="9307011171"/>
    <s v="TechHub"/>
    <n v="6"/>
    <s v="Silver"/>
    <d v="2025-09-14T00:00:00"/>
    <s v="September"/>
    <x v="0"/>
  </r>
  <r>
    <s v="ORD10294"/>
    <s v="C008"/>
    <s v="P103"/>
    <d v="2026-02-13T00:00:00"/>
    <s v="24/02/2026"/>
    <s v="Kavya Nair"/>
    <s v="Female"/>
    <s v="01/08/1976"/>
    <s v="Hyderabad"/>
    <s v="South"/>
    <s v="WB"/>
    <s v="Electronics"/>
    <s v="Keyboard"/>
    <n v="5"/>
    <n v="900"/>
    <n v="0.2"/>
    <n v="3600"/>
    <n v="3"/>
    <s v="Netbanking"/>
    <s v="Karan"/>
    <s v="kavya.nair@company.com"/>
    <n v="9922380435"/>
    <s v="TechHub"/>
    <n v="6"/>
    <s v="Silver"/>
    <d v="2026-08-24T00:00:00"/>
    <s v="August"/>
    <x v="0"/>
  </r>
  <r>
    <s v="ORD10295"/>
    <s v="C004"/>
    <s v="P302"/>
    <d v="2025-02-11T00:00:00"/>
    <s v="14/02/2025"/>
    <s v="Anita Gupta"/>
    <s v="Female"/>
    <s v="16/01/2002"/>
    <s v="Pune"/>
    <s v="West"/>
    <s v="WB"/>
    <s v="Stationery"/>
    <s v="Pen"/>
    <n v="10"/>
    <n v="15"/>
    <n v="0.05"/>
    <n v="142.5"/>
    <n v="4"/>
    <s v="Cash"/>
    <s v="Karan"/>
    <s v="anita.gupta@company.com"/>
    <n v="9463618792"/>
    <s v="Prime Supplies"/>
    <n v="12"/>
    <s v="Gold"/>
    <d v="2026-02-14T00:00:00"/>
    <s v="January"/>
    <x v="0"/>
  </r>
  <r>
    <s v="ORD10296"/>
    <s v="C002"/>
    <s v="P301"/>
    <d v="2025-01-17T00:00:00"/>
    <s v="27/01/2025"/>
    <s v="Priya Patel"/>
    <s v="Female"/>
    <s v="07/03/1995"/>
    <s v="Mumbai"/>
    <s v="West"/>
    <s v="WB"/>
    <s v="Stationery"/>
    <s v="Notebook"/>
    <n v="20"/>
    <n v="45"/>
    <n v="0.15"/>
    <n v="765"/>
    <n v="5"/>
    <s v="Card"/>
    <s v="Ritika"/>
    <s v="priya.patel@company.com"/>
    <n v="9954973200"/>
    <s v="ABC Corp"/>
    <n v="12"/>
    <s v="Platinum"/>
    <d v="2026-01-27T00:00:00"/>
    <s v="March"/>
    <x v="0"/>
  </r>
  <r>
    <s v="ORD10297"/>
    <s v="C001"/>
    <s v="P202"/>
    <d v="2025-04-01T00:00:00"/>
    <s v="12/04/2025"/>
    <s v="Amit Sharma"/>
    <s v="Male"/>
    <s v="09/08/1991"/>
    <s v="Pune"/>
    <s v="West"/>
    <s v="RJ"/>
    <s v="Home Appliances"/>
    <s v="Iron"/>
    <n v="7"/>
    <n v="1650"/>
    <n v="0.15"/>
    <n v="9817.5"/>
    <n v="4"/>
    <s v="Cash"/>
    <s v="Aisha"/>
    <s v="amit.sharma@company.com"/>
    <n v="9383199236"/>
    <s v="Global Trade"/>
    <n v="24"/>
    <s v="Silver"/>
    <d v="2027-04-12T00:00:00"/>
    <s v="August"/>
    <x v="0"/>
  </r>
  <r>
    <s v="ORD10298"/>
    <s v="C003"/>
    <s v="P101"/>
    <d v="2025-01-13T00:00:00"/>
    <s v="16/01/2025"/>
    <s v="Rohit Singh"/>
    <s v="Male"/>
    <s v="10/05/1982"/>
    <s v="Delhi"/>
    <s v="North"/>
    <s v="DL"/>
    <s v="Electronics"/>
    <s v="Laptop"/>
    <n v="11"/>
    <n v="41250"/>
    <n v="0.05"/>
    <n v="431062.5"/>
    <n v="1"/>
    <s v="Upi"/>
    <s v="Ritika"/>
    <s v="rohit.singh@company.com"/>
    <n v="9482699727"/>
    <s v="TechHub"/>
    <n v="12"/>
    <s v="Gold"/>
    <d v="2026-01-16T00:00:00"/>
    <s v="May"/>
    <x v="1"/>
  </r>
  <r>
    <s v="ORD10299"/>
    <s v="C007"/>
    <s v="P201"/>
    <d v="2025-10-05T00:00:00"/>
    <s v="17/10/2025"/>
    <s v="Arjun Rao"/>
    <s v="Male"/>
    <s v="07/02/1988"/>
    <s v="Hyderabad"/>
    <s v="South"/>
    <s v="RJ"/>
    <s v="Home Appliances"/>
    <s v="Mixer"/>
    <n v="12"/>
    <n v="2625"/>
    <n v="0"/>
    <n v="31500"/>
    <n v="2"/>
    <s v="Netbanking"/>
    <s v="NA"/>
    <s v="arjun.rao@company.com"/>
    <n v="9332473934"/>
    <s v="Global Trade"/>
    <n v="6"/>
    <s v="Silver"/>
    <d v="2026-04-17T00:00:00"/>
    <s v="February"/>
    <x v="1"/>
  </r>
  <r>
    <s v="ORD10300"/>
    <s v="C009"/>
    <s v="P303"/>
    <d v="2026-02-25T00:00:00"/>
    <s v="08/03/2026"/>
    <s v="Mohit Verma"/>
    <s v="Male"/>
    <s v="13/04/1976"/>
    <s v="Delhi"/>
    <s v="North"/>
    <s v="KA"/>
    <s v="Stationery"/>
    <s v="Marker"/>
    <n v="15"/>
    <n v="33.75"/>
    <n v="0.1"/>
    <n v="455.625"/>
    <n v="2"/>
    <s v="Cash"/>
    <s v="Karan"/>
    <s v="mohit.verma@company.com"/>
    <n v="9647657382"/>
    <s v="TechHub"/>
    <n v="12"/>
    <s v="Platinum"/>
    <d v="2027-03-08T00:00:00"/>
    <s v="April"/>
    <x v="1"/>
  </r>
  <r>
    <s v="ORD10301"/>
    <s v="C001"/>
    <s v="P303"/>
    <d v="2025-05-16T00:00:00"/>
    <s v="26/05/2025"/>
    <s v="Amit Sharma"/>
    <s v="Male"/>
    <s v="09/08/1991"/>
    <s v="Pune"/>
    <s v="West"/>
    <s v="RJ"/>
    <s v="Stationery"/>
    <s v="Marker"/>
    <n v="13"/>
    <n v="33.75"/>
    <n v="0"/>
    <n v="438.75"/>
    <n v="5"/>
    <s v="Netbanking"/>
    <s v="Rahul"/>
    <s v="amit.sharma@company.com"/>
    <n v="9736797776"/>
    <s v="TechHub"/>
    <n v="12"/>
    <s v="Silver"/>
    <d v="2026-05-26T00:00:00"/>
    <s v="August"/>
    <x v="0"/>
  </r>
  <r>
    <s v="ORD10302"/>
    <s v="C003"/>
    <s v="P101"/>
    <d v="2026-01-02T00:00:00"/>
    <s v="05/01/2026"/>
    <s v="Rohit Singh"/>
    <s v="Male"/>
    <s v="10/05/1982"/>
    <s v="Delhi"/>
    <s v="North"/>
    <s v="DL"/>
    <s v="Electronics"/>
    <s v="Laptop"/>
    <n v="8"/>
    <n v="41250"/>
    <n v="0"/>
    <n v="330000"/>
    <n v="2"/>
    <s v="Upi"/>
    <s v="Karan"/>
    <s v="rohit.singh@company.com"/>
    <n v="9745773533"/>
    <s v="TechHub"/>
    <n v="12"/>
    <s v="Gold"/>
    <d v="2027-01-05T00:00:00"/>
    <s v="May"/>
    <x v="1"/>
  </r>
  <r>
    <s v="ORD10303"/>
    <s v="C006"/>
    <s v="P101"/>
    <d v="2025-07-23T00:00:00"/>
    <s v="27/07/2025"/>
    <s v="Sneha Joshi"/>
    <s v="Female"/>
    <s v="04/04/1981"/>
    <s v="Pune"/>
    <s v="West"/>
    <s v="WB"/>
    <s v="Electronics"/>
    <s v="Laptop"/>
    <n v="4"/>
    <n v="41250"/>
    <n v="0.2"/>
    <n v="132000"/>
    <n v="5"/>
    <s v="Cash"/>
    <s v="Rahul"/>
    <s v="sneha.joshi@company.com"/>
    <n v="9246715757"/>
    <s v="TechHub"/>
    <n v="12"/>
    <s v="Gold"/>
    <d v="2026-07-27T00:00:00"/>
    <s v="April"/>
    <x v="2"/>
  </r>
  <r>
    <s v="ORD10304"/>
    <s v="C008"/>
    <s v="P201"/>
    <d v="2026-04-23T00:00:00"/>
    <s v="26/04/2026"/>
    <s v="Kavya Nair"/>
    <s v="Female"/>
    <s v="01/08/1976"/>
    <s v="Hyderabad"/>
    <s v="South"/>
    <s v="WB"/>
    <s v="Home Appliances"/>
    <s v="Mixer"/>
    <n v="19"/>
    <n v="2625"/>
    <n v="0.05"/>
    <n v="47381.25"/>
    <n v="1"/>
    <s v="Card"/>
    <s v="Neha"/>
    <s v="kavya.nair@company.com"/>
    <n v="9904065774"/>
    <s v="Global Trade"/>
    <n v="6"/>
    <s v="Silver"/>
    <d v="2026-10-26T00:00:00"/>
    <s v="August"/>
    <x v="1"/>
  </r>
  <r>
    <s v="ORD10305"/>
    <s v="C005"/>
    <s v="P103"/>
    <d v="2025-03-02T00:00:00"/>
    <s v="06/03/2025"/>
    <s v="Vikas Mehta"/>
    <s v="Male"/>
    <s v="03/08/1991"/>
    <s v="Mumbai"/>
    <s v="West"/>
    <s v="DL"/>
    <s v="Electronics"/>
    <s v="Keyboard"/>
    <n v="17"/>
    <n v="900"/>
    <n v="0.15"/>
    <n v="13005"/>
    <n v="2"/>
    <s v="Netbanking"/>
    <s v="Rahul"/>
    <s v="vikas.mehta@company.com"/>
    <n v="9652985385"/>
    <s v="TechHub"/>
    <n v="6"/>
    <s v="Gold"/>
    <d v="2025-09-06T00:00:00"/>
    <s v="August"/>
    <x v="1"/>
  </r>
  <r>
    <s v="ORD10306"/>
    <s v="C008"/>
    <s v="P202"/>
    <d v="2026-02-09T00:00:00"/>
    <s v="17/02/2026"/>
    <s v="Kavya Nair"/>
    <s v="Female"/>
    <s v="01/08/1976"/>
    <s v="Hyderabad"/>
    <s v="South"/>
    <s v="WB"/>
    <s v="Home Appliances"/>
    <s v="Iron"/>
    <n v="8"/>
    <n v="1650"/>
    <n v="0.05"/>
    <n v="12540"/>
    <n v="3"/>
    <s v="Card"/>
    <s v="Neha"/>
    <s v="kavya.nair@company.com"/>
    <n v="9427001508"/>
    <s v="Global Trade"/>
    <n v="24"/>
    <s v="Silver"/>
    <d v="2028-02-17T00:00:00"/>
    <s v="August"/>
    <x v="0"/>
  </r>
  <r>
    <s v="ORD10307"/>
    <s v="C006"/>
    <s v="P102"/>
    <d v="2025-02-16T00:00:00"/>
    <s v="26/02/2025"/>
    <s v="Sneha Joshi"/>
    <s v="Female"/>
    <s v="04/04/1981"/>
    <s v="Pune"/>
    <s v="West"/>
    <s v="WB"/>
    <s v="Electronics"/>
    <s v="Mouse"/>
    <n v="17"/>
    <n v="525"/>
    <n v="0.2"/>
    <n v="7140"/>
    <n v="4"/>
    <s v="Netbanking"/>
    <s v="Neha"/>
    <s v="sneha.joshi@company.com"/>
    <n v="9666803655"/>
    <s v="TechHub"/>
    <n v="24"/>
    <s v="Gold"/>
    <d v="2027-02-26T00:00:00"/>
    <s v="April"/>
    <x v="0"/>
  </r>
  <r>
    <s v="ORD10308"/>
    <s v="C006"/>
    <s v="P203"/>
    <d v="2025-08-28T00:00:00"/>
    <s v="08/09/2025"/>
    <s v="Sneha Joshi"/>
    <s v="Female"/>
    <s v="04/04/1981"/>
    <s v="Pune"/>
    <s v="West"/>
    <s v="WB"/>
    <s v="Home Appliances"/>
    <s v="Microwave"/>
    <n v="6"/>
    <n v="6375"/>
    <n v="0.15"/>
    <n v="32512.5"/>
    <n v="1"/>
    <s v="Cash"/>
    <s v="Aisha"/>
    <s v="sneha.joshi@company.com"/>
    <n v="9134878547"/>
    <s v="TechHub"/>
    <n v="24"/>
    <s v="Gold"/>
    <d v="2027-09-08T00:00:00"/>
    <s v="April"/>
    <x v="1"/>
  </r>
  <r>
    <s v="ORD10309"/>
    <s v="C010"/>
    <s v="P201"/>
    <d v="2025-10-06T00:00:00"/>
    <s v="11/10/2025"/>
    <s v="Pooja Shah"/>
    <s v="Female"/>
    <s v="16/09/1994"/>
    <s v="Bengaluru"/>
    <s v="South"/>
    <s v="WB"/>
    <s v="Home Appliances"/>
    <s v="Mixer"/>
    <n v="3"/>
    <n v="2625"/>
    <n v="0.1"/>
    <n v="7087.5"/>
    <n v="1"/>
    <s v="Netbanking"/>
    <s v="Rahul"/>
    <s v="pooja.shah@company.com"/>
    <n v="9253593557"/>
    <s v="Global Trade"/>
    <n v="6"/>
    <s v="Silver"/>
    <d v="2026-04-11T00:00:00"/>
    <s v="September"/>
    <x v="1"/>
  </r>
  <r>
    <s v="ORD10310"/>
    <s v="C009"/>
    <s v="P104"/>
    <d v="2025-01-17T00:00:00"/>
    <s v="29/01/2025"/>
    <s v="Mohit Verma"/>
    <s v="Male"/>
    <s v="13/04/1976"/>
    <s v="Delhi"/>
    <s v="North"/>
    <s v="KA"/>
    <s v="Electronics"/>
    <s v="Monitor"/>
    <n v="2"/>
    <n v="9000"/>
    <n v="0.2"/>
    <n v="14400"/>
    <n v="1"/>
    <s v="Card"/>
    <s v="Aisha"/>
    <s v="mohit.verma@company.com"/>
    <n v="9183094051"/>
    <s v="Global Trade"/>
    <n v="24"/>
    <s v="Platinum"/>
    <d v="2027-01-29T00:00:00"/>
    <s v="April"/>
    <x v="1"/>
  </r>
  <r>
    <s v="ORD10311"/>
    <s v="C005"/>
    <s v="P302"/>
    <d v="2025-10-13T00:00:00"/>
    <s v="16/10/2025"/>
    <s v="Vikas Mehta"/>
    <s v="Male"/>
    <s v="03/08/1991"/>
    <s v="Mumbai"/>
    <s v="West"/>
    <s v="DL"/>
    <s v="Stationery"/>
    <s v="Pen"/>
    <n v="12"/>
    <n v="15"/>
    <n v="0.2"/>
    <n v="144"/>
    <n v="2"/>
    <s v="Card"/>
    <s v="Rahul"/>
    <s v="vikas.mehta@company.com"/>
    <n v="9293147620"/>
    <s v="Prime Supplies"/>
    <n v="12"/>
    <s v="Gold"/>
    <d v="2026-10-16T00:00:00"/>
    <s v="August"/>
    <x v="1"/>
  </r>
  <r>
    <s v="ORD10312"/>
    <s v="C002"/>
    <s v="P104"/>
    <d v="2026-04-26T00:00:00"/>
    <s v="28/04/2026"/>
    <s v="Priya Patel"/>
    <s v="Female"/>
    <s v="07/03/1995"/>
    <s v="Mumbai"/>
    <s v="West"/>
    <s v="WB"/>
    <s v="Electronics"/>
    <s v="Monitor"/>
    <n v="20"/>
    <n v="9000"/>
    <n v="0.15"/>
    <n v="153000"/>
    <n v="3"/>
    <s v="Cash"/>
    <s v="Ritika"/>
    <s v="priya.patel@company.com"/>
    <n v="9755583734"/>
    <s v="Global Trade"/>
    <n v="24"/>
    <s v="Platinum"/>
    <d v="2028-04-28T00:00:00"/>
    <s v="March"/>
    <x v="2"/>
  </r>
  <r>
    <s v="ORD10313"/>
    <s v="C010"/>
    <s v="P301"/>
    <d v="2026-03-24T00:00:00"/>
    <s v="04/04/2026"/>
    <s v="Pooja Shah"/>
    <s v="Female"/>
    <s v="16/09/1994"/>
    <s v="Bengaluru"/>
    <s v="South"/>
    <s v="WB"/>
    <s v="Stationery"/>
    <s v="Notebook"/>
    <n v="13"/>
    <n v="45"/>
    <n v="0.1"/>
    <n v="526.5"/>
    <n v="5"/>
    <s v="Cash"/>
    <s v="Ritika"/>
    <s v="pooja.shah@company.com"/>
    <n v="9186592813"/>
    <s v="ABC Corp"/>
    <n v="12"/>
    <s v="Silver"/>
    <d v="2027-04-04T00:00:00"/>
    <s v="September"/>
    <x v="0"/>
  </r>
  <r>
    <s v="ORD10314"/>
    <s v="C009"/>
    <s v="P101"/>
    <d v="2025-05-08T00:00:00"/>
    <s v="19/05/2025"/>
    <s v="Mohit Verma"/>
    <s v="Male"/>
    <s v="13/04/1976"/>
    <s v="Delhi"/>
    <s v="North"/>
    <s v="KA"/>
    <s v="Electronics"/>
    <s v="Laptop"/>
    <n v="13"/>
    <n v="41250"/>
    <n v="0.05"/>
    <n v="509437.5"/>
    <n v="1"/>
    <s v="Upi"/>
    <s v="Karan"/>
    <s v="mohit.verma@company.com"/>
    <n v="9203482008"/>
    <s v="TechHub"/>
    <n v="12"/>
    <s v="Platinum"/>
    <d v="2026-05-19T00:00:00"/>
    <s v="April"/>
    <x v="1"/>
  </r>
  <r>
    <s v="ORD10315"/>
    <s v="C002"/>
    <s v="P103"/>
    <d v="2026-03-07T00:00:00"/>
    <s v="10/03/2026"/>
    <s v="Priya Patel"/>
    <s v="Female"/>
    <s v="07/03/1995"/>
    <s v="Mumbai"/>
    <s v="West"/>
    <s v="WB"/>
    <s v="Electronics"/>
    <s v="Keyboard"/>
    <n v="7"/>
    <n v="900"/>
    <n v="0.15"/>
    <n v="5355"/>
    <n v="5"/>
    <s v="Upi"/>
    <s v="Rahul"/>
    <s v="priya.patel@company.com"/>
    <n v="9829888777"/>
    <s v="TechHub"/>
    <n v="6"/>
    <s v="Platinum"/>
    <d v="2026-09-10T00:00:00"/>
    <s v="March"/>
    <x v="0"/>
  </r>
  <r>
    <s v="ORD10316"/>
    <s v="C007"/>
    <s v="P104"/>
    <d v="2025-12-26T00:00:00"/>
    <s v="30/12/2025"/>
    <s v="Arjun Rao"/>
    <s v="Male"/>
    <s v="07/02/1988"/>
    <s v="Hyderabad"/>
    <s v="South"/>
    <s v="RJ"/>
    <s v="Electronics"/>
    <s v="Monitor"/>
    <n v="17"/>
    <n v="9000"/>
    <n v="0.05"/>
    <n v="145350"/>
    <n v="1"/>
    <s v="Cash"/>
    <s v="Aisha"/>
    <s v="arjun.rao@company.com"/>
    <n v="9566101317"/>
    <s v="Global Trade"/>
    <n v="24"/>
    <s v="Silver"/>
    <d v="2027-12-30T00:00:00"/>
    <s v="February"/>
    <x v="1"/>
  </r>
  <r>
    <s v="ORD10317"/>
    <s v="C007"/>
    <s v="P302"/>
    <d v="2026-04-19T00:00:00"/>
    <s v="25/04/2026"/>
    <s v="Arjun Rao"/>
    <s v="Male"/>
    <s v="07/02/1988"/>
    <s v="Hyderabad"/>
    <s v="South"/>
    <s v="RJ"/>
    <s v="Stationery"/>
    <s v="Pen"/>
    <n v="10"/>
    <n v="15"/>
    <n v="0.05"/>
    <n v="142.5"/>
    <n v="2"/>
    <s v="Cash"/>
    <s v="Aisha"/>
    <s v="arjun.rao@company.com"/>
    <n v="9706240823"/>
    <s v="Prime Supplies"/>
    <n v="12"/>
    <s v="Silver"/>
    <d v="2027-04-25T00:00:00"/>
    <s v="February"/>
    <x v="1"/>
  </r>
  <r>
    <s v="ORD10318"/>
    <s v="C004"/>
    <s v="P202"/>
    <d v="2025-11-05T00:00:00"/>
    <s v="08/11/2025"/>
    <s v="Anita Gupta"/>
    <s v="Female"/>
    <s v="16/01/2002"/>
    <s v="Pune"/>
    <s v="West"/>
    <s v="WB"/>
    <s v="Home Appliances"/>
    <s v="Iron"/>
    <n v="11"/>
    <n v="1650"/>
    <n v="0.05"/>
    <n v="17242.5"/>
    <n v="5"/>
    <s v="Card"/>
    <s v="Rahul"/>
    <s v="anita.gupta@company.com"/>
    <n v="9259943760"/>
    <s v="Global Trade"/>
    <n v="24"/>
    <s v="Gold"/>
    <d v="2027-11-08T00:00:00"/>
    <s v="January"/>
    <x v="0"/>
  </r>
  <r>
    <s v="ORD10319"/>
    <s v="C002"/>
    <s v="P301"/>
    <d v="2026-02-24T00:00:00"/>
    <s v="28/02/2026"/>
    <s v="Priya Patel"/>
    <s v="Female"/>
    <s v="07/03/1995"/>
    <s v="Mumbai"/>
    <s v="West"/>
    <s v="WB"/>
    <s v="Stationery"/>
    <s v="Notebook"/>
    <n v="8"/>
    <n v="45"/>
    <n v="0.15"/>
    <n v="306"/>
    <n v="4"/>
    <s v="Cash"/>
    <s v="Rahul"/>
    <s v="priya.patel@company.com"/>
    <n v="9527326977"/>
    <s v="ABC Corp"/>
    <n v="12"/>
    <s v="Platinum"/>
    <d v="2027-02-28T00:00:00"/>
    <s v="March"/>
    <x v="0"/>
  </r>
  <r>
    <s v="ORD10320"/>
    <s v="C005"/>
    <s v="P303"/>
    <d v="2025-03-23T00:00:00"/>
    <s v="25/03/2025"/>
    <s v="Vikas Mehta"/>
    <s v="Male"/>
    <s v="03/08/1991"/>
    <s v="Mumbai"/>
    <s v="West"/>
    <s v="DL"/>
    <s v="Stationery"/>
    <s v="Marker"/>
    <n v="17"/>
    <n v="33.75"/>
    <n v="0.15"/>
    <n v="487.6875"/>
    <n v="2"/>
    <s v="Upi"/>
    <s v="Karan"/>
    <s v="vikas.mehta@company.com"/>
    <n v="9886970990"/>
    <s v="TechHub"/>
    <n v="12"/>
    <s v="Gold"/>
    <d v="2026-03-25T00:00:00"/>
    <s v="August"/>
    <x v="1"/>
  </r>
  <r>
    <s v="ORD10321"/>
    <s v="C001"/>
    <s v="P102"/>
    <d v="2025-02-27T00:00:00"/>
    <s v="10/03/2025"/>
    <s v="Amit Sharma"/>
    <s v="Male"/>
    <s v="09/08/1991"/>
    <s v="Pune"/>
    <s v="West"/>
    <s v="RJ"/>
    <s v="Electronics"/>
    <s v="Mouse"/>
    <n v="14"/>
    <n v="525"/>
    <n v="0.15"/>
    <n v="6247.5"/>
    <n v="1"/>
    <s v="Card"/>
    <s v="Neha"/>
    <s v="amit.sharma@company.com"/>
    <n v="9106930369"/>
    <s v="TechHub"/>
    <n v="24"/>
    <s v="Silver"/>
    <d v="2027-03-10T00:00:00"/>
    <s v="August"/>
    <x v="1"/>
  </r>
  <r>
    <s v="ORD10322"/>
    <s v="C007"/>
    <s v="P103"/>
    <d v="2025-06-03T00:00:00"/>
    <s v="14/06/2025"/>
    <s v="Arjun Rao"/>
    <s v="Male"/>
    <s v="07/02/1988"/>
    <s v="Hyderabad"/>
    <s v="South"/>
    <s v="RJ"/>
    <s v="Electronics"/>
    <s v="Keyboard"/>
    <n v="3"/>
    <n v="900"/>
    <n v="0.05"/>
    <n v="2565"/>
    <n v="3"/>
    <s v="Netbanking"/>
    <s v="Karan"/>
    <s v="arjun.rao@company.com"/>
    <n v="9342009114"/>
    <s v="TechHub"/>
    <n v="6"/>
    <s v="Silver"/>
    <d v="2025-12-14T00:00:00"/>
    <s v="February"/>
    <x v="0"/>
  </r>
  <r>
    <s v="ORD10323"/>
    <s v="C008"/>
    <s v="P103"/>
    <d v="2025-07-07T00:00:00"/>
    <s v="16/07/2025"/>
    <s v="Kavya Nair"/>
    <s v="Female"/>
    <s v="01/08/1976"/>
    <s v="Hyderabad"/>
    <s v="South"/>
    <s v="WB"/>
    <s v="Electronics"/>
    <s v="Keyboard"/>
    <n v="9"/>
    <n v="900"/>
    <n v="0.15"/>
    <n v="6885"/>
    <n v="3"/>
    <s v="Cash"/>
    <s v="Rahul"/>
    <s v="kavya.nair@company.com"/>
    <n v="9992739960"/>
    <s v="TechHub"/>
    <n v="6"/>
    <s v="Silver"/>
    <d v="2026-01-16T00:00:00"/>
    <s v="August"/>
    <x v="0"/>
  </r>
  <r>
    <s v="ORD10324"/>
    <s v="C006"/>
    <s v="P302"/>
    <d v="2026-04-20T00:00:00"/>
    <s v="21/04/2026"/>
    <s v="Sneha Joshi"/>
    <s v="Female"/>
    <s v="04/04/1981"/>
    <s v="Pune"/>
    <s v="West"/>
    <s v="WB"/>
    <s v="Stationery"/>
    <s v="Pen"/>
    <n v="5"/>
    <n v="15"/>
    <n v="0.05"/>
    <n v="71.25"/>
    <n v="4"/>
    <s v="Cash"/>
    <s v="Karan"/>
    <s v="sneha.joshi@company.com"/>
    <n v="9241987748"/>
    <s v="Prime Supplies"/>
    <n v="12"/>
    <s v="Gold"/>
    <d v="2027-04-21T00:00:00"/>
    <s v="April"/>
    <x v="0"/>
  </r>
  <r>
    <s v="ORD10325"/>
    <s v="C006"/>
    <s v="P202"/>
    <d v="2025-12-10T00:00:00"/>
    <s v="21/12/2025"/>
    <s v="Sneha Joshi"/>
    <s v="Female"/>
    <s v="04/04/1981"/>
    <s v="Pune"/>
    <s v="West"/>
    <s v="WB"/>
    <s v="Home Appliances"/>
    <s v="Iron"/>
    <n v="8"/>
    <n v="1650"/>
    <n v="0.1"/>
    <n v="11880"/>
    <n v="4"/>
    <s v="Upi"/>
    <s v="Aisha"/>
    <s v="sneha.joshi@company.com"/>
    <n v="9571990711"/>
    <s v="Global Trade"/>
    <n v="24"/>
    <s v="Gold"/>
    <d v="2027-12-21T00:00:00"/>
    <s v="April"/>
    <x v="0"/>
  </r>
  <r>
    <s v="ORD10326"/>
    <s v="C006"/>
    <s v="P102"/>
    <d v="2026-03-08T00:00:00"/>
    <s v="12/03/2026"/>
    <s v="Sneha Joshi"/>
    <s v="Female"/>
    <s v="04/04/1981"/>
    <s v="Pune"/>
    <s v="West"/>
    <s v="WB"/>
    <s v="Electronics"/>
    <s v="Mouse"/>
    <n v="10"/>
    <n v="525"/>
    <n v="0.2"/>
    <n v="4200"/>
    <n v="1"/>
    <s v="Upi"/>
    <s v="Neha"/>
    <s v="sneha.joshi@company.com"/>
    <n v="9219231183"/>
    <s v="TechHub"/>
    <n v="24"/>
    <s v="Gold"/>
    <d v="2028-03-12T00:00:00"/>
    <s v="April"/>
    <x v="1"/>
  </r>
  <r>
    <s v="ORD10327"/>
    <s v="C007"/>
    <s v="P102"/>
    <d v="2025-11-25T00:00:00"/>
    <s v="28/11/2025"/>
    <s v="Arjun Rao"/>
    <s v="Male"/>
    <s v="07/02/1988"/>
    <s v="Hyderabad"/>
    <s v="South"/>
    <s v="RJ"/>
    <s v="Electronics"/>
    <s v="Mouse"/>
    <n v="2"/>
    <n v="525"/>
    <n v="0.2"/>
    <n v="840"/>
    <n v="2"/>
    <s v="Cash"/>
    <s v="Neha"/>
    <s v="arjun.rao@company.com"/>
    <n v="9847386174"/>
    <s v="TechHub"/>
    <n v="24"/>
    <s v="Silver"/>
    <d v="2027-11-28T00:00:00"/>
    <s v="February"/>
    <x v="1"/>
  </r>
  <r>
    <s v="ORD10328"/>
    <s v="C005"/>
    <s v="P201"/>
    <d v="2025-06-19T00:00:00"/>
    <s v="28/06/2025"/>
    <s v="Vikas Mehta"/>
    <s v="Male"/>
    <s v="03/08/1991"/>
    <s v="Mumbai"/>
    <s v="West"/>
    <s v="DL"/>
    <s v="Home Appliances"/>
    <s v="Mixer"/>
    <n v="16"/>
    <n v="2625"/>
    <n v="0.2"/>
    <n v="33600"/>
    <n v="2"/>
    <s v="Upi"/>
    <s v="Ritika"/>
    <s v="vikas.mehta@company.com"/>
    <n v="9941274924"/>
    <s v="Global Trade"/>
    <n v="6"/>
    <s v="Gold"/>
    <d v="2025-12-28T00:00:00"/>
    <s v="August"/>
    <x v="1"/>
  </r>
  <r>
    <s v="ORD10329"/>
    <s v="C004"/>
    <s v="P201"/>
    <d v="2025-07-22T00:00:00"/>
    <s v="01/08/2025"/>
    <s v="Anita Gupta"/>
    <s v="Female"/>
    <s v="16/01/2002"/>
    <s v="Pune"/>
    <s v="West"/>
    <s v="WB"/>
    <s v="Home Appliances"/>
    <s v="Mixer"/>
    <n v="9"/>
    <n v="2625"/>
    <n v="0.2"/>
    <n v="18900"/>
    <n v="1"/>
    <s v="Card"/>
    <s v="Rahul"/>
    <s v="anita.gupta@company.com"/>
    <n v="9950650508"/>
    <s v="Global Trade"/>
    <n v="6"/>
    <s v="Gold"/>
    <d v="2026-02-01T00:00:00"/>
    <s v="January"/>
    <x v="1"/>
  </r>
  <r>
    <s v="ORD10330"/>
    <s v="C003"/>
    <s v="P102"/>
    <d v="2025-10-29T00:00:00"/>
    <s v="30/10/2025"/>
    <s v="Rohit Singh"/>
    <s v="Male"/>
    <s v="10/05/1982"/>
    <s v="Delhi"/>
    <s v="North"/>
    <s v="DL"/>
    <s v="Electronics"/>
    <s v="Mouse"/>
    <n v="15"/>
    <n v="525"/>
    <n v="0.05"/>
    <n v="7481.25"/>
    <n v="1"/>
    <s v="Cash"/>
    <s v="Rahul"/>
    <s v="rohit.singh@company.com"/>
    <n v="9464035549"/>
    <s v="TechHub"/>
    <n v="24"/>
    <s v="Gold"/>
    <d v="2027-10-30T00:00:00"/>
    <s v="May"/>
    <x v="1"/>
  </r>
  <r>
    <s v="ORD10331"/>
    <s v="C010"/>
    <s v="P103"/>
    <d v="2026-03-05T00:00:00"/>
    <s v="10/03/2026"/>
    <s v="Pooja Shah"/>
    <s v="Female"/>
    <s v="16/09/1994"/>
    <s v="Bengaluru"/>
    <s v="South"/>
    <s v="WB"/>
    <s v="Electronics"/>
    <s v="Keyboard"/>
    <n v="13"/>
    <n v="900"/>
    <n v="0"/>
    <n v="11700"/>
    <n v="3"/>
    <s v="Netbanking"/>
    <s v="Neha"/>
    <s v="pooja.shah@company.com"/>
    <n v="9142334315"/>
    <s v="TechHub"/>
    <n v="6"/>
    <s v="Silver"/>
    <d v="2026-09-10T00:00:00"/>
    <s v="September"/>
    <x v="0"/>
  </r>
  <r>
    <s v="ORD10332"/>
    <s v="C001"/>
    <s v="P104"/>
    <d v="2025-08-26T00:00:00"/>
    <s v="07/09/2025"/>
    <s v="Amit Sharma"/>
    <s v="Male"/>
    <s v="09/08/1991"/>
    <s v="Pune"/>
    <s v="West"/>
    <s v="RJ"/>
    <s v="Electronics"/>
    <s v="Monitor"/>
    <n v="5"/>
    <n v="9000"/>
    <n v="0.1"/>
    <n v="40500"/>
    <n v="3"/>
    <s v="Upi"/>
    <s v="Rahul"/>
    <s v="amit.sharma@company.com"/>
    <n v="9123961962"/>
    <s v="Global Trade"/>
    <n v="24"/>
    <s v="Silver"/>
    <d v="2027-09-07T00:00:00"/>
    <s v="August"/>
    <x v="0"/>
  </r>
  <r>
    <s v="ORD10333"/>
    <s v="C010"/>
    <s v="P303"/>
    <d v="2025-04-05T00:00:00"/>
    <s v="08/04/2025"/>
    <s v="Pooja Shah"/>
    <s v="Female"/>
    <s v="16/09/1994"/>
    <s v="Bengaluru"/>
    <s v="South"/>
    <s v="WB"/>
    <s v="Stationery"/>
    <s v="Marker"/>
    <n v="12"/>
    <n v="33.75"/>
    <n v="0.2"/>
    <n v="324"/>
    <n v="3"/>
    <s v="Netbanking"/>
    <s v="Aisha"/>
    <s v="pooja.shah@company.com"/>
    <n v="9741953402"/>
    <s v="TechHub"/>
    <n v="12"/>
    <s v="Silver"/>
    <d v="2026-04-08T00:00:00"/>
    <s v="September"/>
    <x v="0"/>
  </r>
  <r>
    <s v="ORD10334"/>
    <s v="C008"/>
    <s v="P201"/>
    <d v="2025-04-09T00:00:00"/>
    <s v="14/04/2025"/>
    <s v="Kavya Nair"/>
    <s v="Female"/>
    <s v="01/08/1976"/>
    <s v="Hyderabad"/>
    <s v="South"/>
    <s v="WB"/>
    <s v="Home Appliances"/>
    <s v="Mixer"/>
    <n v="2"/>
    <n v="2625"/>
    <n v="0"/>
    <n v="5250"/>
    <n v="1"/>
    <s v="Netbanking"/>
    <s v="Neha"/>
    <s v="kavya.nair@company.com"/>
    <n v="9404733633"/>
    <s v="Global Trade"/>
    <n v="6"/>
    <s v="Silver"/>
    <d v="2025-10-14T00:00:00"/>
    <s v="August"/>
    <x v="1"/>
  </r>
  <r>
    <s v="ORD10335"/>
    <s v="C008"/>
    <s v="P202"/>
    <d v="2026-05-13T00:00:00"/>
    <s v="16/05/2026"/>
    <s v="Kavya Nair"/>
    <s v="Female"/>
    <s v="01/08/1976"/>
    <s v="Hyderabad"/>
    <s v="South"/>
    <s v="WB"/>
    <s v="Home Appliances"/>
    <s v="Iron"/>
    <n v="15"/>
    <n v="1650"/>
    <n v="0.15"/>
    <n v="21037.5"/>
    <n v="2"/>
    <s v="Netbanking"/>
    <s v="Rahul"/>
    <s v="kavya.nair@company.com"/>
    <n v="9297492337"/>
    <s v="Global Trade"/>
    <n v="24"/>
    <s v="Silver"/>
    <d v="2028-05-16T00:00:00"/>
    <s v="August"/>
    <x v="1"/>
  </r>
  <r>
    <s v="ORD10336"/>
    <s v="C002"/>
    <s v="P302"/>
    <d v="2025-12-04T00:00:00"/>
    <s v="12/12/2025"/>
    <s v="Priya Patel"/>
    <s v="Female"/>
    <s v="07/03/1995"/>
    <s v="Mumbai"/>
    <s v="West"/>
    <s v="WB"/>
    <s v="Stationery"/>
    <s v="Pen"/>
    <n v="8"/>
    <n v="15"/>
    <n v="0.2"/>
    <n v="96"/>
    <n v="5"/>
    <s v="Upi"/>
    <s v="Rahul"/>
    <s v="priya.patel@company.com"/>
    <n v="9350338928"/>
    <s v="Prime Supplies"/>
    <n v="12"/>
    <s v="Platinum"/>
    <d v="2026-12-12T00:00:00"/>
    <s v="March"/>
    <x v="0"/>
  </r>
  <r>
    <s v="ORD10337"/>
    <s v="C003"/>
    <s v="P302"/>
    <d v="2026-03-08T00:00:00"/>
    <s v="10/03/2026"/>
    <s v="Rohit Singh"/>
    <s v="Male"/>
    <s v="10/05/1982"/>
    <s v="Delhi"/>
    <s v="North"/>
    <s v="DL"/>
    <s v="Stationery"/>
    <s v="Pen"/>
    <n v="1"/>
    <n v="15"/>
    <n v="0"/>
    <n v="15"/>
    <n v="3"/>
    <s v="Upi"/>
    <s v="Ritika"/>
    <s v="rohit.singh@company.com"/>
    <n v="9933894798"/>
    <s v="Prime Supplies"/>
    <n v="12"/>
    <s v="Gold"/>
    <d v="2027-03-10T00:00:00"/>
    <s v="May"/>
    <x v="0"/>
  </r>
  <r>
    <s v="ORD10338"/>
    <s v="C008"/>
    <s v="P102"/>
    <d v="2026-01-05T00:00:00"/>
    <s v="16/01/2026"/>
    <s v="Kavya Nair"/>
    <s v="Female"/>
    <s v="01/08/1976"/>
    <s v="Hyderabad"/>
    <s v="South"/>
    <s v="WB"/>
    <s v="Electronics"/>
    <s v="Mouse"/>
    <n v="15"/>
    <n v="525"/>
    <n v="0"/>
    <n v="7875"/>
    <n v="2"/>
    <s v="Upi"/>
    <s v="Rahul"/>
    <s v="kavya.nair@company.com"/>
    <n v="9705218824"/>
    <s v="TechHub"/>
    <n v="24"/>
    <s v="Silver"/>
    <d v="2028-01-16T00:00:00"/>
    <s v="August"/>
    <x v="1"/>
  </r>
  <r>
    <s v="ORD10339"/>
    <s v="C001"/>
    <s v="P201"/>
    <d v="2025-02-07T00:00:00"/>
    <s v="10/02/2025"/>
    <s v="Amit Sharma"/>
    <s v="Male"/>
    <s v="09/08/1991"/>
    <s v="Pune"/>
    <s v="West"/>
    <s v="RJ"/>
    <s v="Home Appliances"/>
    <s v="Mixer"/>
    <n v="15"/>
    <n v="2625"/>
    <n v="0.1"/>
    <n v="35437.5"/>
    <n v="3"/>
    <s v="Cash"/>
    <s v="Karan"/>
    <s v="amit.sharma@company.com"/>
    <n v="9229164453"/>
    <s v="Global Trade"/>
    <n v="6"/>
    <s v="Silver"/>
    <d v="2025-08-10T00:00:00"/>
    <s v="August"/>
    <x v="0"/>
  </r>
  <r>
    <s v="ORD10340"/>
    <s v="C008"/>
    <s v="P301"/>
    <d v="2025-07-28T00:00:00"/>
    <s v="07/08/2025"/>
    <s v="Kavya Nair"/>
    <s v="Female"/>
    <s v="01/08/1976"/>
    <s v="Hyderabad"/>
    <s v="South"/>
    <s v="WB"/>
    <s v="Stationery"/>
    <s v="Notebook"/>
    <n v="16"/>
    <n v="45"/>
    <n v="0.1"/>
    <n v="648"/>
    <n v="4"/>
    <s v="Card"/>
    <s v="Aisha"/>
    <s v="kavya.nair@company.com"/>
    <n v="9219806176"/>
    <s v="ABC Corp"/>
    <n v="12"/>
    <s v="Silver"/>
    <d v="2026-08-07T00:00:00"/>
    <s v="August"/>
    <x v="0"/>
  </r>
  <r>
    <s v="ORD10341"/>
    <s v="C003"/>
    <s v="P303"/>
    <d v="2025-10-15T00:00:00"/>
    <s v="21/10/2025"/>
    <s v="Rohit Singh"/>
    <s v="Male"/>
    <s v="10/05/1982"/>
    <s v="Delhi"/>
    <s v="North"/>
    <s v="DL"/>
    <s v="Stationery"/>
    <s v="Marker"/>
    <n v="2"/>
    <n v="33.75"/>
    <n v="0.15"/>
    <n v="57.375"/>
    <n v="1"/>
    <s v="Upi"/>
    <s v="Karan"/>
    <s v="rohit.singh@company.com"/>
    <n v="9630210250"/>
    <s v="TechHub"/>
    <n v="12"/>
    <s v="Gold"/>
    <d v="2026-10-21T00:00:00"/>
    <s v="May"/>
    <x v="1"/>
  </r>
  <r>
    <s v="ORD10342"/>
    <s v="C004"/>
    <s v="P301"/>
    <d v="2025-12-06T00:00:00"/>
    <s v="15/12/2025"/>
    <s v="Anita Gupta"/>
    <s v="Female"/>
    <s v="16/01/2002"/>
    <s v="Pune"/>
    <s v="West"/>
    <s v="WB"/>
    <s v="Stationery"/>
    <s v="Notebook"/>
    <n v="13"/>
    <n v="45"/>
    <n v="0.15"/>
    <n v="497.25"/>
    <n v="2"/>
    <s v="Netbanking"/>
    <s v="Aisha"/>
    <s v="anita.gupta@company.com"/>
    <n v="9583354052"/>
    <s v="ABC Corp"/>
    <n v="12"/>
    <s v="Gold"/>
    <d v="2026-12-15T00:00:00"/>
    <s v="January"/>
    <x v="1"/>
  </r>
  <r>
    <s v="ORD10343"/>
    <s v="C007"/>
    <s v="P104"/>
    <d v="2025-05-20T00:00:00"/>
    <s v="22/05/2025"/>
    <s v="Arjun Rao"/>
    <s v="Male"/>
    <s v="07/02/1988"/>
    <s v="Hyderabad"/>
    <s v="South"/>
    <s v="RJ"/>
    <s v="Electronics"/>
    <s v="Monitor"/>
    <n v="15"/>
    <n v="9000"/>
    <n v="0.2"/>
    <n v="108000"/>
    <n v="3"/>
    <s v="Card"/>
    <s v="Ritika"/>
    <s v="arjun.rao@company.com"/>
    <n v="9242534507"/>
    <s v="Global Trade"/>
    <n v="24"/>
    <s v="Silver"/>
    <d v="2027-05-22T00:00:00"/>
    <s v="February"/>
    <x v="2"/>
  </r>
  <r>
    <s v="ORD10344"/>
    <s v="C001"/>
    <s v="P302"/>
    <d v="2025-07-25T00:00:00"/>
    <s v="02/08/2025"/>
    <s v="Amit Sharma"/>
    <s v="Male"/>
    <s v="09/08/1991"/>
    <s v="Pune"/>
    <s v="West"/>
    <s v="RJ"/>
    <s v="Stationery"/>
    <s v="Pen"/>
    <n v="2"/>
    <n v="15"/>
    <n v="0.2"/>
    <n v="24"/>
    <n v="4"/>
    <s v="Cash"/>
    <s v="Ritika"/>
    <s v="amit.sharma@company.com"/>
    <n v="9291239150"/>
    <s v="Prime Supplies"/>
    <n v="12"/>
    <s v="Silver"/>
    <d v="2026-08-02T00:00:00"/>
    <s v="August"/>
    <x v="0"/>
  </r>
  <r>
    <s v="ORD10345"/>
    <s v="C003"/>
    <s v="P201"/>
    <d v="2025-08-05T00:00:00"/>
    <s v="17/08/2025"/>
    <s v="Rohit Singh"/>
    <s v="Male"/>
    <s v="10/05/1982"/>
    <s v="Delhi"/>
    <s v="North"/>
    <s v="DL"/>
    <s v="Home Appliances"/>
    <s v="Mixer"/>
    <n v="16"/>
    <n v="2625"/>
    <n v="0"/>
    <n v="42000"/>
    <n v="4"/>
    <s v="Cash"/>
    <s v="Neha"/>
    <s v="rohit.singh@company.com"/>
    <n v="9550820904"/>
    <s v="Global Trade"/>
    <n v="6"/>
    <s v="Gold"/>
    <d v="2026-02-17T00:00:00"/>
    <s v="May"/>
    <x v="0"/>
  </r>
  <r>
    <s v="ORD10346"/>
    <s v="C010"/>
    <s v="P201"/>
    <d v="2026-02-18T00:00:00"/>
    <s v="25/02/2026"/>
    <s v="Pooja Shah"/>
    <s v="Female"/>
    <s v="16/09/1994"/>
    <s v="Bengaluru"/>
    <s v="South"/>
    <s v="WB"/>
    <s v="Home Appliances"/>
    <s v="Mixer"/>
    <n v="18"/>
    <n v="2625"/>
    <n v="0.15"/>
    <n v="40162.5"/>
    <n v="5"/>
    <s v="Cash"/>
    <s v="Karan"/>
    <s v="pooja.shah@company.com"/>
    <n v="9294486423"/>
    <s v="Global Trade"/>
    <n v="6"/>
    <s v="Silver"/>
    <d v="2026-08-25T00:00:00"/>
    <s v="September"/>
    <x v="0"/>
  </r>
  <r>
    <s v="ORD10347"/>
    <s v="C008"/>
    <s v="P303"/>
    <d v="2026-03-21T00:00:00"/>
    <s v="26/03/2026"/>
    <s v="Kavya Nair"/>
    <s v="Female"/>
    <s v="01/08/1976"/>
    <s v="Hyderabad"/>
    <s v="South"/>
    <s v="WB"/>
    <s v="Stationery"/>
    <s v="Marker"/>
    <n v="20"/>
    <n v="33.75"/>
    <n v="0.15"/>
    <n v="573.75"/>
    <n v="4"/>
    <s v="Cash"/>
    <s v="Karan"/>
    <s v="kavya.nair@company.com"/>
    <n v="9260258621"/>
    <s v="TechHub"/>
    <n v="12"/>
    <s v="Silver"/>
    <d v="2027-03-26T00:00:00"/>
    <s v="August"/>
    <x v="0"/>
  </r>
  <r>
    <s v="ORD10348"/>
    <s v="C006"/>
    <s v="P202"/>
    <d v="2026-04-16T00:00:00"/>
    <s v="19/04/2026"/>
    <s v="Sneha Joshi"/>
    <s v="Female"/>
    <s v="04/04/1981"/>
    <s v="Pune"/>
    <s v="West"/>
    <s v="WB"/>
    <s v="Home Appliances"/>
    <s v="Iron"/>
    <n v="13"/>
    <n v="1650"/>
    <n v="0.15"/>
    <n v="18232.5"/>
    <n v="2"/>
    <s v="Netbanking"/>
    <s v="Neha"/>
    <s v="sneha.joshi@company.com"/>
    <n v="9697433584"/>
    <s v="Global Trade"/>
    <n v="24"/>
    <s v="Gold"/>
    <d v="2028-04-19T00:00:00"/>
    <s v="April"/>
    <x v="1"/>
  </r>
  <r>
    <s v="ORD10349"/>
    <s v="C010"/>
    <s v="P999"/>
    <d v="2025-10-13T00:00:00"/>
    <s v="14/10/2025"/>
    <s v="Pooja Shah"/>
    <s v="Female"/>
    <s v="16/09/1994"/>
    <s v="Bengaluru"/>
    <s v="South"/>
    <s v="WB"/>
    <e v="#N/A"/>
    <e v="#N/A"/>
    <n v="11"/>
    <e v="#N/A"/>
    <n v="0.05"/>
    <e v="#N/A"/>
    <n v="1"/>
    <s v="Upi"/>
    <s v="Neha"/>
    <s v="pooja.shah@company.com"/>
    <n v="9837969758"/>
    <e v="#N/A"/>
    <e v="#N/A"/>
    <s v="Silver"/>
    <e v="#N/A"/>
    <s v="September"/>
    <x v="1"/>
  </r>
  <r>
    <s v="ORD10350"/>
    <s v="C010"/>
    <s v="P202"/>
    <d v="2025-12-05T00:00:00"/>
    <s v="10/12/2025"/>
    <s v="Pooja Shah"/>
    <s v="Female"/>
    <s v="16/09/1994"/>
    <s v="Bengaluru"/>
    <s v="South"/>
    <s v="WB"/>
    <s v="Home Appliances"/>
    <s v="Iron"/>
    <n v="2"/>
    <n v="1650"/>
    <n v="0"/>
    <n v="3300"/>
    <n v="4"/>
    <s v="Upi"/>
    <s v="Karan"/>
    <s v="pooja.shah@company.com"/>
    <n v="9209736419"/>
    <s v="Global Trade"/>
    <n v="24"/>
    <s v="Silver"/>
    <d v="2027-12-10T00:00:00"/>
    <s v="September"/>
    <x v="0"/>
  </r>
  <r>
    <s v="ORD10351"/>
    <s v="C007"/>
    <s v="P102"/>
    <d v="2025-07-30T00:00:00"/>
    <s v="04/08/2025"/>
    <s v="Arjun Rao"/>
    <s v="Male"/>
    <s v="07/02/1988"/>
    <s v="Hyderabad"/>
    <s v="South"/>
    <s v="RJ"/>
    <s v="Electronics"/>
    <s v="Mouse"/>
    <n v="15"/>
    <n v="525"/>
    <n v="0.15"/>
    <n v="6693.75"/>
    <n v="3"/>
    <s v="Netbanking"/>
    <s v="Neha"/>
    <s v="arjun.rao@company.com"/>
    <n v="9645907237"/>
    <s v="TechHub"/>
    <n v="24"/>
    <s v="Silver"/>
    <d v="2027-08-04T00:00:00"/>
    <s v="February"/>
    <x v="0"/>
  </r>
  <r>
    <s v="ORD10352"/>
    <s v="C003"/>
    <s v="P202"/>
    <d v="2025-07-18T00:00:00"/>
    <s v="24/07/2025"/>
    <s v="Rohit Singh"/>
    <s v="Male"/>
    <s v="10/05/1982"/>
    <s v="Delhi"/>
    <s v="North"/>
    <s v="DL"/>
    <s v="Home Appliances"/>
    <s v="Iron"/>
    <n v="5"/>
    <n v="1650"/>
    <n v="0.15"/>
    <n v="7012.5"/>
    <n v="1"/>
    <s v="Netbanking"/>
    <s v="Neha"/>
    <s v="rohit.singh@company.com"/>
    <n v="9566149945"/>
    <s v="Global Trade"/>
    <n v="24"/>
    <s v="Gold"/>
    <d v="2027-07-24T00:00:00"/>
    <s v="May"/>
    <x v="1"/>
  </r>
  <r>
    <s v="ORD10353"/>
    <s v="C007"/>
    <s v="P103"/>
    <d v="2026-03-11T00:00:00"/>
    <s v="12/03/2026"/>
    <s v="Arjun Rao"/>
    <s v="Male"/>
    <s v="07/02/1988"/>
    <s v="Hyderabad"/>
    <s v="South"/>
    <s v="RJ"/>
    <s v="Electronics"/>
    <s v="Keyboard"/>
    <n v="15"/>
    <n v="900"/>
    <n v="0"/>
    <n v="13500"/>
    <n v="3"/>
    <s v="Netbanking"/>
    <s v="Aisha"/>
    <s v="arjun.rao@company.com"/>
    <n v="9935018068"/>
    <s v="TechHub"/>
    <n v="6"/>
    <s v="Silver"/>
    <d v="2026-09-12T00:00:00"/>
    <s v="February"/>
    <x v="0"/>
  </r>
  <r>
    <s v="ORD10354"/>
    <s v="C006"/>
    <s v="P103"/>
    <d v="2026-04-08T00:00:00"/>
    <s v="10/04/2026"/>
    <s v="Sneha Joshi"/>
    <s v="Female"/>
    <s v="04/04/1981"/>
    <s v="Pune"/>
    <s v="West"/>
    <s v="WB"/>
    <s v="Electronics"/>
    <s v="Keyboard"/>
    <n v="19"/>
    <n v="900"/>
    <n v="0"/>
    <n v="17100"/>
    <n v="1"/>
    <s v="Cash"/>
    <s v="Rahul"/>
    <s v="sneha.joshi@company.com"/>
    <n v="9171794652"/>
    <s v="TechHub"/>
    <n v="6"/>
    <s v="Gold"/>
    <d v="2026-10-10T00:00:00"/>
    <s v="April"/>
    <x v="1"/>
  </r>
  <r>
    <s v="ORD10355"/>
    <s v="C004"/>
    <s v="P104"/>
    <d v="2025-09-18T00:00:00"/>
    <s v="25/09/2025"/>
    <s v="Anita Gupta"/>
    <s v="Female"/>
    <s v="16/01/2002"/>
    <s v="Pune"/>
    <s v="West"/>
    <s v="WB"/>
    <s v="Electronics"/>
    <s v="Monitor"/>
    <n v="9"/>
    <n v="9000"/>
    <n v="0.15"/>
    <n v="68850"/>
    <n v="3"/>
    <s v="Upi"/>
    <s v="Rahul"/>
    <s v="anita.gupta@company.com"/>
    <n v="9671497416"/>
    <s v="Global Trade"/>
    <n v="24"/>
    <s v="Gold"/>
    <d v="2027-09-25T00:00:00"/>
    <s v="January"/>
    <x v="2"/>
  </r>
  <r>
    <s v="ORD10356"/>
    <s v="C008"/>
    <s v="P303"/>
    <d v="2025-10-11T00:00:00"/>
    <s v="21/10/2025"/>
    <s v="Kavya Nair"/>
    <s v="Female"/>
    <s v="01/08/1976"/>
    <s v="Hyderabad"/>
    <s v="South"/>
    <s v="WB"/>
    <s v="Stationery"/>
    <s v="Marker"/>
    <n v="5"/>
    <n v="33.75"/>
    <n v="0.05"/>
    <n v="160.3125"/>
    <n v="1"/>
    <s v="Card"/>
    <s v="Neha"/>
    <s v="kavya.nair@company.com"/>
    <n v="9810433484"/>
    <s v="TechHub"/>
    <n v="12"/>
    <s v="Silver"/>
    <d v="2026-10-21T00:00:00"/>
    <s v="August"/>
    <x v="1"/>
  </r>
  <r>
    <s v="ORD10357"/>
    <s v="C006"/>
    <s v="P102"/>
    <m/>
    <s v="11/02/2025"/>
    <s v="Sneha Joshi"/>
    <s v="Female"/>
    <s v="04/04/1981"/>
    <s v="Pune"/>
    <s v="West"/>
    <s v="WB"/>
    <s v="Electronics"/>
    <s v="Mouse"/>
    <n v="3"/>
    <n v="525"/>
    <n v="0.15"/>
    <n v="1338.75"/>
    <n v="4"/>
    <s v="Cash"/>
    <s v="Karan"/>
    <s v="sneha.joshi@company.com"/>
    <n v="9990243436"/>
    <s v="TechHub"/>
    <n v="24"/>
    <s v="Gold"/>
    <d v="2027-02-11T00:00:00"/>
    <s v="April"/>
    <x v="0"/>
  </r>
  <r>
    <s v="ORD10358"/>
    <s v="C009"/>
    <s v="P203"/>
    <d v="2025-12-14T00:00:00"/>
    <s v="26/12/2025"/>
    <s v="Mohit Verma"/>
    <s v="Male"/>
    <s v="13/04/1976"/>
    <s v="Delhi"/>
    <s v="North"/>
    <s v="KA"/>
    <s v="Home Appliances"/>
    <s v="Microwave"/>
    <n v="12"/>
    <n v="6375"/>
    <n v="0.05"/>
    <n v="72675"/>
    <n v="3"/>
    <s v="Card"/>
    <s v="Aisha"/>
    <s v="mohit.verma@company.com"/>
    <n v="9396678031"/>
    <s v="TechHub"/>
    <n v="24"/>
    <s v="Platinum"/>
    <d v="2027-12-26T00:00:00"/>
    <s v="April"/>
    <x v="2"/>
  </r>
  <r>
    <s v="ORD10359"/>
    <s v="C006"/>
    <s v="P203"/>
    <d v="2026-04-11T00:00:00"/>
    <s v="19/04/2026"/>
    <s v="Sneha Joshi"/>
    <s v="Female"/>
    <s v="04/04/1981"/>
    <s v="Pune"/>
    <s v="West"/>
    <s v="WB"/>
    <s v="Home Appliances"/>
    <s v="Microwave"/>
    <n v="4"/>
    <n v="6375"/>
    <n v="0.15"/>
    <n v="21675"/>
    <n v="4"/>
    <s v="Netbanking"/>
    <s v="Aisha"/>
    <s v="sneha.joshi@company.com"/>
    <n v="9818591245"/>
    <s v="TechHub"/>
    <n v="24"/>
    <s v="Gold"/>
    <d v="2028-04-19T00:00:00"/>
    <s v="April"/>
    <x v="0"/>
  </r>
  <r>
    <s v="ORD10360"/>
    <s v="C003"/>
    <s v="P302"/>
    <d v="2025-04-19T00:00:00"/>
    <s v="22/04/2025"/>
    <s v="Rohit Singh"/>
    <s v="Male"/>
    <s v="10/05/1982"/>
    <s v="Delhi"/>
    <s v="North"/>
    <s v="DL"/>
    <s v="Stationery"/>
    <s v="Pen"/>
    <n v="16"/>
    <n v="15"/>
    <n v="0.1"/>
    <n v="216"/>
    <n v="4"/>
    <s v="Cash"/>
    <s v="Neha"/>
    <s v="rohit.singh@company.com"/>
    <n v="9505550047"/>
    <s v="Prime Supplies"/>
    <n v="12"/>
    <s v="Gold"/>
    <d v="2026-04-22T00:00:00"/>
    <s v="May"/>
    <x v="0"/>
  </r>
  <r>
    <s v="ORD10361"/>
    <s v="C003"/>
    <s v="P301"/>
    <d v="2026-05-10T00:00:00"/>
    <s v="18/05/2026"/>
    <s v="Rohit Singh"/>
    <s v="Male"/>
    <s v="10/05/1982"/>
    <s v="Delhi"/>
    <s v="North"/>
    <s v="DL"/>
    <s v="Stationery"/>
    <s v="Notebook"/>
    <n v="3"/>
    <n v="45"/>
    <n v="0.2"/>
    <n v="108"/>
    <n v="4"/>
    <s v="Upi"/>
    <s v="Karan"/>
    <s v="rohit.singh@company.com"/>
    <n v="9469828772"/>
    <s v="ABC Corp"/>
    <n v="12"/>
    <s v="Gold"/>
    <d v="2027-05-18T00:00:00"/>
    <s v="May"/>
    <x v="0"/>
  </r>
  <r>
    <s v="ORD10362"/>
    <s v="C009"/>
    <s v="P202"/>
    <d v="2025-07-20T00:00:00"/>
    <s v="26/07/2025"/>
    <s v="Mohit Verma"/>
    <s v="Male"/>
    <s v="13/04/1976"/>
    <s v="Delhi"/>
    <s v="North"/>
    <s v="KA"/>
    <s v="Home Appliances"/>
    <s v="Iron"/>
    <n v="19"/>
    <n v="1650"/>
    <n v="0.1"/>
    <n v="28215"/>
    <n v="2"/>
    <s v="Cash"/>
    <s v="Karan"/>
    <s v="mohit.verma@company.com"/>
    <n v="9885092680"/>
    <s v="Global Trade"/>
    <n v="24"/>
    <s v="Platinum"/>
    <d v="2027-07-26T00:00:00"/>
    <s v="April"/>
    <x v="1"/>
  </r>
  <r>
    <s v="ORD10363"/>
    <s v="C009"/>
    <s v="P103"/>
    <d v="2026-01-23T00:00:00"/>
    <s v="27/01/2026"/>
    <s v="Mohit Verma"/>
    <s v="Male"/>
    <s v="13/04/1976"/>
    <s v="Delhi"/>
    <s v="North"/>
    <s v="KA"/>
    <s v="Electronics"/>
    <s v="Keyboard"/>
    <n v="7"/>
    <n v="900"/>
    <n v="0.2"/>
    <n v="5040"/>
    <n v="3"/>
    <s v="Card"/>
    <s v="Neha"/>
    <s v="mohit.verma@company.com"/>
    <n v="9362319457"/>
    <s v="TechHub"/>
    <n v="6"/>
    <s v="Platinum"/>
    <d v="2026-07-27T00:00:00"/>
    <s v="April"/>
    <x v="0"/>
  </r>
  <r>
    <s v="ORD10364"/>
    <s v="C010"/>
    <s v="P302"/>
    <d v="2026-03-16T00:00:00"/>
    <s v="21/03/2026"/>
    <s v="Pooja Shah"/>
    <s v="Female"/>
    <s v="16/09/1994"/>
    <s v="Bengaluru"/>
    <s v="South"/>
    <s v="WB"/>
    <s v="Stationery"/>
    <s v="Pen"/>
    <n v="20"/>
    <n v="15"/>
    <n v="0.2"/>
    <n v="240"/>
    <n v="5"/>
    <s v="Card"/>
    <s v="Neha"/>
    <s v="pooja.shah@company.com"/>
    <n v="9223945130"/>
    <s v="Prime Supplies"/>
    <n v="12"/>
    <s v="Silver"/>
    <d v="2027-03-21T00:00:00"/>
    <s v="September"/>
    <x v="0"/>
  </r>
  <r>
    <s v="ORD10365"/>
    <s v="C002"/>
    <s v="P103"/>
    <d v="2025-04-30T00:00:00"/>
    <s v="07/05/2025"/>
    <s v="Priya Patel"/>
    <s v="Female"/>
    <s v="07/03/1995"/>
    <s v="Mumbai"/>
    <s v="West"/>
    <s v="WB"/>
    <s v="Electronics"/>
    <s v="Keyboard"/>
    <n v="19"/>
    <n v="900"/>
    <n v="0.05"/>
    <n v="16245"/>
    <n v="3"/>
    <s v="Card"/>
    <s v="Ritika"/>
    <s v="priya.patel@company.com"/>
    <n v="9910804926"/>
    <s v="TechHub"/>
    <n v="6"/>
    <s v="Platinum"/>
    <d v="2025-11-07T00:00:00"/>
    <s v="March"/>
    <x v="0"/>
  </r>
  <r>
    <s v="ORD10366"/>
    <s v="C010"/>
    <s v="P302"/>
    <d v="2025-02-03T00:00:00"/>
    <s v="13/02/2025"/>
    <s v="Pooja Shah"/>
    <s v="Female"/>
    <s v="16/09/1994"/>
    <s v="Bengaluru"/>
    <s v="South"/>
    <s v="WB"/>
    <s v="Stationery"/>
    <s v="Pen"/>
    <n v="5"/>
    <n v="15"/>
    <n v="0"/>
    <n v="75"/>
    <n v="2"/>
    <s v="Upi"/>
    <s v="Rahul"/>
    <s v="pooja.shah@company.com"/>
    <n v="9274269744"/>
    <s v="Prime Supplies"/>
    <n v="12"/>
    <s v="Silver"/>
    <d v="2026-02-13T00:00:00"/>
    <s v="September"/>
    <x v="1"/>
  </r>
  <r>
    <s v="ORD10367"/>
    <s v="C002"/>
    <s v="P303"/>
    <d v="2026-03-07T00:00:00"/>
    <s v="16/03/2026"/>
    <s v="Priya Patel"/>
    <s v="Female"/>
    <s v="07/03/1995"/>
    <s v="Mumbai"/>
    <s v="West"/>
    <s v="WB"/>
    <s v="Stationery"/>
    <s v="Marker"/>
    <n v="16"/>
    <n v="33.75"/>
    <n v="0.15"/>
    <n v="459"/>
    <n v="5"/>
    <s v="Cash"/>
    <s v="Aisha"/>
    <s v="priya.patel@company.com"/>
    <n v="9223196101"/>
    <s v="TechHub"/>
    <n v="12"/>
    <s v="Platinum"/>
    <d v="2027-03-16T00:00:00"/>
    <s v="March"/>
    <x v="0"/>
  </r>
  <r>
    <s v="ORD10368"/>
    <s v="C008"/>
    <s v="P202"/>
    <d v="2025-05-03T00:00:00"/>
    <s v="15/05/2025"/>
    <s v="Kavya Nair"/>
    <s v="Female"/>
    <s v="01/08/1976"/>
    <s v="Hyderabad"/>
    <s v="South"/>
    <s v="WB"/>
    <s v="Home Appliances"/>
    <s v="Iron"/>
    <n v="1"/>
    <n v="1650"/>
    <n v="0.1"/>
    <n v="1485"/>
    <n v="5"/>
    <s v="Card"/>
    <s v="Rahul"/>
    <s v="kavya.nair@company.com"/>
    <n v="9888477457"/>
    <s v="Global Trade"/>
    <n v="24"/>
    <s v="Silver"/>
    <d v="2027-05-15T00:00:00"/>
    <s v="August"/>
    <x v="0"/>
  </r>
  <r>
    <s v="ORD10369"/>
    <s v="C010"/>
    <s v="P301"/>
    <d v="2026-04-01T00:00:00"/>
    <s v="05/04/2026"/>
    <s v="Pooja Shah"/>
    <s v="Female"/>
    <s v="16/09/1994"/>
    <s v="Bengaluru"/>
    <s v="South"/>
    <s v="WB"/>
    <s v="Stationery"/>
    <s v="Notebook"/>
    <n v="19"/>
    <n v="45"/>
    <n v="0.15"/>
    <n v="726.75"/>
    <n v="4"/>
    <s v="Netbanking"/>
    <s v="Neha"/>
    <s v="pooja.shah@company.com"/>
    <n v="9435947486"/>
    <s v="ABC Corp"/>
    <n v="12"/>
    <s v="Silver"/>
    <d v="2027-04-05T00:00:00"/>
    <s v="September"/>
    <x v="0"/>
  </r>
  <r>
    <s v="ORD10370"/>
    <s v="C001"/>
    <s v="P101"/>
    <m/>
    <s v="02/02/2025"/>
    <s v="Amit Sharma"/>
    <s v="Male"/>
    <s v="09/08/1991"/>
    <s v="Pune"/>
    <s v="West"/>
    <s v="RJ"/>
    <s v="Electronics"/>
    <s v="Laptop"/>
    <n v="15"/>
    <n v="41250"/>
    <n v="0"/>
    <n v="618750"/>
    <n v="5"/>
    <s v="Card"/>
    <s v="Neha"/>
    <s v="amit.sharma@company.com"/>
    <n v="9411668831"/>
    <s v="TechHub"/>
    <n v="12"/>
    <s v="Silver"/>
    <d v="2026-02-02T00:00:00"/>
    <s v="August"/>
    <x v="3"/>
  </r>
  <r>
    <s v="ORD10371"/>
    <s v="C009"/>
    <s v="P303"/>
    <d v="2025-10-06T00:00:00"/>
    <s v="08/10/2025"/>
    <s v="Mohit Verma"/>
    <s v="Male"/>
    <s v="13/04/1976"/>
    <s v="Delhi"/>
    <s v="North"/>
    <s v="KA"/>
    <s v="Stationery"/>
    <s v="Marker"/>
    <n v="11"/>
    <n v="33.75"/>
    <n v="0.05"/>
    <n v="352.6875"/>
    <n v="5"/>
    <s v="Netbanking"/>
    <s v="Karan"/>
    <s v="mohit.verma@company.com"/>
    <n v="9523682403"/>
    <s v="TechHub"/>
    <n v="12"/>
    <s v="Platinum"/>
    <d v="2026-10-08T00:00:00"/>
    <s v="April"/>
    <x v="0"/>
  </r>
  <r>
    <s v="ORD10372"/>
    <s v="C006"/>
    <s v="P302"/>
    <d v="2025-06-12T00:00:00"/>
    <s v="17/06/2025"/>
    <s v="Sneha Joshi"/>
    <s v="Female"/>
    <s v="04/04/1981"/>
    <s v="Pune"/>
    <s v="West"/>
    <s v="WB"/>
    <s v="Stationery"/>
    <s v="Pen"/>
    <n v="9"/>
    <n v="15"/>
    <n v="0.1"/>
    <n v="121.5"/>
    <n v="1"/>
    <s v="Card"/>
    <s v="Rahul"/>
    <s v="sneha.joshi@company.com"/>
    <n v="9652936744"/>
    <s v="Prime Supplies"/>
    <n v="12"/>
    <s v="Gold"/>
    <d v="2026-06-17T00:00:00"/>
    <s v="April"/>
    <x v="1"/>
  </r>
  <r>
    <s v="ORD10373"/>
    <s v="C004"/>
    <s v="P303"/>
    <d v="2025-11-18T00:00:00"/>
    <s v="20/11/2025"/>
    <s v="Anita Gupta"/>
    <s v="Female"/>
    <s v="16/01/2002"/>
    <s v="Pune"/>
    <s v="West"/>
    <s v="WB"/>
    <s v="Stationery"/>
    <s v="Marker"/>
    <n v="5"/>
    <n v="33.75"/>
    <n v="0.05"/>
    <n v="160.3125"/>
    <n v="3"/>
    <s v="Card"/>
    <s v="Neha"/>
    <s v="anita.gupta@company.com"/>
    <n v="9726464733"/>
    <s v="TechHub"/>
    <n v="12"/>
    <s v="Gold"/>
    <d v="2026-11-20T00:00:00"/>
    <s v="January"/>
    <x v="0"/>
  </r>
  <r>
    <s v="ORD10374"/>
    <s v="C007"/>
    <s v="P102"/>
    <d v="2025-11-01T00:00:00"/>
    <s v="02/11/2025"/>
    <s v="Arjun Rao"/>
    <s v="Male"/>
    <s v="07/02/1988"/>
    <s v="Hyderabad"/>
    <s v="South"/>
    <s v="RJ"/>
    <s v="Electronics"/>
    <s v="Mouse"/>
    <n v="5"/>
    <n v="525"/>
    <n v="0.1"/>
    <n v="2362.5"/>
    <n v="2"/>
    <s v="Upi"/>
    <s v="Rahul"/>
    <s v="arjun.rao@company.com"/>
    <n v="9273520544"/>
    <s v="TechHub"/>
    <n v="24"/>
    <s v="Silver"/>
    <d v="2027-11-02T00:00:00"/>
    <s v="February"/>
    <x v="1"/>
  </r>
  <r>
    <s v="ORD10375"/>
    <s v="C005"/>
    <s v="P102"/>
    <d v="2025-01-24T00:00:00"/>
    <s v="31/01/2025"/>
    <s v="Vikas Mehta"/>
    <s v="Male"/>
    <s v="03/08/1991"/>
    <s v="Mumbai"/>
    <s v="West"/>
    <s v="DL"/>
    <s v="Electronics"/>
    <s v="Mouse"/>
    <n v="1"/>
    <n v="525"/>
    <n v="0"/>
    <n v="525"/>
    <n v="1"/>
    <s v="Upi"/>
    <s v="Karan"/>
    <s v="vikas.mehta@company.com"/>
    <n v="9374259988"/>
    <s v="TechHub"/>
    <n v="24"/>
    <s v="Gold"/>
    <d v="2027-01-31T00:00:00"/>
    <s v="August"/>
    <x v="1"/>
  </r>
  <r>
    <s v="ORD10376"/>
    <s v="C008"/>
    <s v="P102"/>
    <d v="2026-02-13T00:00:00"/>
    <s v="21/02/2026"/>
    <s v="Kavya Nair"/>
    <s v="Female"/>
    <s v="01/08/1976"/>
    <s v="Hyderabad"/>
    <s v="South"/>
    <s v="WB"/>
    <s v="Electronics"/>
    <s v="Mouse"/>
    <n v="13"/>
    <n v="525"/>
    <n v="0.2"/>
    <n v="5460"/>
    <n v="2"/>
    <s v="Card"/>
    <s v="Ritika"/>
    <s v="kavya.nair@company.com"/>
    <n v="9538129419"/>
    <s v="TechHub"/>
    <n v="24"/>
    <s v="Silver"/>
    <d v="2028-02-21T00:00:00"/>
    <s v="August"/>
    <x v="1"/>
  </r>
  <r>
    <s v="ORD10377"/>
    <s v="C009"/>
    <s v="P104"/>
    <d v="2025-02-08T00:00:00"/>
    <s v="19/02/2025"/>
    <s v="Mohit Verma"/>
    <s v="Male"/>
    <s v="13/04/1976"/>
    <s v="Delhi"/>
    <s v="North"/>
    <s v="KA"/>
    <s v="Electronics"/>
    <s v="Monitor"/>
    <n v="20"/>
    <n v="9000"/>
    <n v="0"/>
    <n v="180000"/>
    <n v="2"/>
    <s v="Card"/>
    <s v="Neha"/>
    <s v="mohit.verma@company.com"/>
    <n v="9382815686"/>
    <s v="Global Trade"/>
    <n v="24"/>
    <s v="Platinum"/>
    <d v="2027-02-19T00:00:00"/>
    <s v="April"/>
    <x v="1"/>
  </r>
  <r>
    <s v="ORD10378"/>
    <s v="C007"/>
    <s v="P103"/>
    <d v="2025-12-28T00:00:00"/>
    <s v="06/01/2026"/>
    <s v="Arjun Rao"/>
    <s v="Male"/>
    <s v="07/02/1988"/>
    <s v="Hyderabad"/>
    <s v="South"/>
    <s v="RJ"/>
    <s v="Electronics"/>
    <s v="Keyboard"/>
    <n v="9"/>
    <n v="900"/>
    <n v="0.15"/>
    <n v="6885"/>
    <n v="1"/>
    <s v="Upi"/>
    <s v="Ritika"/>
    <s v="arjun.rao@company.com"/>
    <n v="9450746157"/>
    <s v="TechHub"/>
    <n v="6"/>
    <s v="Silver"/>
    <d v="2026-07-06T00:00:00"/>
    <s v="February"/>
    <x v="1"/>
  </r>
  <r>
    <s v="ORD10379"/>
    <s v="C007"/>
    <s v="P302"/>
    <d v="2025-10-01T00:00:00"/>
    <s v="03/10/2025"/>
    <s v="Arjun Rao"/>
    <s v="Male"/>
    <s v="07/02/1988"/>
    <s v="Hyderabad"/>
    <s v="South"/>
    <s v="RJ"/>
    <s v="Stationery"/>
    <s v="Pen"/>
    <n v="3"/>
    <n v="15"/>
    <n v="0.15"/>
    <n v="38.25"/>
    <n v="3"/>
    <s v="Cash"/>
    <s v="Neha"/>
    <s v="arjun.rao@company.com"/>
    <n v="9349012570"/>
    <s v="Prime Supplies"/>
    <n v="12"/>
    <s v="Silver"/>
    <d v="2026-10-03T00:00:00"/>
    <s v="February"/>
    <x v="0"/>
  </r>
  <r>
    <s v="ORD10380"/>
    <s v="C006"/>
    <s v="P101"/>
    <d v="2025-12-18T00:00:00"/>
    <s v="19/12/2025"/>
    <s v="Sneha Joshi"/>
    <s v="Female"/>
    <s v="04/04/1981"/>
    <s v="Pune"/>
    <s v="West"/>
    <s v="WB"/>
    <s v="Electronics"/>
    <s v="Laptop"/>
    <n v="8"/>
    <n v="41250"/>
    <n v="0.2"/>
    <n v="264000"/>
    <n v="5"/>
    <s v="Card"/>
    <s v="Karan"/>
    <s v="sneha.joshi@company.com"/>
    <n v="9442163790"/>
    <s v="TechHub"/>
    <n v="12"/>
    <s v="Gold"/>
    <d v="2026-12-19T00:00:00"/>
    <s v="April"/>
    <x v="2"/>
  </r>
  <r>
    <s v="ORD10381"/>
    <s v="C006"/>
    <s v="P301"/>
    <d v="2025-09-29T00:00:00"/>
    <s v="07/10/2025"/>
    <s v="Sneha Joshi"/>
    <s v="Female"/>
    <s v="04/04/1981"/>
    <s v="Pune"/>
    <s v="West"/>
    <s v="WB"/>
    <s v="Stationery"/>
    <s v="Notebook"/>
    <n v="17"/>
    <n v="45"/>
    <n v="0.2"/>
    <n v="612"/>
    <n v="1"/>
    <s v="Upi"/>
    <s v="Ritika"/>
    <s v="sneha.joshi@company.com"/>
    <n v="9953329223"/>
    <s v="ABC Corp"/>
    <n v="12"/>
    <s v="Gold"/>
    <d v="2026-10-07T00:00:00"/>
    <s v="April"/>
    <x v="1"/>
  </r>
  <r>
    <s v="ORD10382"/>
    <s v="C003"/>
    <s v="P302"/>
    <d v="2025-05-14T00:00:00"/>
    <s v="22/05/2025"/>
    <s v="Rohit Singh"/>
    <s v="Male"/>
    <s v="10/05/1982"/>
    <s v="Delhi"/>
    <s v="North"/>
    <s v="DL"/>
    <s v="Stationery"/>
    <s v="Pen"/>
    <n v="4"/>
    <n v="15"/>
    <n v="0.15"/>
    <n v="51"/>
    <n v="3"/>
    <s v="Netbanking"/>
    <s v="Aisha"/>
    <s v="rohit.singh@company.com"/>
    <n v="9202321359"/>
    <s v="Prime Supplies"/>
    <n v="12"/>
    <s v="Gold"/>
    <d v="2026-05-22T00:00:00"/>
    <s v="May"/>
    <x v="0"/>
  </r>
  <r>
    <s v="ORD10383"/>
    <s v="C003"/>
    <s v="P202"/>
    <d v="2025-04-01T00:00:00"/>
    <s v="11/04/2025"/>
    <s v="Rohit Singh"/>
    <s v="Male"/>
    <s v="10/05/1982"/>
    <s v="Delhi"/>
    <s v="North"/>
    <s v="DL"/>
    <s v="Home Appliances"/>
    <s v="Iron"/>
    <n v="2"/>
    <n v="1650"/>
    <n v="0.1"/>
    <n v="2970"/>
    <n v="2"/>
    <s v="Upi"/>
    <s v="Rahul"/>
    <s v="rohit.singh@company.com"/>
    <n v="9812564160"/>
    <s v="Global Trade"/>
    <n v="24"/>
    <s v="Gold"/>
    <d v="2027-04-11T00:00:00"/>
    <s v="May"/>
    <x v="1"/>
  </r>
  <r>
    <s v="ORD10384"/>
    <s v="C005"/>
    <s v="P301"/>
    <d v="2025-04-07T00:00:00"/>
    <s v="18/04/2025"/>
    <s v="Vikas Mehta"/>
    <s v="Male"/>
    <s v="03/08/1991"/>
    <s v="Mumbai"/>
    <s v="West"/>
    <s v="DL"/>
    <s v="Stationery"/>
    <s v="Notebook"/>
    <n v="5"/>
    <n v="45"/>
    <n v="0.05"/>
    <n v="213.75"/>
    <n v="1"/>
    <s v="Upi"/>
    <s v="Ritika"/>
    <s v="vikas.mehta@company.com"/>
    <n v="9688458222"/>
    <s v="ABC Corp"/>
    <n v="12"/>
    <s v="Gold"/>
    <d v="2026-04-18T00:00:00"/>
    <s v="August"/>
    <x v="1"/>
  </r>
  <r>
    <s v="ORD10385"/>
    <s v="C003"/>
    <s v="P202"/>
    <d v="2026-02-19T00:00:00"/>
    <s v="23/02/2026"/>
    <s v="Rohit Singh"/>
    <s v="Male"/>
    <s v="10/05/1982"/>
    <s v="Delhi"/>
    <s v="North"/>
    <s v="DL"/>
    <s v="Home Appliances"/>
    <s v="Iron"/>
    <n v="17"/>
    <n v="1650"/>
    <n v="0"/>
    <n v="28050"/>
    <n v="2"/>
    <s v="Upi"/>
    <s v="Karan"/>
    <s v="rohit.singh@company.com"/>
    <n v="9634473337"/>
    <s v="Global Trade"/>
    <n v="24"/>
    <s v="Gold"/>
    <d v="2028-02-23T00:00:00"/>
    <s v="May"/>
    <x v="1"/>
  </r>
  <r>
    <s v="ORD10386"/>
    <s v="C004"/>
    <s v="P301"/>
    <d v="2025-12-04T00:00:00"/>
    <s v="11/12/2025"/>
    <s v="Anita Gupta"/>
    <s v="Female"/>
    <s v="16/01/2002"/>
    <s v="Pune"/>
    <s v="West"/>
    <s v="WB"/>
    <s v="Stationery"/>
    <s v="Notebook"/>
    <n v="7"/>
    <n v="45"/>
    <n v="0"/>
    <n v="315"/>
    <n v="2"/>
    <s v="Upi"/>
    <s v="Aisha"/>
    <s v="anita.gupta@company.com"/>
    <n v="9608737026"/>
    <s v="ABC Corp"/>
    <n v="12"/>
    <s v="Gold"/>
    <d v="2026-12-11T00:00:00"/>
    <s v="January"/>
    <x v="1"/>
  </r>
  <r>
    <s v="ORD10387"/>
    <s v="C005"/>
    <s v="P101"/>
    <d v="2025-10-20T00:00:00"/>
    <s v="24/10/2025"/>
    <s v="Vikas Mehta"/>
    <s v="Male"/>
    <s v="03/08/1991"/>
    <s v="Mumbai"/>
    <s v="West"/>
    <s v="DL"/>
    <s v="Electronics"/>
    <s v="Laptop"/>
    <n v="6"/>
    <n v="41250"/>
    <n v="0.05"/>
    <n v="235125"/>
    <n v="4"/>
    <s v="Card"/>
    <s v="Aisha"/>
    <s v="vikas.mehta@company.com"/>
    <n v="9804498139"/>
    <s v="TechHub"/>
    <n v="12"/>
    <s v="Gold"/>
    <d v="2026-10-24T00:00:00"/>
    <s v="August"/>
    <x v="3"/>
  </r>
  <r>
    <s v="ORD10388"/>
    <s v="C009"/>
    <s v="P302"/>
    <d v="2026-01-21T00:00:00"/>
    <s v="25/01/2026"/>
    <s v="Mohit Verma"/>
    <s v="Male"/>
    <s v="13/04/1976"/>
    <s v="Delhi"/>
    <s v="North"/>
    <s v="KA"/>
    <s v="Stationery"/>
    <s v="Pen"/>
    <n v="16"/>
    <n v="15"/>
    <n v="0.05"/>
    <n v="228"/>
    <n v="1"/>
    <s v="Card"/>
    <s v="Rahul"/>
    <s v="mohit.verma@company.com"/>
    <n v="9798643580"/>
    <s v="Prime Supplies"/>
    <n v="12"/>
    <s v="Platinum"/>
    <d v="2027-01-25T00:00:00"/>
    <s v="April"/>
    <x v="1"/>
  </r>
  <r>
    <s v="ORD10389"/>
    <s v="C008"/>
    <s v="P202"/>
    <d v="2025-01-25T00:00:00"/>
    <s v="28/01/2025"/>
    <s v="Kavya Nair"/>
    <s v="Female"/>
    <s v="01/08/1976"/>
    <s v="Hyderabad"/>
    <s v="South"/>
    <s v="WB"/>
    <s v="Home Appliances"/>
    <s v="Iron"/>
    <n v="11"/>
    <n v="1650"/>
    <n v="0.15"/>
    <n v="15427.5"/>
    <n v="1"/>
    <s v="Netbanking"/>
    <s v="Neha"/>
    <s v="kavya.nair@company.com"/>
    <n v="9809823278"/>
    <s v="Global Trade"/>
    <n v="24"/>
    <s v="Silver"/>
    <d v="2027-01-28T00:00:00"/>
    <s v="August"/>
    <x v="1"/>
  </r>
  <r>
    <s v="ORD10390"/>
    <s v="C002"/>
    <s v="P302"/>
    <d v="2025-02-28T00:00:00"/>
    <s v="02/03/2025"/>
    <s v="Priya Patel"/>
    <s v="Female"/>
    <s v="07/03/1995"/>
    <s v="Mumbai"/>
    <s v="West"/>
    <s v="WB"/>
    <s v="Stationery"/>
    <s v="Pen"/>
    <n v="19"/>
    <n v="15"/>
    <n v="0.05"/>
    <n v="270.75"/>
    <n v="4"/>
    <s v="Upi"/>
    <s v="Ritika"/>
    <s v="priya.patel@company.com"/>
    <n v="9177767854"/>
    <s v="Prime Supplies"/>
    <n v="12"/>
    <s v="Platinum"/>
    <d v="2026-03-02T00:00:00"/>
    <s v="March"/>
    <x v="0"/>
  </r>
  <r>
    <s v="ORD10391"/>
    <s v="C002"/>
    <s v="P103"/>
    <d v="2025-06-20T00:00:00"/>
    <s v="21/06/2025"/>
    <s v="Priya Patel"/>
    <s v="Female"/>
    <s v="07/03/1995"/>
    <s v="Mumbai"/>
    <s v="West"/>
    <s v="WB"/>
    <s v="Electronics"/>
    <s v="Keyboard"/>
    <n v="20"/>
    <n v="900"/>
    <n v="0.15"/>
    <n v="15300"/>
    <n v="4"/>
    <s v="Card"/>
    <s v="Ritika"/>
    <s v="priya.patel@company.com"/>
    <n v="9643440006"/>
    <s v="TechHub"/>
    <n v="6"/>
    <s v="Platinum"/>
    <d v="2025-12-21T00:00:00"/>
    <s v="March"/>
    <x v="0"/>
  </r>
  <r>
    <s v="ORD10392"/>
    <s v="C010"/>
    <s v="P302"/>
    <d v="2025-05-28T00:00:00"/>
    <s v="06/06/2025"/>
    <s v="Pooja Shah"/>
    <s v="Female"/>
    <s v="16/09/1994"/>
    <s v="Bengaluru"/>
    <s v="South"/>
    <s v="WB"/>
    <s v="Stationery"/>
    <s v="Pen"/>
    <n v="13"/>
    <n v="15"/>
    <n v="0.15"/>
    <n v="165.75"/>
    <n v="4"/>
    <s v="Cash"/>
    <s v="Ritika"/>
    <s v="pooja.shah@company.com"/>
    <n v="9673698825"/>
    <s v="Prime Supplies"/>
    <n v="12"/>
    <s v="Silver"/>
    <d v="2026-06-06T00:00:00"/>
    <s v="September"/>
    <x v="0"/>
  </r>
  <r>
    <s v="ORD10393"/>
    <s v="C006"/>
    <s v="P103"/>
    <d v="2025-01-03T00:00:00"/>
    <s v="08/01/2025"/>
    <s v="Sneha Joshi"/>
    <s v="Female"/>
    <s v="04/04/1981"/>
    <s v="Pune"/>
    <s v="West"/>
    <s v="WB"/>
    <s v="Electronics"/>
    <s v="Keyboard"/>
    <n v="12"/>
    <n v="900"/>
    <n v="0.1"/>
    <n v="9720"/>
    <n v="3"/>
    <s v="Netbanking"/>
    <s v="Ritika"/>
    <s v="sneha.joshi@company.com"/>
    <n v="9706238784"/>
    <s v="TechHub"/>
    <n v="6"/>
    <s v="Gold"/>
    <d v="2025-07-08T00:00:00"/>
    <s v="April"/>
    <x v="0"/>
  </r>
  <r>
    <s v="ORD10394"/>
    <s v="C002"/>
    <s v="P203"/>
    <d v="2025-01-28T00:00:00"/>
    <s v="29/01/2025"/>
    <s v="Priya Patel"/>
    <s v="Female"/>
    <s v="07/03/1995"/>
    <s v="Mumbai"/>
    <s v="West"/>
    <s v="WB"/>
    <s v="Home Appliances"/>
    <s v="Microwave"/>
    <n v="6"/>
    <n v="6375"/>
    <n v="0.05"/>
    <n v="36337.5"/>
    <n v="5"/>
    <s v="Cash"/>
    <s v="Neha"/>
    <s v="priya.patel@company.com"/>
    <n v="9132959877"/>
    <s v="TechHub"/>
    <n v="24"/>
    <s v="Platinum"/>
    <d v="2027-01-29T00:00:00"/>
    <s v="March"/>
    <x v="0"/>
  </r>
  <r>
    <s v="ORD10395"/>
    <s v="C008"/>
    <s v="P203"/>
    <d v="2026-02-18T00:00:00"/>
    <s v="26/02/2026"/>
    <s v="Kavya Nair"/>
    <s v="Female"/>
    <s v="01/08/1976"/>
    <s v="Hyderabad"/>
    <s v="South"/>
    <s v="WB"/>
    <s v="Home Appliances"/>
    <s v="Microwave"/>
    <n v="15"/>
    <n v="6375"/>
    <n v="0.1"/>
    <n v="86062.5"/>
    <n v="1"/>
    <s v="Cash"/>
    <s v="Neha"/>
    <s v="kavya.nair@company.com"/>
    <n v="9295011645"/>
    <s v="TechHub"/>
    <n v="24"/>
    <s v="Silver"/>
    <d v="2028-02-26T00:00:00"/>
    <s v="August"/>
    <x v="1"/>
  </r>
  <r>
    <s v="ORD10396"/>
    <s v="C003"/>
    <s v="P104"/>
    <d v="2025-08-03T00:00:00"/>
    <s v="15/08/2025"/>
    <s v="Rohit Singh"/>
    <s v="Male"/>
    <s v="10/05/1982"/>
    <s v="Delhi"/>
    <s v="North"/>
    <s v="DL"/>
    <s v="Electronics"/>
    <s v="Monitor"/>
    <n v="19"/>
    <n v="9000"/>
    <n v="0.2"/>
    <n v="136800"/>
    <n v="5"/>
    <s v="Cash"/>
    <s v="Neha"/>
    <s v="rohit.singh@company.com"/>
    <n v="9677606427"/>
    <s v="Global Trade"/>
    <n v="24"/>
    <s v="Gold"/>
    <d v="2027-08-15T00:00:00"/>
    <s v="May"/>
    <x v="2"/>
  </r>
  <r>
    <s v="ORD10397"/>
    <s v="C007"/>
    <s v="P102"/>
    <d v="2025-01-15T00:00:00"/>
    <s v="18/01/2025"/>
    <s v="Arjun Rao"/>
    <s v="Male"/>
    <s v="07/02/1988"/>
    <s v="Hyderabad"/>
    <s v="South"/>
    <s v="RJ"/>
    <s v="Electronics"/>
    <s v="Mouse"/>
    <n v="5"/>
    <n v="525"/>
    <n v="0"/>
    <n v="2625"/>
    <n v="2"/>
    <s v="Card"/>
    <s v="Aisha"/>
    <s v="arjun.rao@company.com"/>
    <n v="9161631566"/>
    <s v="TechHub"/>
    <n v="24"/>
    <s v="Silver"/>
    <d v="2027-01-18T00:00:00"/>
    <s v="February"/>
    <x v="1"/>
  </r>
  <r>
    <s v="ORD10398"/>
    <s v="C007"/>
    <s v="P104"/>
    <d v="2025-01-31T00:00:00"/>
    <s v="04/02/2025"/>
    <s v="Arjun Rao"/>
    <s v="Male"/>
    <s v="07/02/1988"/>
    <s v="Hyderabad"/>
    <s v="South"/>
    <s v="RJ"/>
    <s v="Electronics"/>
    <s v="Monitor"/>
    <n v="19"/>
    <n v="9000"/>
    <n v="0"/>
    <n v="171000"/>
    <n v="4"/>
    <s v="Upi"/>
    <s v="Aisha"/>
    <s v="arjun.rao@company.com"/>
    <n v="9136906750"/>
    <s v="Global Trade"/>
    <n v="24"/>
    <s v="Silver"/>
    <d v="2027-02-04T00:00:00"/>
    <s v="February"/>
    <x v="3"/>
  </r>
  <r>
    <s v="ORD10399"/>
    <s v="C001"/>
    <s v="P102"/>
    <m/>
    <s v="03/11/2025"/>
    <s v="Amit Sharma"/>
    <s v="Male"/>
    <s v="09/08/1991"/>
    <s v="Pune"/>
    <s v="West"/>
    <s v="RJ"/>
    <s v="Electronics"/>
    <s v="Mouse"/>
    <n v="12"/>
    <n v="525"/>
    <n v="0.15"/>
    <n v="5355"/>
    <n v="3"/>
    <s v="Card"/>
    <s v="Ritika"/>
    <s v="amit.sharma@company.com"/>
    <n v="9485286324"/>
    <s v="TechHub"/>
    <n v="24"/>
    <s v="Silver"/>
    <d v="2027-11-03T00:00:00"/>
    <s v="August"/>
    <x v="0"/>
  </r>
  <r>
    <s v="ORD10400"/>
    <s v="C008"/>
    <s v="P103"/>
    <d v="2025-05-13T00:00:00"/>
    <s v="21/05/2025"/>
    <s v="Kavya Nair"/>
    <s v="Female"/>
    <s v="01/08/1976"/>
    <s v="Hyderabad"/>
    <s v="South"/>
    <s v="WB"/>
    <s v="Electronics"/>
    <s v="Keyboard"/>
    <n v="16"/>
    <n v="900"/>
    <n v="0.2"/>
    <n v="11520"/>
    <n v="1"/>
    <s v="Cash"/>
    <s v="Rahul"/>
    <s v="kavya.nair@company.com"/>
    <n v="9414633966"/>
    <s v="TechHub"/>
    <n v="6"/>
    <s v="Silver"/>
    <d v="2025-11-21T00:00:00"/>
    <s v="August"/>
    <x v="1"/>
  </r>
  <r>
    <s v="ORD10401"/>
    <s v="C009"/>
    <s v="P203"/>
    <d v="2025-12-27T00:00:00"/>
    <s v="04/01/2026"/>
    <s v="Mohit Verma"/>
    <s v="Male"/>
    <s v="13/04/1976"/>
    <s v="Delhi"/>
    <s v="North"/>
    <s v="KA"/>
    <s v="Home Appliances"/>
    <s v="Microwave"/>
    <n v="10"/>
    <n v="6375"/>
    <n v="0.05"/>
    <n v="60562.5"/>
    <n v="5"/>
    <s v="Netbanking"/>
    <s v="Ritika"/>
    <s v="mohit.verma@company.com"/>
    <n v="9833735234"/>
    <s v="TechHub"/>
    <n v="24"/>
    <s v="Platinum"/>
    <d v="2028-01-04T00:00:00"/>
    <s v="April"/>
    <x v="2"/>
  </r>
  <r>
    <s v="ORD10402"/>
    <s v="C008"/>
    <s v="P302"/>
    <d v="2025-02-11T00:00:00"/>
    <s v="21/02/2025"/>
    <s v="Kavya Nair"/>
    <s v="Female"/>
    <s v="01/08/1976"/>
    <s v="Hyderabad"/>
    <s v="South"/>
    <s v="WB"/>
    <s v="Stationery"/>
    <s v="Pen"/>
    <n v="18"/>
    <n v="15"/>
    <n v="0.2"/>
    <n v="216"/>
    <n v="1"/>
    <s v="Upi"/>
    <s v="Ritika"/>
    <s v="kavya.nair@company.com"/>
    <n v="9523689108"/>
    <s v="Prime Supplies"/>
    <n v="12"/>
    <s v="Silver"/>
    <d v="2026-02-21T00:00:00"/>
    <s v="August"/>
    <x v="1"/>
  </r>
  <r>
    <s v="ORD10403"/>
    <s v="C009"/>
    <s v="P203"/>
    <d v="2026-03-13T00:00:00"/>
    <s v="19/03/2026"/>
    <s v="Mohit Verma"/>
    <s v="Male"/>
    <s v="13/04/1976"/>
    <s v="Delhi"/>
    <s v="North"/>
    <s v="KA"/>
    <s v="Home Appliances"/>
    <s v="Microwave"/>
    <n v="9"/>
    <n v="6375"/>
    <n v="0"/>
    <n v="57375"/>
    <n v="2"/>
    <s v="Card"/>
    <s v="Ritika"/>
    <s v="mohit.verma@company.com"/>
    <n v="9812909831"/>
    <s v="TechHub"/>
    <n v="24"/>
    <s v="Platinum"/>
    <d v="2028-03-19T00:00:00"/>
    <s v="April"/>
    <x v="1"/>
  </r>
  <r>
    <s v="ORD10404"/>
    <s v="C008"/>
    <s v="P203"/>
    <d v="2025-10-01T00:00:00"/>
    <s v="12/10/2025"/>
    <s v="Kavya Nair"/>
    <s v="Female"/>
    <s v="01/08/1976"/>
    <s v="Hyderabad"/>
    <s v="South"/>
    <s v="WB"/>
    <s v="Home Appliances"/>
    <s v="Microwave"/>
    <n v="8"/>
    <n v="6375"/>
    <n v="0.1"/>
    <n v="45900"/>
    <n v="4"/>
    <s v="Cash"/>
    <s v="Neha"/>
    <s v="kavya.nair@company.com"/>
    <n v="9106290987"/>
    <s v="TechHub"/>
    <n v="24"/>
    <s v="Silver"/>
    <d v="2027-10-12T00:00:00"/>
    <s v="August"/>
    <x v="0"/>
  </r>
  <r>
    <s v="ORD10405"/>
    <s v="C010"/>
    <s v="P302"/>
    <d v="2026-01-26T00:00:00"/>
    <s v="01/02/2026"/>
    <s v="Pooja Shah"/>
    <s v="Female"/>
    <s v="16/09/1994"/>
    <s v="Bengaluru"/>
    <s v="South"/>
    <s v="WB"/>
    <s v="Stationery"/>
    <s v="Pen"/>
    <n v="3"/>
    <n v="15"/>
    <n v="0.1"/>
    <n v="40.5"/>
    <n v="3"/>
    <s v="Card"/>
    <s v="Karan"/>
    <s v="pooja.shah@company.com"/>
    <n v="9767727724"/>
    <s v="Prime Supplies"/>
    <n v="12"/>
    <s v="Silver"/>
    <d v="2027-02-01T00:00:00"/>
    <s v="September"/>
    <x v="0"/>
  </r>
  <r>
    <s v="ORD10406"/>
    <s v="C004"/>
    <s v="P203"/>
    <d v="2025-07-02T00:00:00"/>
    <s v="12/07/2025"/>
    <s v="Anita Gupta"/>
    <s v="Female"/>
    <s v="16/01/2002"/>
    <s v="Pune"/>
    <s v="West"/>
    <s v="WB"/>
    <s v="Home Appliances"/>
    <s v="Microwave"/>
    <n v="18"/>
    <n v="6375"/>
    <n v="0.1"/>
    <n v="103275"/>
    <n v="4"/>
    <s v="Cash"/>
    <s v="Rahul"/>
    <s v="anita.gupta@company.com"/>
    <n v="9865401727"/>
    <s v="TechHub"/>
    <n v="24"/>
    <s v="Gold"/>
    <d v="2027-07-12T00:00:00"/>
    <s v="January"/>
    <x v="3"/>
  </r>
  <r>
    <s v="ORD10407"/>
    <s v="C010"/>
    <s v="P303"/>
    <d v="2025-10-05T00:00:00"/>
    <s v="09/10/2025"/>
    <s v="Pooja Shah"/>
    <s v="Female"/>
    <s v="16/09/1994"/>
    <s v="Bengaluru"/>
    <s v="South"/>
    <s v="WB"/>
    <s v="Stationery"/>
    <s v="Marker"/>
    <n v="5"/>
    <n v="33.75"/>
    <n v="0.1"/>
    <n v="151.875"/>
    <n v="3"/>
    <s v="Cash"/>
    <s v="Neha"/>
    <s v="pooja.shah@company.com"/>
    <n v="9603848571"/>
    <s v="TechHub"/>
    <n v="12"/>
    <s v="Silver"/>
    <d v="2026-10-09T00:00:00"/>
    <s v="September"/>
    <x v="0"/>
  </r>
  <r>
    <s v="ORD10408"/>
    <s v="C009"/>
    <s v="P303"/>
    <d v="2025-05-30T00:00:00"/>
    <s v="02/06/2025"/>
    <s v="Mohit Verma"/>
    <s v="Male"/>
    <s v="13/04/1976"/>
    <s v="Delhi"/>
    <s v="North"/>
    <s v="KA"/>
    <s v="Stationery"/>
    <s v="Marker"/>
    <n v="2"/>
    <n v="33.75"/>
    <n v="0.2"/>
    <n v="54"/>
    <n v="5"/>
    <s v="Upi"/>
    <s v="Aisha"/>
    <s v="mohit.verma@company.com"/>
    <n v="9101231789"/>
    <s v="TechHub"/>
    <n v="12"/>
    <s v="Platinum"/>
    <d v="2026-06-02T00:00:00"/>
    <s v="April"/>
    <x v="0"/>
  </r>
  <r>
    <s v="ORD10409"/>
    <s v="C002"/>
    <s v="P303"/>
    <d v="2025-01-27T00:00:00"/>
    <s v="06/02/2025"/>
    <s v="Priya Patel"/>
    <s v="Female"/>
    <s v="07/03/1995"/>
    <s v="Mumbai"/>
    <s v="West"/>
    <s v="WB"/>
    <s v="Stationery"/>
    <s v="Marker"/>
    <n v="18"/>
    <n v="33.75"/>
    <n v="0.1"/>
    <n v="546.75"/>
    <n v="2"/>
    <s v="Netbanking"/>
    <s v="Neha"/>
    <s v="priya.patel@company.com"/>
    <n v="9485017802"/>
    <s v="TechHub"/>
    <n v="12"/>
    <s v="Platinum"/>
    <d v="2026-02-06T00:00:00"/>
    <s v="March"/>
    <x v="1"/>
  </r>
  <r>
    <s v="ORD10410"/>
    <s v="C003"/>
    <s v="P103"/>
    <d v="2025-12-24T00:00:00"/>
    <s v="01/01/2026"/>
    <s v="Rohit Singh"/>
    <s v="Male"/>
    <s v="10/05/1982"/>
    <s v="Delhi"/>
    <s v="North"/>
    <s v="DL"/>
    <s v="Electronics"/>
    <s v="Keyboard"/>
    <n v="13"/>
    <n v="900"/>
    <n v="0.05"/>
    <n v="11115"/>
    <n v="4"/>
    <s v="Card"/>
    <s v="Neha"/>
    <s v="rohit.singh@company.com"/>
    <n v="9815464650"/>
    <s v="TechHub"/>
    <n v="6"/>
    <s v="Gold"/>
    <d v="2026-07-01T00:00:00"/>
    <s v="May"/>
    <x v="0"/>
  </r>
  <r>
    <s v="ORD10411"/>
    <s v="C008"/>
    <s v="P302"/>
    <d v="2026-05-11T00:00:00"/>
    <s v="17/05/2026"/>
    <s v="Kavya Nair"/>
    <s v="Female"/>
    <s v="01/08/1976"/>
    <s v="Hyderabad"/>
    <s v="South"/>
    <s v="WB"/>
    <s v="Stationery"/>
    <s v="Pen"/>
    <n v="14"/>
    <n v="15"/>
    <n v="0.2"/>
    <n v="168"/>
    <n v="5"/>
    <s v="Upi"/>
    <s v="Rahul"/>
    <s v="kavya.nair@company.com"/>
    <n v="9860715839"/>
    <s v="Prime Supplies"/>
    <n v="12"/>
    <s v="Silver"/>
    <d v="2027-05-17T00:00:00"/>
    <s v="August"/>
    <x v="0"/>
  </r>
  <r>
    <s v="ORD10412"/>
    <s v="C002"/>
    <s v="P201"/>
    <d v="2026-02-11T00:00:00"/>
    <s v="23/02/2026"/>
    <s v="Priya Patel"/>
    <s v="Female"/>
    <s v="07/03/1995"/>
    <s v="Mumbai"/>
    <s v="West"/>
    <s v="WB"/>
    <s v="Home Appliances"/>
    <s v="Mixer"/>
    <n v="16"/>
    <n v="2625"/>
    <n v="0.15"/>
    <n v="35700"/>
    <n v="3"/>
    <s v="Upi"/>
    <s v="Aisha"/>
    <s v="priya.patel@company.com"/>
    <n v="9207561051"/>
    <s v="Global Trade"/>
    <n v="6"/>
    <s v="Platinum"/>
    <d v="2026-08-23T00:00:00"/>
    <s v="March"/>
    <x v="0"/>
  </r>
  <r>
    <s v="ORD10413"/>
    <s v="C006"/>
    <s v="P302"/>
    <d v="2025-02-16T00:00:00"/>
    <s v="24/02/2025"/>
    <s v="Sneha Joshi"/>
    <s v="Female"/>
    <s v="04/04/1981"/>
    <s v="Pune"/>
    <s v="West"/>
    <s v="WB"/>
    <s v="Stationery"/>
    <s v="Pen"/>
    <n v="20"/>
    <n v="15"/>
    <n v="0.15"/>
    <n v="255"/>
    <n v="1"/>
    <s v="Netbanking"/>
    <s v="Aisha"/>
    <s v="sneha.joshi@company.com"/>
    <n v="9159894508"/>
    <s v="Prime Supplies"/>
    <n v="12"/>
    <s v="Gold"/>
    <d v="2026-02-24T00:00:00"/>
    <s v="April"/>
    <x v="1"/>
  </r>
  <r>
    <s v="ORD10414"/>
    <s v="C004"/>
    <s v="P101"/>
    <d v="2025-04-09T00:00:00"/>
    <s v="14/04/2025"/>
    <s v="Anita Gupta"/>
    <s v="Female"/>
    <s v="16/01/2002"/>
    <s v="Pune"/>
    <s v="West"/>
    <s v="WB"/>
    <s v="Electronics"/>
    <s v="Laptop"/>
    <n v="1"/>
    <n v="41250"/>
    <n v="0.15"/>
    <n v="35062.5"/>
    <n v="2"/>
    <s v="Upi"/>
    <s v="Neha"/>
    <s v="anita.gupta@company.com"/>
    <n v="9531465024"/>
    <s v="TechHub"/>
    <n v="12"/>
    <s v="Gold"/>
    <d v="2026-04-14T00:00:00"/>
    <s v="January"/>
    <x v="1"/>
  </r>
  <r>
    <s v="ORD10415"/>
    <s v="C002"/>
    <s v="P301"/>
    <d v="2025-01-15T00:00:00"/>
    <s v="20/01/2025"/>
    <s v="Priya Patel"/>
    <s v="Female"/>
    <s v="07/03/1995"/>
    <s v="Mumbai"/>
    <s v="West"/>
    <s v="WB"/>
    <s v="Stationery"/>
    <s v="Notebook"/>
    <n v="15"/>
    <n v="45"/>
    <n v="0.05"/>
    <n v="641.25"/>
    <n v="4"/>
    <s v="Netbanking"/>
    <s v="Aisha"/>
    <s v="priya.patel@company.com"/>
    <n v="9158813608"/>
    <s v="ABC Corp"/>
    <n v="12"/>
    <s v="Platinum"/>
    <d v="2026-01-20T00:00:00"/>
    <s v="March"/>
    <x v="0"/>
  </r>
  <r>
    <s v="ORD10416"/>
    <s v="C007"/>
    <s v="P102"/>
    <d v="2026-03-27T00:00:00"/>
    <s v="02/04/2026"/>
    <s v="Arjun Rao"/>
    <s v="Male"/>
    <s v="07/02/1988"/>
    <s v="Hyderabad"/>
    <s v="South"/>
    <s v="RJ"/>
    <s v="Electronics"/>
    <s v="Mouse"/>
    <n v="15"/>
    <n v="525"/>
    <n v="0"/>
    <n v="7875"/>
    <n v="5"/>
    <s v="Netbanking"/>
    <s v="Neha"/>
    <s v="arjun.rao@company.com"/>
    <n v="9308461700"/>
    <s v="TechHub"/>
    <n v="24"/>
    <s v="Silver"/>
    <d v="2028-04-02T00:00:00"/>
    <s v="February"/>
    <x v="0"/>
  </r>
  <r>
    <s v="ORD10417"/>
    <s v="C005"/>
    <s v="P104"/>
    <d v="2026-01-05T00:00:00"/>
    <s v="09/01/2026"/>
    <s v="Vikas Mehta"/>
    <s v="Male"/>
    <s v="03/08/1991"/>
    <s v="Mumbai"/>
    <s v="West"/>
    <s v="DL"/>
    <s v="Electronics"/>
    <s v="Monitor"/>
    <n v="13"/>
    <n v="9000"/>
    <n v="0.1"/>
    <n v="105300"/>
    <n v="1"/>
    <s v="Cash"/>
    <s v="Karan"/>
    <s v="vikas.mehta@company.com"/>
    <n v="9882279049"/>
    <s v="Global Trade"/>
    <n v="24"/>
    <s v="Gold"/>
    <d v="2028-01-09T00:00:00"/>
    <s v="August"/>
    <x v="1"/>
  </r>
  <r>
    <s v="ORD10418"/>
    <s v="C007"/>
    <s v="P104"/>
    <d v="2026-04-17T00:00:00"/>
    <s v="29/04/2026"/>
    <s v="Arjun Rao"/>
    <s v="Male"/>
    <s v="07/02/1988"/>
    <s v="Hyderabad"/>
    <s v="South"/>
    <s v="RJ"/>
    <s v="Electronics"/>
    <s v="Monitor"/>
    <n v="12"/>
    <n v="9000"/>
    <n v="0.2"/>
    <n v="86400"/>
    <n v="2"/>
    <s v="Cash"/>
    <s v="Ritika"/>
    <s v="arjun.rao@company.com"/>
    <n v="9961801338"/>
    <s v="Global Trade"/>
    <n v="24"/>
    <s v="Silver"/>
    <d v="2028-04-29T00:00:00"/>
    <s v="February"/>
    <x v="1"/>
  </r>
  <r>
    <s v="ORD10419"/>
    <s v="C007"/>
    <s v="P303"/>
    <d v="2025-03-25T00:00:00"/>
    <s v="29/03/2025"/>
    <s v="Arjun Rao"/>
    <s v="Male"/>
    <s v="07/02/1988"/>
    <s v="Hyderabad"/>
    <s v="South"/>
    <s v="RJ"/>
    <s v="Stationery"/>
    <s v="Marker"/>
    <n v="10"/>
    <n v="33.75"/>
    <n v="0"/>
    <n v="337.5"/>
    <n v="5"/>
    <s v="Card"/>
    <s v="Neha"/>
    <s v="arjun.rao@company.com"/>
    <n v="9853525026"/>
    <s v="TechHub"/>
    <n v="12"/>
    <s v="Silver"/>
    <d v="2026-03-29T00:00:00"/>
    <s v="February"/>
    <x v="0"/>
  </r>
  <r>
    <s v="ORD10420"/>
    <s v="C003"/>
    <s v="P103"/>
    <d v="2025-04-27T00:00:00"/>
    <s v="09/05/2025"/>
    <s v="Rohit Singh"/>
    <s v="Male"/>
    <s v="10/05/1982"/>
    <s v="Delhi"/>
    <s v="North"/>
    <s v="DL"/>
    <s v="Electronics"/>
    <s v="Keyboard"/>
    <n v="20"/>
    <n v="900"/>
    <n v="0.2"/>
    <n v="14400"/>
    <n v="5"/>
    <s v="Netbanking"/>
    <s v="Aisha"/>
    <s v="rohit.singh@company.com"/>
    <n v="9209649485"/>
    <s v="TechHub"/>
    <n v="6"/>
    <s v="Gold"/>
    <d v="2025-11-09T00:00:00"/>
    <s v="May"/>
    <x v="0"/>
  </r>
  <r>
    <s v="ORD10421"/>
    <s v="C009"/>
    <s v="P103"/>
    <d v="2025-09-19T00:00:00"/>
    <s v="26/09/2025"/>
    <s v="Mohit Verma"/>
    <s v="Male"/>
    <s v="13/04/1976"/>
    <s v="Delhi"/>
    <s v="North"/>
    <s v="KA"/>
    <s v="Electronics"/>
    <s v="Keyboard"/>
    <n v="8"/>
    <n v="900"/>
    <n v="0.1"/>
    <n v="6480"/>
    <n v="4"/>
    <s v="Netbanking"/>
    <s v="Aisha"/>
    <s v="mohit.verma@company.com"/>
    <n v="9712905525"/>
    <s v="TechHub"/>
    <n v="6"/>
    <s v="Platinum"/>
    <d v="2026-03-26T00:00:00"/>
    <s v="April"/>
    <x v="0"/>
  </r>
  <r>
    <s v="ORD10422"/>
    <s v="C003"/>
    <s v="P103"/>
    <d v="2025-05-18T00:00:00"/>
    <s v="20/05/2025"/>
    <s v="Rohit Singh"/>
    <s v="Male"/>
    <s v="10/05/1982"/>
    <s v="Delhi"/>
    <s v="North"/>
    <s v="DL"/>
    <s v="Electronics"/>
    <s v="Keyboard"/>
    <n v="8"/>
    <n v="900"/>
    <n v="0.1"/>
    <n v="6480"/>
    <n v="5"/>
    <s v="Card"/>
    <s v="Rahul"/>
    <s v="rohit.singh@company.com"/>
    <n v="9812472447"/>
    <s v="TechHub"/>
    <n v="6"/>
    <s v="Gold"/>
    <d v="2025-11-20T00:00:00"/>
    <s v="May"/>
    <x v="0"/>
  </r>
  <r>
    <s v="ORD10423"/>
    <s v="C001"/>
    <s v="P202"/>
    <d v="2025-12-29T00:00:00"/>
    <s v="30/12/2025"/>
    <s v="Amit Sharma"/>
    <s v="Male"/>
    <s v="09/08/1991"/>
    <s v="Pune"/>
    <s v="West"/>
    <s v="RJ"/>
    <s v="Home Appliances"/>
    <s v="Iron"/>
    <n v="9"/>
    <n v="1650"/>
    <n v="0.2"/>
    <n v="11880"/>
    <n v="1"/>
    <s v="Netbanking"/>
    <s v="Neha"/>
    <s v="amit.sharma@company.com"/>
    <n v="9281127052"/>
    <s v="Global Trade"/>
    <n v="24"/>
    <s v="Silver"/>
    <d v="2027-12-30T00:00:00"/>
    <s v="August"/>
    <x v="1"/>
  </r>
  <r>
    <s v="ORD10424"/>
    <s v="C003"/>
    <s v="P302"/>
    <d v="2025-01-12T00:00:00"/>
    <s v="16/01/2025"/>
    <s v="Rohit Singh"/>
    <s v="Male"/>
    <s v="10/05/1982"/>
    <s v="Delhi"/>
    <s v="North"/>
    <s v="DL"/>
    <s v="Stationery"/>
    <s v="Pen"/>
    <n v="8"/>
    <n v="15"/>
    <n v="0.2"/>
    <n v="96"/>
    <n v="4"/>
    <s v="Cash"/>
    <s v="Ritika"/>
    <s v="rohit.singh@company.com"/>
    <n v="9346312555"/>
    <s v="Prime Supplies"/>
    <n v="12"/>
    <s v="Gold"/>
    <d v="2026-01-16T00:00:00"/>
    <s v="May"/>
    <x v="0"/>
  </r>
  <r>
    <s v="ORD10425"/>
    <s v="C005"/>
    <s v="P101"/>
    <d v="2026-01-13T00:00:00"/>
    <s v="22/01/2026"/>
    <s v="Vikas Mehta"/>
    <s v="Male"/>
    <s v="03/08/1991"/>
    <s v="Mumbai"/>
    <s v="West"/>
    <s v="DL"/>
    <s v="Electronics"/>
    <s v="Laptop"/>
    <n v="5"/>
    <n v="41250"/>
    <n v="0"/>
    <n v="206250"/>
    <n v="1"/>
    <s v="Card"/>
    <s v="Neha"/>
    <s v="vikas.mehta@company.com"/>
    <n v="9443786067"/>
    <s v="TechHub"/>
    <n v="12"/>
    <s v="Gold"/>
    <d v="2027-01-22T00:00:00"/>
    <s v="August"/>
    <x v="1"/>
  </r>
  <r>
    <s v="ORD10426"/>
    <s v="C002"/>
    <s v="P103"/>
    <d v="2026-03-15T00:00:00"/>
    <s v="18/03/2026"/>
    <s v="Priya Patel"/>
    <s v="Female"/>
    <s v="07/03/1995"/>
    <s v="Mumbai"/>
    <s v="West"/>
    <s v="WB"/>
    <s v="Electronics"/>
    <s v="Keyboard"/>
    <n v="13"/>
    <n v="900"/>
    <n v="0.05"/>
    <n v="11115"/>
    <n v="2"/>
    <s v="Card"/>
    <s v="Ritika"/>
    <s v="priya.patel@company.com"/>
    <n v="9452540528"/>
    <s v="TechHub"/>
    <n v="6"/>
    <s v="Platinum"/>
    <d v="2026-09-18T00:00:00"/>
    <s v="March"/>
    <x v="1"/>
  </r>
  <r>
    <s v="ORD10427"/>
    <s v="C007"/>
    <s v="P203"/>
    <d v="2025-11-25T00:00:00"/>
    <s v="30/11/2025"/>
    <s v="Arjun Rao"/>
    <s v="Male"/>
    <s v="07/02/1988"/>
    <s v="Hyderabad"/>
    <s v="South"/>
    <s v="RJ"/>
    <s v="Home Appliances"/>
    <s v="Microwave"/>
    <n v="13"/>
    <n v="6375"/>
    <n v="0.2"/>
    <n v="66300"/>
    <n v="5"/>
    <s v="Cash"/>
    <s v="Rahul"/>
    <s v="arjun.rao@company.com"/>
    <n v="9750918728"/>
    <s v="TechHub"/>
    <n v="24"/>
    <s v="Silver"/>
    <d v="2027-11-30T00:00:00"/>
    <s v="February"/>
    <x v="2"/>
  </r>
  <r>
    <s v="ORD10428"/>
    <s v="C009"/>
    <s v="P301"/>
    <d v="2025-02-04T00:00:00"/>
    <s v="15/02/2025"/>
    <s v="Mohit Verma"/>
    <s v="Male"/>
    <s v="13/04/1976"/>
    <s v="Delhi"/>
    <s v="North"/>
    <s v="KA"/>
    <s v="Stationery"/>
    <s v="Notebook"/>
    <n v="14"/>
    <n v="45"/>
    <n v="0.1"/>
    <n v="567"/>
    <n v="1"/>
    <s v="Cash"/>
    <s v="Aisha"/>
    <s v="mohit.verma@company.com"/>
    <n v="9375975834"/>
    <s v="ABC Corp"/>
    <n v="12"/>
    <s v="Platinum"/>
    <d v="2026-02-15T00:00:00"/>
    <s v="April"/>
    <x v="1"/>
  </r>
  <r>
    <s v="ORD10429"/>
    <s v="C006"/>
    <s v="P202"/>
    <d v="2025-04-28T00:00:00"/>
    <s v="29/04/2025"/>
    <s v="Sneha Joshi"/>
    <s v="Female"/>
    <s v="04/04/1981"/>
    <s v="Pune"/>
    <s v="West"/>
    <s v="WB"/>
    <s v="Home Appliances"/>
    <s v="Iron"/>
    <n v="15"/>
    <n v="1650"/>
    <n v="0"/>
    <n v="24750"/>
    <n v="1"/>
    <s v="Cash"/>
    <s v="Aisha"/>
    <s v="sneha.joshi@company.com"/>
    <n v="9497321112"/>
    <s v="Global Trade"/>
    <n v="24"/>
    <s v="Gold"/>
    <d v="2027-04-29T00:00:00"/>
    <s v="April"/>
    <x v="1"/>
  </r>
  <r>
    <s v="ORD10430"/>
    <s v="C007"/>
    <s v="P301"/>
    <d v="2025-08-27T00:00:00"/>
    <s v="29/08/2025"/>
    <s v="Arjun Rao"/>
    <s v="Male"/>
    <s v="07/02/1988"/>
    <s v="Hyderabad"/>
    <s v="South"/>
    <s v="RJ"/>
    <s v="Stationery"/>
    <s v="Notebook"/>
    <n v="19"/>
    <n v="45"/>
    <n v="0.2"/>
    <n v="684"/>
    <n v="3"/>
    <s v="Cash"/>
    <s v="Karan"/>
    <s v="arjun.rao@company.com"/>
    <n v="9828749888"/>
    <s v="ABC Corp"/>
    <n v="12"/>
    <s v="Silver"/>
    <d v="2026-08-29T00:00:00"/>
    <s v="February"/>
    <x v="0"/>
  </r>
  <r>
    <s v="ORD10431"/>
    <s v="C010"/>
    <s v="P303"/>
    <d v="2025-10-12T00:00:00"/>
    <s v="23/10/2025"/>
    <s v="Pooja Shah"/>
    <s v="Female"/>
    <s v="16/09/1994"/>
    <s v="Bengaluru"/>
    <s v="South"/>
    <s v="WB"/>
    <s v="Stationery"/>
    <s v="Marker"/>
    <n v="13"/>
    <n v="33.75"/>
    <n v="0.15"/>
    <n v="372.9375"/>
    <n v="2"/>
    <s v="Cash"/>
    <s v="Rahul"/>
    <s v="pooja.shah@company.com"/>
    <n v="9814267382"/>
    <s v="TechHub"/>
    <n v="12"/>
    <s v="Silver"/>
    <d v="2026-10-23T00:00:00"/>
    <s v="September"/>
    <x v="1"/>
  </r>
  <r>
    <s v="ORD10432"/>
    <s v="C006"/>
    <s v="P104"/>
    <d v="2026-01-14T00:00:00"/>
    <s v="24/01/2026"/>
    <s v="Sneha Joshi"/>
    <s v="Female"/>
    <s v="04/04/1981"/>
    <s v="Pune"/>
    <s v="West"/>
    <s v="WB"/>
    <s v="Electronics"/>
    <s v="Monitor"/>
    <n v="7"/>
    <n v="9000"/>
    <n v="0.05"/>
    <n v="59850"/>
    <n v="4"/>
    <s v="Card"/>
    <s v="Karan"/>
    <s v="sneha.joshi@company.com"/>
    <n v="9937007439"/>
    <s v="Global Trade"/>
    <n v="24"/>
    <s v="Gold"/>
    <d v="2028-01-24T00:00:00"/>
    <s v="April"/>
    <x v="2"/>
  </r>
  <r>
    <s v="ORD10433"/>
    <s v="C001"/>
    <s v="P302"/>
    <d v="2026-05-10T00:00:00"/>
    <m/>
    <s v="Amit Sharma"/>
    <s v="Male"/>
    <s v="09/08/1991"/>
    <s v="Pune"/>
    <s v="West"/>
    <s v="RJ"/>
    <s v="Stationery"/>
    <s v="Pen"/>
    <n v="8"/>
    <n v="15"/>
    <n v="0"/>
    <n v="120"/>
    <n v="4"/>
    <s v="Card"/>
    <s v="Aisha"/>
    <s v="amit.sharma@company.com"/>
    <n v="9657513435"/>
    <s v="Prime Supplies"/>
    <n v="12"/>
    <s v="Silver"/>
    <d v="1900-12-31T00:00:00"/>
    <s v="August"/>
    <x v="0"/>
  </r>
  <r>
    <s v="ORD10434"/>
    <s v="C008"/>
    <s v="P201"/>
    <d v="2025-02-01T00:00:00"/>
    <s v="06/02/2025"/>
    <s v="Kavya Nair"/>
    <s v="Female"/>
    <s v="01/08/1976"/>
    <s v="Hyderabad"/>
    <s v="South"/>
    <s v="WB"/>
    <s v="Home Appliances"/>
    <s v="Mixer"/>
    <n v="16"/>
    <n v="2625"/>
    <n v="0.05"/>
    <n v="39900"/>
    <n v="1"/>
    <s v="Card"/>
    <s v="Aisha"/>
    <s v="kavya.nair@company.com"/>
    <n v="9999406260"/>
    <s v="Global Trade"/>
    <n v="6"/>
    <s v="Silver"/>
    <d v="2025-08-06T00:00:00"/>
    <s v="August"/>
    <x v="1"/>
  </r>
  <r>
    <s v="ORD10435"/>
    <s v="C001"/>
    <s v="P203"/>
    <d v="2025-02-22T00:00:00"/>
    <s v="04/03/2025"/>
    <s v="Amit Sharma"/>
    <s v="Male"/>
    <s v="09/08/1991"/>
    <s v="Pune"/>
    <s v="West"/>
    <s v="RJ"/>
    <s v="Home Appliances"/>
    <s v="Microwave"/>
    <n v="12"/>
    <n v="6375"/>
    <n v="0.1"/>
    <n v="68850"/>
    <n v="3"/>
    <s v="Card"/>
    <s v="Ritika"/>
    <s v="amit.sharma@company.com"/>
    <n v="9233727886"/>
    <s v="TechHub"/>
    <n v="24"/>
    <s v="Silver"/>
    <d v="2027-03-04T00:00:00"/>
    <s v="August"/>
    <x v="2"/>
  </r>
  <r>
    <s v="ORD10436"/>
    <s v="C008"/>
    <s v="P301"/>
    <d v="2025-04-18T00:00:00"/>
    <s v="20/04/2025"/>
    <s v="Kavya Nair"/>
    <s v="Female"/>
    <s v="01/08/1976"/>
    <s v="Hyderabad"/>
    <s v="South"/>
    <s v="WB"/>
    <s v="Stationery"/>
    <s v="Notebook"/>
    <n v="1"/>
    <n v="45"/>
    <n v="0.2"/>
    <n v="36"/>
    <n v="2"/>
    <s v="Card"/>
    <s v="Karan"/>
    <s v="kavya.nair@company.com"/>
    <n v="9831688801"/>
    <s v="ABC Corp"/>
    <n v="12"/>
    <s v="Silver"/>
    <d v="2026-04-20T00:00:00"/>
    <s v="August"/>
    <x v="1"/>
  </r>
  <r>
    <s v="ORD10437"/>
    <s v="C003"/>
    <s v="P301"/>
    <d v="2025-11-06T00:00:00"/>
    <s v="11/11/2025"/>
    <s v="Rohit Singh"/>
    <s v="Male"/>
    <s v="10/05/1982"/>
    <s v="Delhi"/>
    <s v="North"/>
    <s v="DL"/>
    <s v="Stationery"/>
    <s v="Notebook"/>
    <n v="3"/>
    <n v="45"/>
    <n v="0.15"/>
    <n v="114.75"/>
    <n v="4"/>
    <s v="Card"/>
    <s v="Ritika"/>
    <s v="rohit.singh@company.com"/>
    <n v="9982849508"/>
    <s v="ABC Corp"/>
    <n v="12"/>
    <s v="Gold"/>
    <d v="2026-11-11T00:00:00"/>
    <s v="May"/>
    <x v="0"/>
  </r>
  <r>
    <s v="ORD10438"/>
    <s v="C002"/>
    <s v="P102"/>
    <d v="2025-03-20T00:00:00"/>
    <s v="25/03/2025"/>
    <s v="Priya Patel"/>
    <s v="Female"/>
    <s v="07/03/1995"/>
    <s v="Mumbai"/>
    <s v="West"/>
    <s v="WB"/>
    <s v="Electronics"/>
    <s v="Mouse"/>
    <n v="10"/>
    <n v="525"/>
    <n v="0.15"/>
    <n v="4462.5"/>
    <n v="3"/>
    <s v="Netbanking"/>
    <s v="Ritika"/>
    <s v="priya.patel@company.com"/>
    <n v="9288309246"/>
    <s v="TechHub"/>
    <n v="24"/>
    <s v="Platinum"/>
    <d v="2027-03-25T00:00:00"/>
    <s v="March"/>
    <x v="0"/>
  </r>
  <r>
    <s v="ORD10439"/>
    <s v="C007"/>
    <s v="P302"/>
    <d v="2025-10-22T00:00:00"/>
    <s v="25/10/2025"/>
    <s v="Arjun Rao"/>
    <s v="Male"/>
    <s v="07/02/1988"/>
    <s v="Hyderabad"/>
    <s v="South"/>
    <s v="RJ"/>
    <s v="Stationery"/>
    <s v="Pen"/>
    <n v="2"/>
    <n v="15"/>
    <n v="0.1"/>
    <n v="27"/>
    <n v="2"/>
    <s v="Upi"/>
    <s v="Aisha"/>
    <s v="arjun.rao@company.com"/>
    <n v="9808476235"/>
    <s v="Prime Supplies"/>
    <n v="12"/>
    <s v="Silver"/>
    <d v="2026-10-25T00:00:00"/>
    <s v="February"/>
    <x v="1"/>
  </r>
  <r>
    <s v="ORD10440"/>
    <s v="C007"/>
    <s v="P302"/>
    <d v="2025-12-31T00:00:00"/>
    <s v="05/01/2026"/>
    <s v="Arjun Rao"/>
    <s v="Male"/>
    <s v="07/02/1988"/>
    <s v="Hyderabad"/>
    <s v="South"/>
    <s v="RJ"/>
    <s v="Stationery"/>
    <s v="Pen"/>
    <n v="14"/>
    <n v="15"/>
    <n v="0.2"/>
    <n v="168"/>
    <n v="5"/>
    <s v="Cash"/>
    <s v="Karan"/>
    <s v="arjun.rao@company.com"/>
    <n v="9869056117"/>
    <s v="Prime Supplies"/>
    <n v="12"/>
    <s v="Silver"/>
    <d v="2027-01-05T00:00:00"/>
    <s v="February"/>
    <x v="0"/>
  </r>
  <r>
    <s v="ORD10441"/>
    <s v="C001"/>
    <s v="P201"/>
    <d v="2025-06-21T00:00:00"/>
    <s v="25/06/2025"/>
    <s v="Amit Sharma"/>
    <s v="Male"/>
    <s v="09/08/1991"/>
    <s v="Pune"/>
    <s v="West"/>
    <s v="RJ"/>
    <s v="Home Appliances"/>
    <s v="Mixer"/>
    <n v="4"/>
    <n v="2625"/>
    <n v="0"/>
    <n v="10500"/>
    <n v="2"/>
    <s v="Upi"/>
    <s v="Ritika"/>
    <s v="amit.sharma@company.com"/>
    <n v="9734229772"/>
    <s v="Global Trade"/>
    <n v="6"/>
    <s v="Silver"/>
    <d v="2025-12-25T00:00:00"/>
    <s v="August"/>
    <x v="1"/>
  </r>
  <r>
    <s v="ORD10442"/>
    <s v="C007"/>
    <s v="P201"/>
    <d v="2025-06-04T00:00:00"/>
    <s v="05/06/2025"/>
    <s v="Arjun Rao"/>
    <s v="Male"/>
    <s v="07/02/1988"/>
    <s v="Hyderabad"/>
    <s v="South"/>
    <s v="RJ"/>
    <s v="Home Appliances"/>
    <s v="Mixer"/>
    <n v="9"/>
    <n v="2625"/>
    <n v="0.05"/>
    <n v="22443.75"/>
    <n v="3"/>
    <s v="Card"/>
    <s v="Aisha"/>
    <s v="arjun.rao@company.com"/>
    <n v="9791617906"/>
    <s v="Global Trade"/>
    <n v="6"/>
    <s v="Silver"/>
    <d v="2025-12-05T00:00:00"/>
    <s v="February"/>
    <x v="0"/>
  </r>
  <r>
    <s v="ORD10443"/>
    <s v="C003"/>
    <s v="P301"/>
    <d v="2025-05-30T00:00:00"/>
    <s v="03/06/2025"/>
    <s v="Rohit Singh"/>
    <s v="Male"/>
    <s v="10/05/1982"/>
    <s v="Delhi"/>
    <s v="North"/>
    <s v="DL"/>
    <s v="Stationery"/>
    <s v="Notebook"/>
    <n v="9"/>
    <n v="45"/>
    <n v="0"/>
    <n v="405"/>
    <n v="3"/>
    <s v="Upi"/>
    <s v="Ritika"/>
    <s v="rohit.singh@company.com"/>
    <n v="9286316823"/>
    <s v="ABC Corp"/>
    <n v="12"/>
    <s v="Gold"/>
    <d v="2026-06-03T00:00:00"/>
    <s v="May"/>
    <x v="0"/>
  </r>
  <r>
    <s v="ORD10444"/>
    <s v="C004"/>
    <s v="P103"/>
    <d v="2025-05-02T00:00:00"/>
    <s v="03/05/2025"/>
    <s v="Anita Gupta"/>
    <s v="Female"/>
    <s v="16/01/2002"/>
    <s v="Pune"/>
    <s v="West"/>
    <s v="WB"/>
    <s v="Electronics"/>
    <s v="Keyboard"/>
    <n v="4"/>
    <n v="900"/>
    <n v="0"/>
    <n v="3600"/>
    <n v="1"/>
    <s v="Netbanking"/>
    <s v="Aisha"/>
    <s v="anita.gupta@company.com"/>
    <n v="9810569252"/>
    <s v="TechHub"/>
    <n v="6"/>
    <s v="Gold"/>
    <d v="2025-11-03T00:00:00"/>
    <s v="January"/>
    <x v="1"/>
  </r>
  <r>
    <s v="ORD10445"/>
    <s v="C010"/>
    <s v="P101"/>
    <d v="2025-02-03T00:00:00"/>
    <s v="13/02/2025"/>
    <s v="Pooja Shah"/>
    <s v="Female"/>
    <s v="16/09/1994"/>
    <s v="Bengaluru"/>
    <s v="South"/>
    <s v="WB"/>
    <s v="Electronics"/>
    <s v="Laptop"/>
    <n v="10"/>
    <n v="41250"/>
    <n v="0.05"/>
    <n v="391875"/>
    <n v="5"/>
    <s v="Upi"/>
    <s v="Neha"/>
    <s v="pooja.shah@company.com"/>
    <n v="9771745925"/>
    <s v="TechHub"/>
    <n v="12"/>
    <s v="Silver"/>
    <d v="2026-02-13T00:00:00"/>
    <s v="September"/>
    <x v="3"/>
  </r>
  <r>
    <s v="ORD10446"/>
    <s v="C005"/>
    <s v="P303"/>
    <d v="2025-06-29T00:00:00"/>
    <s v="06/07/2025"/>
    <s v="Vikas Mehta"/>
    <s v="Male"/>
    <s v="03/08/1991"/>
    <s v="Mumbai"/>
    <s v="West"/>
    <s v="DL"/>
    <s v="Stationery"/>
    <s v="Marker"/>
    <n v="20"/>
    <n v="33.75"/>
    <n v="0.15"/>
    <n v="573.75"/>
    <n v="2"/>
    <s v="Card"/>
    <s v="Ritika"/>
    <s v="vikas.mehta@company.com"/>
    <n v="9820683063"/>
    <s v="TechHub"/>
    <n v="12"/>
    <s v="Gold"/>
    <d v="2026-07-06T00:00:00"/>
    <s v="August"/>
    <x v="1"/>
  </r>
  <r>
    <s v="ORD10447"/>
    <s v="C008"/>
    <s v="P302"/>
    <d v="2026-02-12T00:00:00"/>
    <s v="22/02/2026"/>
    <s v="Kavya Nair"/>
    <s v="Female"/>
    <s v="01/08/1976"/>
    <s v="Hyderabad"/>
    <s v="South"/>
    <s v="WB"/>
    <s v="Stationery"/>
    <s v="Pen"/>
    <n v="9"/>
    <n v="15"/>
    <n v="0.2"/>
    <n v="108"/>
    <n v="3"/>
    <s v="Card"/>
    <s v="Aisha"/>
    <s v="kavya.nair@company.com"/>
    <n v="9292891941"/>
    <s v="Prime Supplies"/>
    <n v="12"/>
    <s v="Silver"/>
    <d v="2027-02-22T00:00:00"/>
    <s v="August"/>
    <x v="0"/>
  </r>
  <r>
    <s v="ORD10448"/>
    <s v="C008"/>
    <s v="P101"/>
    <d v="2025-03-03T00:00:00"/>
    <s v="14/03/2025"/>
    <s v="Kavya Nair"/>
    <s v="Female"/>
    <s v="01/08/1976"/>
    <s v="Hyderabad"/>
    <s v="South"/>
    <s v="WB"/>
    <s v="Electronics"/>
    <s v="Laptop"/>
    <n v="8"/>
    <n v="41250"/>
    <n v="0"/>
    <n v="330000"/>
    <n v="4"/>
    <s v="Cash"/>
    <s v="Neha"/>
    <s v="kavya.nair@company.com"/>
    <n v="9413789556"/>
    <s v="TechHub"/>
    <n v="12"/>
    <s v="Silver"/>
    <d v="2026-03-14T00:00:00"/>
    <s v="August"/>
    <x v="3"/>
  </r>
  <r>
    <s v="ORD10449"/>
    <s v="C001"/>
    <s v="P103"/>
    <d v="2026-04-24T00:00:00"/>
    <s v="28/04/2026"/>
    <s v="Amit Sharma"/>
    <s v="Male"/>
    <s v="09/08/1991"/>
    <s v="Pune"/>
    <s v="West"/>
    <s v="RJ"/>
    <s v="Electronics"/>
    <s v="Keyboard"/>
    <n v="4"/>
    <n v="900"/>
    <n v="0.1"/>
    <n v="3240"/>
    <n v="4"/>
    <s v="Upi"/>
    <s v="Ritika"/>
    <s v="amit.sharma@company.com"/>
    <n v="9876513858"/>
    <s v="TechHub"/>
    <n v="6"/>
    <s v="Silver"/>
    <d v="2026-10-28T00:00:00"/>
    <s v="August"/>
    <x v="0"/>
  </r>
  <r>
    <s v="ORD10450"/>
    <s v="C001"/>
    <s v="P203"/>
    <d v="2026-05-03T00:00:00"/>
    <s v="13/05/2026"/>
    <s v="Amit Sharma"/>
    <s v="Male"/>
    <s v="09/08/1991"/>
    <s v="Pune"/>
    <s v="West"/>
    <s v="RJ"/>
    <s v="Home Appliances"/>
    <s v="Microwave"/>
    <n v="14"/>
    <n v="6375"/>
    <n v="0.1"/>
    <n v="80325"/>
    <n v="4"/>
    <s v="Cash"/>
    <s v="Ritika"/>
    <s v="amit.sharma@company.com"/>
    <n v="9211936331"/>
    <s v="TechHub"/>
    <n v="24"/>
    <s v="Silver"/>
    <d v="2028-05-13T00:00:00"/>
    <s v="August"/>
    <x v="2"/>
  </r>
  <r>
    <s v="ORD10451"/>
    <s v="C009"/>
    <s v="P303"/>
    <d v="2025-05-30T00:00:00"/>
    <s v="07/06/2025"/>
    <s v="Mohit Verma"/>
    <s v="Male"/>
    <s v="13/04/1976"/>
    <s v="Delhi"/>
    <s v="North"/>
    <s v="KA"/>
    <s v="Stationery"/>
    <s v="Marker"/>
    <n v="1"/>
    <n v="33.75"/>
    <n v="0"/>
    <n v="33.75"/>
    <n v="3"/>
    <s v="Upi"/>
    <s v="Karan"/>
    <s v="mohit.verma@company.com"/>
    <n v="9167291747"/>
    <s v="TechHub"/>
    <n v="12"/>
    <s v="Platinum"/>
    <d v="2026-06-07T00:00:00"/>
    <s v="April"/>
    <x v="0"/>
  </r>
  <r>
    <s v="ORD10452"/>
    <s v="C009"/>
    <s v="P101"/>
    <d v="2025-02-17T00:00:00"/>
    <s v="28/02/2025"/>
    <s v="Mohit Verma"/>
    <s v="Male"/>
    <s v="13/04/1976"/>
    <s v="Delhi"/>
    <s v="North"/>
    <s v="KA"/>
    <s v="Electronics"/>
    <s v="Laptop"/>
    <n v="16"/>
    <n v="41250"/>
    <n v="0.15"/>
    <n v="561000"/>
    <n v="1"/>
    <s v="Card"/>
    <s v="Karan"/>
    <s v="mohit.verma@company.com"/>
    <n v="9637283597"/>
    <s v="TechHub"/>
    <n v="12"/>
    <s v="Platinum"/>
    <d v="2026-02-28T00:00:00"/>
    <s v="April"/>
    <x v="1"/>
  </r>
  <r>
    <s v="ORD10453"/>
    <s v="C010"/>
    <s v="P102"/>
    <d v="2026-03-22T00:00:00"/>
    <s v="29/03/2026"/>
    <s v="Pooja Shah"/>
    <s v="Female"/>
    <s v="16/09/1994"/>
    <s v="Bengaluru"/>
    <s v="South"/>
    <s v="WB"/>
    <s v="Electronics"/>
    <s v="Mouse"/>
    <n v="8"/>
    <n v="525"/>
    <n v="0"/>
    <n v="4200"/>
    <n v="3"/>
    <s v="Cash"/>
    <s v="Rahul"/>
    <s v="pooja.shah@company.com"/>
    <n v="9514269002"/>
    <s v="TechHub"/>
    <n v="24"/>
    <s v="Silver"/>
    <d v="2028-03-29T00:00:00"/>
    <s v="September"/>
    <x v="0"/>
  </r>
  <r>
    <s v="ORD10454"/>
    <s v="C006"/>
    <s v="P103"/>
    <d v="2026-04-02T00:00:00"/>
    <s v="13/04/2026"/>
    <s v="Sneha Joshi"/>
    <s v="Female"/>
    <s v="04/04/1981"/>
    <s v="Pune"/>
    <s v="West"/>
    <s v="WB"/>
    <s v="Electronics"/>
    <s v="Keyboard"/>
    <n v="3"/>
    <n v="900"/>
    <n v="0"/>
    <n v="2700"/>
    <n v="1"/>
    <s v="Card"/>
    <s v="Rahul"/>
    <s v="sneha.joshi@company.com"/>
    <n v="9778908233"/>
    <s v="TechHub"/>
    <n v="6"/>
    <s v="Gold"/>
    <d v="2026-10-13T00:00:00"/>
    <s v="April"/>
    <x v="1"/>
  </r>
  <r>
    <s v="ORD10455"/>
    <s v="C009"/>
    <s v="P201"/>
    <d v="2025-02-18T00:00:00"/>
    <s v="26/02/2025"/>
    <s v="Mohit Verma"/>
    <s v="Male"/>
    <s v="13/04/1976"/>
    <s v="Delhi"/>
    <s v="North"/>
    <s v="KA"/>
    <s v="Home Appliances"/>
    <s v="Mixer"/>
    <n v="7"/>
    <n v="2625"/>
    <n v="0.15"/>
    <n v="15618.75"/>
    <n v="4"/>
    <s v="Card"/>
    <s v="Aisha"/>
    <s v="mohit.verma@company.com"/>
    <n v="9981118755"/>
    <s v="Global Trade"/>
    <n v="6"/>
    <s v="Platinum"/>
    <d v="2025-08-26T00:00:00"/>
    <s v="April"/>
    <x v="0"/>
  </r>
  <r>
    <s v="ORD10456"/>
    <s v="C010"/>
    <s v="P101"/>
    <d v="2026-03-29T00:00:00"/>
    <s v="04/04/2026"/>
    <s v="Pooja Shah"/>
    <s v="Female"/>
    <s v="16/09/1994"/>
    <s v="Bengaluru"/>
    <s v="South"/>
    <s v="WB"/>
    <s v="Electronics"/>
    <s v="Laptop"/>
    <n v="9"/>
    <n v="41250"/>
    <n v="0.15"/>
    <n v="315562.5"/>
    <n v="3"/>
    <s v="Upi"/>
    <s v="Ritika"/>
    <s v="pooja.shah@company.com"/>
    <n v="9887896743"/>
    <s v="TechHub"/>
    <n v="12"/>
    <s v="Silver"/>
    <d v="2027-04-04T00:00:00"/>
    <s v="September"/>
    <x v="2"/>
  </r>
  <r>
    <s v="ORD10457"/>
    <s v="C001"/>
    <s v="P104"/>
    <d v="2025-12-01T00:00:00"/>
    <s v="02/12/2025"/>
    <s v="Amit Sharma"/>
    <s v="Male"/>
    <s v="09/08/1991"/>
    <s v="Pune"/>
    <s v="West"/>
    <s v="RJ"/>
    <s v="Electronics"/>
    <s v="Monitor"/>
    <n v="12"/>
    <n v="9000"/>
    <n v="0"/>
    <n v="108000"/>
    <n v="3"/>
    <s v="Card"/>
    <s v="Karan"/>
    <s v="amit.sharma@company.com"/>
    <n v="9585330043"/>
    <s v="Global Trade"/>
    <n v="24"/>
    <s v="Silver"/>
    <d v="2027-12-02T00:00:00"/>
    <s v="August"/>
    <x v="2"/>
  </r>
  <r>
    <s v="ORD10458"/>
    <s v="C002"/>
    <s v="P301"/>
    <d v="2025-05-04T00:00:00"/>
    <s v="11/05/2025"/>
    <s v="Priya Patel"/>
    <s v="Female"/>
    <s v="07/03/1995"/>
    <s v="Mumbai"/>
    <s v="West"/>
    <s v="WB"/>
    <s v="Stationery"/>
    <s v="Notebook"/>
    <n v="7"/>
    <n v="45"/>
    <n v="0.1"/>
    <n v="283.5"/>
    <n v="4"/>
    <s v="Cash"/>
    <s v="Rahul"/>
    <s v="priya.patel@company.com"/>
    <n v="9423719975"/>
    <s v="ABC Corp"/>
    <n v="12"/>
    <s v="Platinum"/>
    <d v="2026-05-11T00:00:00"/>
    <s v="March"/>
    <x v="0"/>
  </r>
  <r>
    <s v="ORD10459"/>
    <s v="C005"/>
    <s v="P202"/>
    <d v="2025-08-23T00:00:00"/>
    <s v="31/08/2025"/>
    <s v="Vikas Mehta"/>
    <s v="Male"/>
    <s v="03/08/1991"/>
    <s v="Mumbai"/>
    <s v="West"/>
    <s v="DL"/>
    <s v="Home Appliances"/>
    <s v="Iron"/>
    <n v="17"/>
    <n v="1650"/>
    <n v="0.15"/>
    <n v="23842.5"/>
    <n v="3"/>
    <s v="Upi"/>
    <s v="Karan"/>
    <s v="vikas.mehta@company.com"/>
    <n v="9270746961"/>
    <s v="Global Trade"/>
    <n v="24"/>
    <s v="Gold"/>
    <d v="2027-08-31T00:00:00"/>
    <s v="August"/>
    <x v="0"/>
  </r>
  <r>
    <s v="ORD10460"/>
    <s v="C001"/>
    <s v="P102"/>
    <d v="2025-11-27T00:00:00"/>
    <s v="06/12/2025"/>
    <s v="Amit Sharma"/>
    <s v="Male"/>
    <s v="09/08/1991"/>
    <s v="Pune"/>
    <s v="West"/>
    <s v="RJ"/>
    <s v="Electronics"/>
    <s v="Mouse"/>
    <n v="17"/>
    <n v="525"/>
    <n v="0.1"/>
    <n v="8032.5"/>
    <n v="2"/>
    <s v="Cash"/>
    <s v="Aisha"/>
    <s v="amit.sharma@company.com"/>
    <n v="9333162025"/>
    <s v="TechHub"/>
    <n v="24"/>
    <s v="Silver"/>
    <d v="2027-12-06T00:00:00"/>
    <s v="August"/>
    <x v="1"/>
  </r>
  <r>
    <s v="ORD10461"/>
    <s v="C001"/>
    <s v="P101"/>
    <d v="2025-05-29T00:00:00"/>
    <s v="01/06/2025"/>
    <s v="Amit Sharma"/>
    <s v="Male"/>
    <s v="09/08/1991"/>
    <s v="Pune"/>
    <s v="West"/>
    <s v="RJ"/>
    <s v="Electronics"/>
    <s v="Laptop"/>
    <n v="19"/>
    <n v="41250"/>
    <n v="0.2"/>
    <n v="627000"/>
    <n v="5"/>
    <s v="Netbanking"/>
    <s v="Aisha"/>
    <s v="amit.sharma@company.com"/>
    <n v="9247023285"/>
    <s v="TechHub"/>
    <n v="12"/>
    <s v="Silver"/>
    <d v="2026-06-01T00:00:00"/>
    <s v="August"/>
    <x v="2"/>
  </r>
  <r>
    <s v="ORD10462"/>
    <s v="C003"/>
    <s v="P301"/>
    <d v="2025-09-12T00:00:00"/>
    <s v="19/09/2025"/>
    <s v="Rohit Singh"/>
    <s v="Male"/>
    <s v="10/05/1982"/>
    <s v="Delhi"/>
    <s v="North"/>
    <s v="DL"/>
    <s v="Stationery"/>
    <s v="Notebook"/>
    <n v="1"/>
    <n v="45"/>
    <n v="0.1"/>
    <n v="40.5"/>
    <n v="4"/>
    <s v="Netbanking"/>
    <s v="NA"/>
    <s v="rohit.singh@company.com"/>
    <n v="9448658297"/>
    <s v="ABC Corp"/>
    <n v="12"/>
    <s v="Gold"/>
    <d v="2026-09-19T00:00:00"/>
    <s v="May"/>
    <x v="0"/>
  </r>
  <r>
    <s v="ORD10463"/>
    <s v="C009"/>
    <s v="P201"/>
    <d v="2026-03-04T00:00:00"/>
    <s v="11/03/2026"/>
    <s v="Mohit Verma"/>
    <s v="Male"/>
    <s v="13/04/1976"/>
    <s v="Delhi"/>
    <s v="North"/>
    <s v="KA"/>
    <s v="Home Appliances"/>
    <s v="Mixer"/>
    <n v="16"/>
    <n v="2625"/>
    <n v="0"/>
    <n v="42000"/>
    <n v="4"/>
    <s v="Netbanking"/>
    <s v="Ritika"/>
    <s v="mohit.verma@company.com"/>
    <n v="9906748486"/>
    <s v="Global Trade"/>
    <n v="6"/>
    <s v="Platinum"/>
    <d v="2026-09-11T00:00:00"/>
    <s v="April"/>
    <x v="0"/>
  </r>
  <r>
    <s v="ORD10464"/>
    <s v="C003"/>
    <s v="P302"/>
    <d v="2025-01-24T00:00:00"/>
    <s v="05/02/2025"/>
    <s v="Rohit Singh"/>
    <s v="Male"/>
    <s v="10/05/1982"/>
    <s v="Delhi"/>
    <s v="North"/>
    <s v="DL"/>
    <s v="Stationery"/>
    <s v="Pen"/>
    <n v="14"/>
    <n v="15"/>
    <n v="0.1"/>
    <n v="189"/>
    <n v="1"/>
    <s v="Netbanking"/>
    <s v="Aisha"/>
    <s v="rohit.singh@company.com"/>
    <n v="9365182725"/>
    <s v="Prime Supplies"/>
    <n v="12"/>
    <s v="Gold"/>
    <d v="2026-02-05T00:00:00"/>
    <s v="May"/>
    <x v="1"/>
  </r>
  <r>
    <s v="ORD10465"/>
    <s v="C009"/>
    <s v="P202"/>
    <d v="2025-12-13T00:00:00"/>
    <s v="14/12/2025"/>
    <s v="Mohit Verma"/>
    <s v="Male"/>
    <s v="13/04/1976"/>
    <s v="Delhi"/>
    <s v="North"/>
    <s v="KA"/>
    <s v="Home Appliances"/>
    <s v="Iron"/>
    <n v="11"/>
    <n v="1650"/>
    <n v="0.15"/>
    <n v="15427.5"/>
    <n v="4"/>
    <s v="Netbanking"/>
    <s v="Rahul"/>
    <s v="mohit.verma@company.com"/>
    <n v="9937119494"/>
    <s v="Global Trade"/>
    <n v="24"/>
    <s v="Platinum"/>
    <d v="2027-12-14T00:00:00"/>
    <s v="April"/>
    <x v="0"/>
  </r>
  <r>
    <s v="ORD10466"/>
    <s v="C007"/>
    <s v="P101"/>
    <d v="2025-08-01T00:00:00"/>
    <s v="09/08/2025"/>
    <s v="Arjun Rao"/>
    <s v="Male"/>
    <s v="07/02/1988"/>
    <s v="Hyderabad"/>
    <s v="South"/>
    <s v="RJ"/>
    <s v="Electronics"/>
    <s v="Laptop"/>
    <n v="2"/>
    <n v="41250"/>
    <n v="0"/>
    <n v="82500"/>
    <n v="4"/>
    <s v="Netbanking"/>
    <s v="Rahul"/>
    <s v="arjun.rao@company.com"/>
    <n v="9828015293"/>
    <s v="TechHub"/>
    <n v="12"/>
    <s v="Silver"/>
    <d v="2026-08-09T00:00:00"/>
    <s v="February"/>
    <x v="2"/>
  </r>
  <r>
    <s v="ORD10467"/>
    <s v="C010"/>
    <s v="P202"/>
    <d v="2025-01-01T00:00:00"/>
    <s v="07/01/2025"/>
    <s v="Pooja Shah"/>
    <s v="Female"/>
    <s v="16/09/1994"/>
    <s v="Bengaluru"/>
    <s v="South"/>
    <s v="WB"/>
    <s v="Home Appliances"/>
    <s v="Iron"/>
    <n v="7"/>
    <n v="1650"/>
    <n v="0.05"/>
    <n v="10972.5"/>
    <n v="4"/>
    <s v="Card"/>
    <s v="Neha"/>
    <s v="pooja.shah@company.com"/>
    <n v="9864206250"/>
    <s v="Global Trade"/>
    <n v="24"/>
    <s v="Silver"/>
    <d v="2027-01-07T00:00:00"/>
    <s v="September"/>
    <x v="0"/>
  </r>
  <r>
    <s v="ORD10468"/>
    <s v="C008"/>
    <s v="P303"/>
    <d v="2025-04-08T00:00:00"/>
    <s v="12/04/2025"/>
    <s v="Kavya Nair"/>
    <s v="Female"/>
    <s v="01/08/1976"/>
    <s v="Hyderabad"/>
    <s v="South"/>
    <s v="WB"/>
    <s v="Stationery"/>
    <s v="Marker"/>
    <n v="11"/>
    <n v="33.75"/>
    <n v="0.15"/>
    <n v="315.5625"/>
    <n v="4"/>
    <s v="Card"/>
    <s v="Aisha"/>
    <s v="kavya.nair@company.com"/>
    <n v="9519293104"/>
    <s v="TechHub"/>
    <n v="12"/>
    <s v="Silver"/>
    <d v="2026-04-12T00:00:00"/>
    <s v="August"/>
    <x v="0"/>
  </r>
  <r>
    <s v="ORD10469"/>
    <s v="C002"/>
    <s v="P301"/>
    <d v="2025-04-20T00:00:00"/>
    <s v="30/04/2025"/>
    <s v="Priya Patel"/>
    <s v="Female"/>
    <s v="07/03/1995"/>
    <s v="Mumbai"/>
    <s v="West"/>
    <s v="WB"/>
    <s v="Stationery"/>
    <s v="Notebook"/>
    <n v="16"/>
    <n v="45"/>
    <n v="0.05"/>
    <n v="684"/>
    <n v="2"/>
    <s v="Cash"/>
    <s v="Neha"/>
    <s v="priya.patel@company.com"/>
    <n v="9296075245"/>
    <s v="ABC Corp"/>
    <n v="12"/>
    <s v="Platinum"/>
    <d v="2026-04-30T00:00:00"/>
    <s v="March"/>
    <x v="1"/>
  </r>
  <r>
    <s v="ORD10470"/>
    <s v="C001"/>
    <s v="P101"/>
    <d v="2025-11-02T00:00:00"/>
    <s v="04/11/2025"/>
    <s v="Amit Sharma"/>
    <s v="Male"/>
    <s v="09/08/1991"/>
    <s v="Pune"/>
    <s v="West"/>
    <s v="RJ"/>
    <s v="Electronics"/>
    <s v="Laptop"/>
    <n v="18"/>
    <n v="41250"/>
    <n v="0"/>
    <n v="742500"/>
    <n v="5"/>
    <s v="Netbanking"/>
    <s v="Rahul"/>
    <s v="amit.sharma@company.com"/>
    <n v="9316770206"/>
    <s v="TechHub"/>
    <n v="12"/>
    <s v="Silver"/>
    <d v="2026-11-04T00:00:00"/>
    <s v="August"/>
    <x v="3"/>
  </r>
  <r>
    <s v="ORD10471"/>
    <s v="C008"/>
    <s v="P103"/>
    <d v="2025-10-18T00:00:00"/>
    <s v="22/10/2025"/>
    <s v="Kavya Nair"/>
    <s v="Female"/>
    <s v="01/08/1976"/>
    <s v="Hyderabad"/>
    <s v="South"/>
    <s v="WB"/>
    <s v="Electronics"/>
    <s v="Keyboard"/>
    <n v="17"/>
    <n v="900"/>
    <n v="0.05"/>
    <n v="14535"/>
    <n v="1"/>
    <s v="Netbanking"/>
    <s v="Ritika"/>
    <s v="kavya.nair@company.com"/>
    <n v="9706553861"/>
    <s v="TechHub"/>
    <n v="6"/>
    <s v="Silver"/>
    <d v="2026-04-22T00:00:00"/>
    <s v="August"/>
    <x v="1"/>
  </r>
  <r>
    <s v="ORD10472"/>
    <s v="C010"/>
    <s v="P101"/>
    <d v="2025-04-27T00:00:00"/>
    <s v="05/05/2025"/>
    <s v="Pooja Shah"/>
    <s v="Female"/>
    <s v="16/09/1994"/>
    <s v="Bengaluru"/>
    <s v="South"/>
    <s v="WB"/>
    <s v="Electronics"/>
    <s v="Laptop"/>
    <n v="11"/>
    <n v="41250"/>
    <n v="0"/>
    <n v="453750"/>
    <n v="2"/>
    <s v="Cash"/>
    <s v="Aisha"/>
    <s v="pooja.shah@company.com"/>
    <n v="9524904662"/>
    <s v="TechHub"/>
    <n v="12"/>
    <s v="Silver"/>
    <d v="2026-05-05T00:00:00"/>
    <s v="September"/>
    <x v="1"/>
  </r>
  <r>
    <s v="ORD10473"/>
    <s v="C006"/>
    <s v="P102"/>
    <d v="2025-05-22T00:00:00"/>
    <s v="31/05/2025"/>
    <s v="Sneha Joshi"/>
    <s v="Female"/>
    <s v="04/04/1981"/>
    <s v="Pune"/>
    <s v="West"/>
    <s v="WB"/>
    <s v="Electronics"/>
    <s v="Mouse"/>
    <n v="20"/>
    <n v="525"/>
    <n v="0.2"/>
    <n v="8400"/>
    <n v="5"/>
    <s v="Netbanking"/>
    <s v="Aisha"/>
    <s v="sneha.joshi@company.com"/>
    <n v="9577624596"/>
    <s v="TechHub"/>
    <n v="24"/>
    <s v="Gold"/>
    <d v="2027-05-31T00:00:00"/>
    <s v="April"/>
    <x v="0"/>
  </r>
  <r>
    <s v="ORD10474"/>
    <s v="C009"/>
    <s v="P302"/>
    <d v="2026-01-28T00:00:00"/>
    <s v="08/02/2026"/>
    <s v="Mohit Verma"/>
    <s v="Male"/>
    <s v="13/04/1976"/>
    <s v="Delhi"/>
    <s v="North"/>
    <s v="KA"/>
    <s v="Stationery"/>
    <s v="Pen"/>
    <n v="5"/>
    <n v="15"/>
    <n v="0.05"/>
    <n v="71.25"/>
    <n v="4"/>
    <s v="Cash"/>
    <s v="Rahul"/>
    <s v="mohit.verma@company.com"/>
    <n v="9898452436"/>
    <s v="Prime Supplies"/>
    <n v="12"/>
    <s v="Platinum"/>
    <d v="2027-02-08T00:00:00"/>
    <s v="April"/>
    <x v="0"/>
  </r>
  <r>
    <s v="ORD10475"/>
    <s v="C001"/>
    <s v="P101"/>
    <d v="2025-02-04T00:00:00"/>
    <s v="11/02/2025"/>
    <s v="Amit Sharma"/>
    <s v="Male"/>
    <s v="09/08/1991"/>
    <s v="Pune"/>
    <s v="West"/>
    <s v="RJ"/>
    <s v="Electronics"/>
    <s v="Laptop"/>
    <n v="13"/>
    <n v="41250"/>
    <n v="0.05"/>
    <n v="509437.5"/>
    <n v="1"/>
    <s v="Netbanking"/>
    <s v="Rahul"/>
    <s v="amit.sharma@company.com"/>
    <n v="9960757012"/>
    <s v="TechHub"/>
    <n v="12"/>
    <s v="Silver"/>
    <d v="2026-02-11T00:00:00"/>
    <s v="August"/>
    <x v="1"/>
  </r>
  <r>
    <s v="ORD10476"/>
    <s v="C003"/>
    <s v="P101"/>
    <d v="2025-04-19T00:00:00"/>
    <s v="20/04/2025"/>
    <s v="Rohit Singh"/>
    <s v="Male"/>
    <s v="10/05/1982"/>
    <s v="Delhi"/>
    <s v="North"/>
    <s v="DL"/>
    <s v="Electronics"/>
    <s v="Laptop"/>
    <n v="12"/>
    <n v="41250"/>
    <n v="0.05"/>
    <n v="470250"/>
    <n v="1"/>
    <s v="Netbanking"/>
    <s v="Neha"/>
    <s v="rohit.singh@company.com"/>
    <n v="9331268182"/>
    <s v="TechHub"/>
    <n v="12"/>
    <s v="Gold"/>
    <d v="2026-04-20T00:00:00"/>
    <s v="May"/>
    <x v="1"/>
  </r>
  <r>
    <s v="ORD10477"/>
    <s v="C010"/>
    <s v="P303"/>
    <d v="2025-01-21T00:00:00"/>
    <s v="28/01/2025"/>
    <s v="Pooja Shah"/>
    <s v="Female"/>
    <s v="16/09/1994"/>
    <s v="Bengaluru"/>
    <s v="South"/>
    <s v="WB"/>
    <s v="Stationery"/>
    <s v="Marker"/>
    <n v="16"/>
    <n v="33.75"/>
    <n v="0.2"/>
    <n v="432"/>
    <n v="2"/>
    <s v="Cash"/>
    <s v="Rahul"/>
    <s v="pooja.shah@company.com"/>
    <n v="9135996862"/>
    <s v="TechHub"/>
    <n v="12"/>
    <s v="Silver"/>
    <d v="2026-01-28T00:00:00"/>
    <s v="September"/>
    <x v="1"/>
  </r>
  <r>
    <s v="ORD10478"/>
    <s v="C008"/>
    <s v="P103"/>
    <d v="2025-09-18T00:00:00"/>
    <s v="27/09/2025"/>
    <s v="Kavya Nair"/>
    <s v="Female"/>
    <s v="01/08/1976"/>
    <s v="Hyderabad"/>
    <s v="South"/>
    <s v="WB"/>
    <s v="Electronics"/>
    <s v="Keyboard"/>
    <n v="5"/>
    <n v="900"/>
    <n v="0.1"/>
    <n v="4050"/>
    <n v="1"/>
    <s v="Cash"/>
    <s v="NA"/>
    <s v="kavya.nair@company.com"/>
    <n v="9540813143"/>
    <s v="TechHub"/>
    <n v="6"/>
    <s v="Silver"/>
    <d v="2026-03-27T00:00:00"/>
    <s v="August"/>
    <x v="1"/>
  </r>
  <r>
    <s v="ORD10479"/>
    <s v="C004"/>
    <s v="P303"/>
    <d v="2025-10-19T00:00:00"/>
    <s v="20/10/2025"/>
    <s v="Anita Gupta"/>
    <s v="Female"/>
    <s v="16/01/2002"/>
    <s v="Pune"/>
    <s v="West"/>
    <s v="WB"/>
    <s v="Stationery"/>
    <s v="Marker"/>
    <n v="2"/>
    <n v="33.75"/>
    <n v="0.1"/>
    <n v="60.75"/>
    <n v="4"/>
    <s v="Upi"/>
    <s v="Rahul"/>
    <s v="anita.gupta@company.com"/>
    <n v="9910913552"/>
    <s v="TechHub"/>
    <n v="12"/>
    <s v="Gold"/>
    <d v="2026-10-20T00:00:00"/>
    <s v="January"/>
    <x v="0"/>
  </r>
  <r>
    <s v="ORD10480"/>
    <s v="C003"/>
    <s v="P104"/>
    <d v="2026-01-12T00:00:00"/>
    <s v="18/01/2026"/>
    <s v="Rohit Singh"/>
    <s v="Male"/>
    <s v="10/05/1982"/>
    <s v="Delhi"/>
    <s v="North"/>
    <s v="DL"/>
    <s v="Electronics"/>
    <s v="Monitor"/>
    <n v="3"/>
    <n v="9000"/>
    <n v="0"/>
    <n v="27000"/>
    <n v="2"/>
    <s v="Upi"/>
    <s v="Karan"/>
    <s v="rohit.singh@company.com"/>
    <n v="9282751683"/>
    <s v="Global Trade"/>
    <n v="24"/>
    <s v="Gold"/>
    <d v="2028-01-18T00:00:00"/>
    <s v="May"/>
    <x v="1"/>
  </r>
  <r>
    <s v="ORD10481"/>
    <s v="C008"/>
    <s v="P104"/>
    <d v="2025-01-26T00:00:00"/>
    <s v="01/02/2025"/>
    <s v="Kavya Nair"/>
    <s v="Female"/>
    <s v="01/08/1976"/>
    <s v="Hyderabad"/>
    <s v="South"/>
    <s v="WB"/>
    <s v="Electronics"/>
    <s v="Monitor"/>
    <n v="3"/>
    <n v="9000"/>
    <n v="0.2"/>
    <n v="21600"/>
    <n v="3"/>
    <s v="Upi"/>
    <s v="Neha"/>
    <s v="kavya.nair@company.com"/>
    <n v="9939332058"/>
    <s v="Global Trade"/>
    <n v="24"/>
    <s v="Silver"/>
    <d v="2027-02-01T00:00:00"/>
    <s v="August"/>
    <x v="0"/>
  </r>
  <r>
    <s v="ORD10482"/>
    <s v="C003"/>
    <s v="P203"/>
    <d v="2026-04-07T00:00:00"/>
    <s v="08/04/2026"/>
    <s v="Rohit Singh"/>
    <s v="Male"/>
    <s v="10/05/1982"/>
    <s v="Delhi"/>
    <s v="North"/>
    <s v="DL"/>
    <s v="Home Appliances"/>
    <s v="Microwave"/>
    <n v="9"/>
    <n v="6375"/>
    <n v="0.15"/>
    <n v="48768.75"/>
    <n v="5"/>
    <s v="Cash"/>
    <s v="Rahul"/>
    <s v="rohit.singh@company.com"/>
    <n v="9780626473"/>
    <s v="TechHub"/>
    <n v="24"/>
    <s v="Gold"/>
    <d v="2028-04-08T00:00:00"/>
    <s v="May"/>
    <x v="0"/>
  </r>
  <r>
    <s v="ORD10483"/>
    <s v="C009"/>
    <s v="P102"/>
    <d v="2025-06-26T00:00:00"/>
    <s v="06/07/2025"/>
    <s v="Mohit Verma"/>
    <s v="Male"/>
    <s v="13/04/1976"/>
    <s v="Delhi"/>
    <s v="North"/>
    <s v="KA"/>
    <s v="Electronics"/>
    <s v="Mouse"/>
    <n v="17"/>
    <n v="525"/>
    <n v="0"/>
    <n v="8925"/>
    <n v="2"/>
    <s v="Cash"/>
    <s v="Aisha"/>
    <s v="mohit.verma@company.com"/>
    <n v="9347298020"/>
    <s v="TechHub"/>
    <n v="24"/>
    <s v="Platinum"/>
    <d v="2027-07-06T00:00:00"/>
    <s v="April"/>
    <x v="1"/>
  </r>
  <r>
    <s v="ORD10484"/>
    <s v="C008"/>
    <s v="P102"/>
    <d v="2025-07-08T00:00:00"/>
    <s v="18/07/2025"/>
    <s v="Kavya Nair"/>
    <s v="Female"/>
    <s v="01/08/1976"/>
    <s v="Hyderabad"/>
    <s v="South"/>
    <s v="WB"/>
    <s v="Electronics"/>
    <s v="Mouse"/>
    <n v="20"/>
    <n v="525"/>
    <n v="0.05"/>
    <n v="9975"/>
    <n v="2"/>
    <s v="Upi"/>
    <s v="Ritika"/>
    <s v="kavya.nair@company.com"/>
    <n v="9345328522"/>
    <s v="TechHub"/>
    <n v="24"/>
    <s v="Silver"/>
    <d v="2027-07-18T00:00:00"/>
    <s v="August"/>
    <x v="1"/>
  </r>
  <r>
    <s v="ORD10485"/>
    <s v="C001"/>
    <s v="P103"/>
    <d v="2026-03-11T00:00:00"/>
    <s v="21/03/2026"/>
    <s v="Amit Sharma"/>
    <s v="Male"/>
    <s v="09/08/1991"/>
    <s v="Pune"/>
    <s v="West"/>
    <s v="RJ"/>
    <s v="Electronics"/>
    <s v="Keyboard"/>
    <n v="13"/>
    <n v="900"/>
    <n v="0.2"/>
    <n v="9360"/>
    <n v="5"/>
    <s v="Card"/>
    <s v="Neha"/>
    <s v="amit.sharma@company.com"/>
    <n v="9160310438"/>
    <s v="TechHub"/>
    <n v="6"/>
    <s v="Silver"/>
    <d v="2026-09-21T00:00:00"/>
    <s v="August"/>
    <x v="0"/>
  </r>
  <r>
    <s v="ORD10486"/>
    <s v="C002"/>
    <s v="P101"/>
    <d v="2026-03-23T00:00:00"/>
    <s v="29/03/2026"/>
    <s v="Priya Patel"/>
    <s v="Female"/>
    <s v="07/03/1995"/>
    <s v="Mumbai"/>
    <s v="West"/>
    <s v="WB"/>
    <s v="Electronics"/>
    <s v="Laptop"/>
    <n v="20"/>
    <n v="41250"/>
    <n v="0.1"/>
    <n v="742500"/>
    <n v="1"/>
    <s v="Upi"/>
    <s v="Ritika"/>
    <s v="priya.patel@company.com"/>
    <n v="9343776153"/>
    <s v="TechHub"/>
    <n v="12"/>
    <s v="Platinum"/>
    <d v="2027-03-29T00:00:00"/>
    <s v="March"/>
    <x v="1"/>
  </r>
  <r>
    <s v="ORD10487"/>
    <s v="C006"/>
    <s v="P103"/>
    <d v="2025-10-31T00:00:00"/>
    <s v="05/11/2025"/>
    <s v="Sneha Joshi"/>
    <s v="Female"/>
    <s v="04/04/1981"/>
    <s v="Pune"/>
    <s v="West"/>
    <s v="WB"/>
    <s v="Electronics"/>
    <s v="Keyboard"/>
    <n v="8"/>
    <n v="900"/>
    <n v="0"/>
    <n v="7200"/>
    <n v="2"/>
    <s v="Netbanking"/>
    <s v="Karan"/>
    <s v="sneha.joshi@company.com"/>
    <n v="9458599727"/>
    <s v="TechHub"/>
    <n v="6"/>
    <s v="Gold"/>
    <d v="2026-05-05T00:00:00"/>
    <s v="April"/>
    <x v="1"/>
  </r>
  <r>
    <s v="ORD10488"/>
    <s v="C010"/>
    <s v="P302"/>
    <d v="2026-05-05T00:00:00"/>
    <s v="09/05/2026"/>
    <s v="Pooja Shah"/>
    <s v="Female"/>
    <s v="16/09/1994"/>
    <s v="Bengaluru"/>
    <s v="South"/>
    <s v="WB"/>
    <s v="Stationery"/>
    <s v="Pen"/>
    <n v="18"/>
    <n v="15"/>
    <n v="0.1"/>
    <n v="243"/>
    <n v="5"/>
    <s v="Card"/>
    <s v="NA"/>
    <s v="pooja.shah@company.com"/>
    <n v="9218660140"/>
    <s v="Prime Supplies"/>
    <n v="12"/>
    <s v="Silver"/>
    <d v="2027-05-09T00:00:00"/>
    <s v="September"/>
    <x v="0"/>
  </r>
  <r>
    <s v="ORD10489"/>
    <s v="C004"/>
    <s v="P104"/>
    <d v="2025-02-23T00:00:00"/>
    <s v="07/03/2025"/>
    <s v="Anita Gupta"/>
    <s v="Female"/>
    <s v="16/01/2002"/>
    <s v="Pune"/>
    <s v="West"/>
    <s v="WB"/>
    <s v="Electronics"/>
    <s v="Monitor"/>
    <n v="11"/>
    <n v="9000"/>
    <n v="0.1"/>
    <n v="89100"/>
    <n v="1"/>
    <s v="Card"/>
    <s v="Rahul"/>
    <s v="anita.gupta@company.com"/>
    <n v="9341979199"/>
    <s v="Global Trade"/>
    <n v="24"/>
    <s v="Gold"/>
    <d v="2027-03-07T00:00:00"/>
    <s v="January"/>
    <x v="1"/>
  </r>
  <r>
    <s v="ORD10490"/>
    <s v="C001"/>
    <s v="P203"/>
    <d v="2025-01-15T00:00:00"/>
    <s v="17/01/2025"/>
    <s v="Amit Sharma"/>
    <s v="Male"/>
    <s v="09/08/1991"/>
    <s v="Pune"/>
    <s v="West"/>
    <s v="RJ"/>
    <s v="Home Appliances"/>
    <s v="Microwave"/>
    <n v="2"/>
    <n v="6375"/>
    <n v="0.05"/>
    <n v="12112.5"/>
    <n v="1"/>
    <s v="Card"/>
    <s v="Aisha"/>
    <s v="amit.sharma@company.com"/>
    <n v="9823080381"/>
    <s v="TechHub"/>
    <n v="24"/>
    <s v="Silver"/>
    <d v="2027-01-17T00:00:00"/>
    <s v="August"/>
    <x v="1"/>
  </r>
  <r>
    <s v="ORD10491"/>
    <s v="C002"/>
    <s v="P202"/>
    <d v="2025-03-30T00:00:00"/>
    <s v="08/04/2025"/>
    <s v="Priya Patel"/>
    <s v="Female"/>
    <s v="07/03/1995"/>
    <s v="Mumbai"/>
    <s v="West"/>
    <s v="WB"/>
    <s v="Home Appliances"/>
    <s v="Iron"/>
    <n v="7"/>
    <n v="1650"/>
    <n v="0"/>
    <n v="11550"/>
    <n v="5"/>
    <s v="Netbanking"/>
    <s v="Ritika"/>
    <s v="priya.patel@company.com"/>
    <n v="9981183477"/>
    <s v="Global Trade"/>
    <n v="24"/>
    <s v="Platinum"/>
    <d v="2027-04-08T00:00:00"/>
    <s v="March"/>
    <x v="0"/>
  </r>
  <r>
    <s v="ORD10492"/>
    <s v="C007"/>
    <s v="P203"/>
    <d v="2026-04-24T00:00:00"/>
    <s v="02/05/2026"/>
    <s v="Arjun Rao"/>
    <s v="Male"/>
    <s v="07/02/1988"/>
    <s v="Hyderabad"/>
    <s v="South"/>
    <s v="RJ"/>
    <s v="Home Appliances"/>
    <s v="Microwave"/>
    <n v="20"/>
    <n v="6375"/>
    <n v="0"/>
    <n v="127500"/>
    <n v="3"/>
    <s v="Netbanking"/>
    <s v="Rahul"/>
    <s v="arjun.rao@company.com"/>
    <n v="9281596011"/>
    <s v="TechHub"/>
    <n v="24"/>
    <s v="Silver"/>
    <d v="2028-05-02T00:00:00"/>
    <s v="February"/>
    <x v="2"/>
  </r>
  <r>
    <s v="ORD10493"/>
    <s v="C003"/>
    <s v="P103"/>
    <d v="2025-07-20T00:00:00"/>
    <s v="29/07/2025"/>
    <s v="Rohit Singh"/>
    <s v="Male"/>
    <s v="10/05/1982"/>
    <s v="Delhi"/>
    <s v="North"/>
    <s v="DL"/>
    <s v="Electronics"/>
    <s v="Keyboard"/>
    <n v="11"/>
    <n v="900"/>
    <n v="0.05"/>
    <n v="9405"/>
    <n v="2"/>
    <s v="Cash"/>
    <s v="Ritika"/>
    <s v="rohit.singh@company.com"/>
    <n v="9211734022"/>
    <s v="TechHub"/>
    <n v="6"/>
    <s v="Gold"/>
    <d v="2026-01-29T00:00:00"/>
    <s v="May"/>
    <x v="1"/>
  </r>
  <r>
    <s v="ORD10494"/>
    <s v="C007"/>
    <s v="P102"/>
    <d v="2025-07-29T00:00:00"/>
    <s v="01/08/2025"/>
    <s v="Arjun Rao"/>
    <s v="Male"/>
    <s v="07/02/1988"/>
    <s v="Hyderabad"/>
    <s v="South"/>
    <s v="RJ"/>
    <s v="Electronics"/>
    <s v="Mouse"/>
    <n v="14"/>
    <n v="525"/>
    <n v="0"/>
    <n v="7350"/>
    <n v="2"/>
    <s v="Card"/>
    <s v="Karan"/>
    <s v="arjun.rao@company.com"/>
    <n v="9447151666"/>
    <s v="TechHub"/>
    <n v="24"/>
    <s v="Silver"/>
    <d v="2027-08-01T00:00:00"/>
    <s v="February"/>
    <x v="1"/>
  </r>
  <r>
    <s v="ORD10495"/>
    <s v="C009"/>
    <s v="P103"/>
    <d v="2025-10-21T00:00:00"/>
    <s v="01/11/2025"/>
    <s v="Mohit Verma"/>
    <s v="Male"/>
    <s v="13/04/1976"/>
    <s v="Delhi"/>
    <s v="North"/>
    <s v="KA"/>
    <s v="Electronics"/>
    <s v="Keyboard"/>
    <n v="16"/>
    <n v="900"/>
    <n v="0.15"/>
    <n v="12240"/>
    <n v="4"/>
    <s v="Cash"/>
    <s v="Karan"/>
    <s v="mohit.verma@company.com"/>
    <n v="9345342793"/>
    <s v="TechHub"/>
    <n v="6"/>
    <s v="Platinum"/>
    <d v="2026-05-01T00:00:00"/>
    <s v="April"/>
    <x v="0"/>
  </r>
  <r>
    <s v="ORD10496"/>
    <s v="C004"/>
    <s v="P202"/>
    <d v="2026-03-17T00:00:00"/>
    <s v="29/03/2026"/>
    <s v="Anita Gupta"/>
    <s v="Female"/>
    <s v="16/01/2002"/>
    <s v="Pune"/>
    <s v="West"/>
    <s v="WB"/>
    <s v="Home Appliances"/>
    <s v="Iron"/>
    <n v="20"/>
    <n v="1650"/>
    <n v="0"/>
    <n v="33000"/>
    <n v="5"/>
    <s v="Cash"/>
    <s v="Ritika"/>
    <s v="anita.gupta@company.com"/>
    <n v="9329668173"/>
    <s v="Global Trade"/>
    <n v="24"/>
    <s v="Gold"/>
    <d v="2028-03-29T00:00:00"/>
    <s v="January"/>
    <x v="0"/>
  </r>
  <r>
    <s v="ORD10497"/>
    <s v="C007"/>
    <s v="P104"/>
    <d v="2025-02-23T00:00:00"/>
    <s v="07/03/2025"/>
    <s v="Arjun Rao"/>
    <s v="Male"/>
    <s v="07/02/1988"/>
    <s v="Hyderabad"/>
    <s v="South"/>
    <s v="RJ"/>
    <s v="Electronics"/>
    <s v="Monitor"/>
    <n v="12"/>
    <n v="9000"/>
    <n v="0.15"/>
    <n v="91800"/>
    <n v="5"/>
    <s v="Cash"/>
    <s v="Karan"/>
    <s v="arjun.rao@company.com"/>
    <n v="9294740227"/>
    <s v="Global Trade"/>
    <n v="24"/>
    <s v="Silver"/>
    <d v="2027-03-07T00:00:00"/>
    <s v="February"/>
    <x v="2"/>
  </r>
  <r>
    <s v="ORD10498"/>
    <s v="C005"/>
    <s v="P103"/>
    <d v="2025-12-11T00:00:00"/>
    <s v="20/12/2025"/>
    <s v="Vikas Mehta"/>
    <s v="Male"/>
    <s v="03/08/1991"/>
    <s v="Mumbai"/>
    <s v="West"/>
    <s v="DL"/>
    <s v="Electronics"/>
    <s v="Keyboard"/>
    <n v="3"/>
    <n v="900"/>
    <n v="0.2"/>
    <n v="2160"/>
    <n v="2"/>
    <s v="Netbanking"/>
    <s v="Neha"/>
    <s v="vikas.mehta@company.com"/>
    <n v="9549426303"/>
    <s v="TechHub"/>
    <n v="6"/>
    <s v="Gold"/>
    <d v="2026-06-20T00:00:00"/>
    <s v="August"/>
    <x v="1"/>
  </r>
  <r>
    <s v="ORD10499"/>
    <s v="C002"/>
    <s v="P101"/>
    <d v="2025-07-04T00:00:00"/>
    <s v="05/07/2025"/>
    <s v="Priya Patel"/>
    <s v="Female"/>
    <s v="07/03/1995"/>
    <s v="Mumbai"/>
    <s v="West"/>
    <s v="WB"/>
    <s v="Electronics"/>
    <s v="Laptop"/>
    <n v="6"/>
    <n v="41250"/>
    <n v="0.2"/>
    <n v="198000"/>
    <n v="3"/>
    <s v="Cash"/>
    <s v="Karan"/>
    <s v="priya.patel@company.com"/>
    <n v="9374249303"/>
    <s v="TechHub"/>
    <n v="12"/>
    <s v="Platinum"/>
    <d v="2026-07-05T00:00:00"/>
    <s v="March"/>
    <x v="2"/>
  </r>
  <r>
    <s v="ORD10500"/>
    <s v="C002"/>
    <s v="P201"/>
    <d v="2025-09-16T00:00:00"/>
    <s v="23/09/2025"/>
    <s v="Priya Patel"/>
    <s v="Female"/>
    <s v="07/03/1995"/>
    <s v="Mumbai"/>
    <s v="West"/>
    <s v="WB"/>
    <s v="Home Appliances"/>
    <s v="Mixer"/>
    <n v="20"/>
    <n v="2625"/>
    <n v="0"/>
    <n v="52500"/>
    <n v="1"/>
    <s v="Netbanking"/>
    <s v="Karan"/>
    <s v="priya.patel@company.com"/>
    <n v="9810334941"/>
    <s v="Global Trade"/>
    <n v="6"/>
    <s v="Platinum"/>
    <d v="2026-03-23T00:00:00"/>
    <s v="Marc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1E17B-0C78-49ED-9F0A-19CBB4F31AB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:AF8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x="0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umer Classification" fld="27" subtotal="count" baseField="0" baseItem="0"/>
    <dataField name="Percentage%" fld="27" subtotal="count" showDataAs="percentOfCol" baseField="27" baseItem="0" numFmtId="10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7" type="button" dataOnly="0" labelOnly="1" outline="0" axis="axisRow" fieldPosition="0"/>
    </format>
    <format dxfId="15">
      <pivotArea dataOnly="0" labelOnly="1" fieldPosition="0">
        <references count="1">
          <reference field="27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7" type="button" dataOnly="0" labelOnly="1" outline="0" axis="axisRow" fieldPosition="0"/>
    </format>
    <format dxfId="9">
      <pivotArea dataOnly="0" labelOnly="1" fieldPosition="0">
        <references count="1">
          <reference field="27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7" type="button" dataOnly="0" labelOnly="1" outline="0" axis="axisRow" fieldPosition="0"/>
    </format>
    <format dxfId="3">
      <pivotArea dataOnly="0" labelOnly="1" fieldPosition="0">
        <references count="1">
          <reference field="2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mehta@company.com" TargetMode="External"/><Relationship Id="rId13" Type="http://schemas.openxmlformats.org/officeDocument/2006/relationships/hyperlink" Target="mailto:rohit.sinGh@company.com" TargetMode="External"/><Relationship Id="rId3" Type="http://schemas.openxmlformats.org/officeDocument/2006/relationships/hyperlink" Target="mailto:priYa.patel@company.com" TargetMode="External"/><Relationship Id="rId7" Type="http://schemas.openxmlformats.org/officeDocument/2006/relationships/hyperlink" Target="mailto:arjun.Rao@company.com" TargetMode="External"/><Relationship Id="rId12" Type="http://schemas.openxmlformats.org/officeDocument/2006/relationships/hyperlink" Target="mailto:kavya.Nair@company.com" TargetMode="External"/><Relationship Id="rId2" Type="http://schemas.openxmlformats.org/officeDocument/2006/relationships/hyperlink" Target="mailto:kavya.nair@company.com" TargetMode="External"/><Relationship Id="rId1" Type="http://schemas.openxmlformats.org/officeDocument/2006/relationships/hyperlink" Target="mailto:KAvya.nair@company.com" TargetMode="External"/><Relationship Id="rId6" Type="http://schemas.openxmlformats.org/officeDocument/2006/relationships/hyperlink" Target="mailto:rOhit.singh@company.com" TargetMode="External"/><Relationship Id="rId11" Type="http://schemas.openxmlformats.org/officeDocument/2006/relationships/hyperlink" Target="mailto:pOOja.shah@company.com" TargetMode="External"/><Relationship Id="rId5" Type="http://schemas.openxmlformats.org/officeDocument/2006/relationships/hyperlink" Target="mailto:kavya.nair@company.com" TargetMode="External"/><Relationship Id="rId10" Type="http://schemas.openxmlformats.org/officeDocument/2006/relationships/hyperlink" Target="mailto:Pooja.shah@company.com" TargetMode="External"/><Relationship Id="rId4" Type="http://schemas.openxmlformats.org/officeDocument/2006/relationships/hyperlink" Target="mailto:PRiya.patel@company.com" TargetMode="External"/><Relationship Id="rId9" Type="http://schemas.openxmlformats.org/officeDocument/2006/relationships/hyperlink" Target="mailto:Anita.gupta@company.com" TargetMode="External"/><Relationship Id="rId14" Type="http://schemas.openxmlformats.org/officeDocument/2006/relationships/hyperlink" Target="mailto:amit.SHarma@company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F95F-6F78-44B6-B99A-D2F2E213D1AB}">
  <dimension ref="A1:V23"/>
  <sheetViews>
    <sheetView workbookViewId="0">
      <selection activeCell="K22" sqref="A1:XFD1048576"/>
    </sheetView>
  </sheetViews>
  <sheetFormatPr defaultRowHeight="14.4"/>
  <cols>
    <col min="3" max="3" width="12.21875" bestFit="1" customWidth="1"/>
    <col min="5" max="5" width="14.21875" bestFit="1" customWidth="1"/>
    <col min="7" max="7" width="12.21875" bestFit="1" customWidth="1"/>
  </cols>
  <sheetData>
    <row r="1" spans="1:22" ht="14.4" customHeight="1">
      <c r="A1" s="7" t="s">
        <v>2093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</row>
    <row r="2" spans="1:22">
      <c r="A2" s="10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1"/>
    </row>
    <row r="3" spans="1:22">
      <c r="A3" s="10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1"/>
    </row>
    <row r="4" spans="1:22">
      <c r="A4" s="10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1"/>
    </row>
    <row r="5" spans="1:22">
      <c r="A5" s="10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1"/>
    </row>
    <row r="6" spans="1:22">
      <c r="A6" s="10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1"/>
    </row>
    <row r="7" spans="1:22">
      <c r="A7" s="10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1"/>
    </row>
    <row r="8" spans="1:22">
      <c r="A8" s="10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1"/>
    </row>
    <row r="9" spans="1:22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1"/>
    </row>
    <row r="10" spans="1:22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1"/>
    </row>
    <row r="11" spans="1:22">
      <c r="A11" s="10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1"/>
    </row>
    <row r="12" spans="1:22">
      <c r="A12" s="10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1"/>
    </row>
    <row r="13" spans="1:22">
      <c r="A13" s="10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1"/>
    </row>
    <row r="14" spans="1:22">
      <c r="A14" s="10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11"/>
    </row>
    <row r="15" spans="1:22">
      <c r="A15" s="10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1"/>
    </row>
    <row r="16" spans="1:22">
      <c r="A16" s="10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1"/>
    </row>
    <row r="17" spans="1:22">
      <c r="A17" s="10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11"/>
    </row>
    <row r="18" spans="1:22">
      <c r="A18" s="10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1"/>
    </row>
    <row r="19" spans="1:22" ht="15" thickBo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1:22" ht="15" thickBot="1"/>
    <row r="21" spans="1:22" ht="26.4" thickBot="1">
      <c r="C21" s="2" t="s">
        <v>2094</v>
      </c>
      <c r="E21" s="2" t="s">
        <v>2095</v>
      </c>
      <c r="G21" s="2" t="s">
        <v>2096</v>
      </c>
    </row>
    <row r="22" spans="1:22" ht="15" thickBot="1">
      <c r="J22" s="5"/>
    </row>
    <row r="23" spans="1:22" ht="36.6" thickBot="1">
      <c r="C23" s="3" t="s">
        <v>2105</v>
      </c>
      <c r="E23" s="4" t="s">
        <v>2104</v>
      </c>
      <c r="G23" s="4" t="s">
        <v>2115</v>
      </c>
    </row>
  </sheetData>
  <mergeCells count="1">
    <mergeCell ref="A1:V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0568-F746-458F-8D1A-D4B3ECBCAD8F}">
  <dimension ref="A1:V501"/>
  <sheetViews>
    <sheetView workbookViewId="0">
      <selection activeCell="U2" sqref="U2"/>
    </sheetView>
  </sheetViews>
  <sheetFormatPr defaultRowHeight="14.4"/>
  <cols>
    <col min="1" max="1" width="9.6640625" bestFit="1" customWidth="1"/>
    <col min="2" max="2" width="11.88671875" bestFit="1" customWidth="1"/>
    <col min="3" max="3" width="10.44140625" bestFit="1" customWidth="1"/>
    <col min="4" max="4" width="10.6640625" bestFit="1" customWidth="1"/>
    <col min="5" max="5" width="12.6640625" bestFit="1" customWidth="1"/>
    <col min="6" max="6" width="16.77734375" bestFit="1" customWidth="1"/>
    <col min="7" max="7" width="7.109375" bestFit="1" customWidth="1"/>
    <col min="8" max="8" width="10.5546875" bestFit="1" customWidth="1"/>
    <col min="9" max="9" width="10.6640625" bestFit="1" customWidth="1"/>
    <col min="10" max="10" width="6.77734375" bestFit="1" customWidth="1"/>
    <col min="11" max="11" width="15.109375" bestFit="1" customWidth="1"/>
    <col min="12" max="12" width="13.77734375" bestFit="1" customWidth="1"/>
    <col min="13" max="13" width="8.33203125" bestFit="1" customWidth="1"/>
    <col min="14" max="14" width="9.6640625" bestFit="1" customWidth="1"/>
    <col min="15" max="15" width="10.77734375" bestFit="1" customWidth="1"/>
    <col min="16" max="16" width="8" bestFit="1" customWidth="1"/>
    <col min="17" max="17" width="6.33203125" bestFit="1" customWidth="1"/>
    <col min="18" max="18" width="14.6640625" bestFit="1" customWidth="1"/>
    <col min="19" max="19" width="11" bestFit="1" customWidth="1"/>
    <col min="20" max="20" width="25.21875" bestFit="1" customWidth="1"/>
    <col min="21" max="21" width="11" bestFit="1" customWidth="1"/>
    <col min="22" max="22" width="12" bestFit="1" customWidth="1"/>
  </cols>
  <sheetData>
    <row r="1" spans="1:2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2">
      <c r="A2" s="15" t="s">
        <v>22</v>
      </c>
      <c r="B2" s="15" t="s">
        <v>23</v>
      </c>
      <c r="C2" s="15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29</v>
      </c>
      <c r="I2" s="15" t="s">
        <v>30</v>
      </c>
      <c r="J2" s="15" t="s">
        <v>31</v>
      </c>
      <c r="K2" s="15" t="s">
        <v>32</v>
      </c>
      <c r="L2" s="15" t="s">
        <v>33</v>
      </c>
      <c r="M2" s="15">
        <v>4</v>
      </c>
      <c r="N2" s="15">
        <v>2200</v>
      </c>
      <c r="O2" s="15">
        <v>10</v>
      </c>
      <c r="P2" s="15">
        <v>7920</v>
      </c>
      <c r="Q2" s="15">
        <v>4</v>
      </c>
      <c r="R2" s="15" t="s">
        <v>34</v>
      </c>
      <c r="S2" s="15" t="s">
        <v>35</v>
      </c>
      <c r="T2" s="16" t="s">
        <v>36</v>
      </c>
      <c r="U2" s="17" t="s">
        <v>37</v>
      </c>
      <c r="V2" s="15" t="s">
        <v>38</v>
      </c>
    </row>
    <row r="3" spans="1:22">
      <c r="A3" s="18" t="s">
        <v>39</v>
      </c>
      <c r="B3" s="18" t="s">
        <v>23</v>
      </c>
      <c r="C3" s="18" t="s">
        <v>40</v>
      </c>
      <c r="D3" s="18" t="s">
        <v>41</v>
      </c>
      <c r="E3" s="18" t="s">
        <v>42</v>
      </c>
      <c r="F3" s="18" t="s">
        <v>27</v>
      </c>
      <c r="G3" s="18" t="s">
        <v>28</v>
      </c>
      <c r="H3" s="18" t="s">
        <v>43</v>
      </c>
      <c r="I3" s="18" t="s">
        <v>44</v>
      </c>
      <c r="J3" s="18" t="s">
        <v>45</v>
      </c>
      <c r="K3" s="18" t="s">
        <v>46</v>
      </c>
      <c r="L3" s="18" t="s">
        <v>47</v>
      </c>
      <c r="M3" s="18">
        <v>17</v>
      </c>
      <c r="N3" s="18">
        <v>12000</v>
      </c>
      <c r="O3" s="18">
        <v>10</v>
      </c>
      <c r="P3" s="18">
        <v>183600</v>
      </c>
      <c r="Q3" s="18">
        <v>1</v>
      </c>
      <c r="R3" s="18" t="s">
        <v>48</v>
      </c>
      <c r="S3" s="18" t="s">
        <v>49</v>
      </c>
      <c r="T3" s="18" t="s">
        <v>50</v>
      </c>
      <c r="U3" s="19" t="s">
        <v>51</v>
      </c>
      <c r="V3" s="18" t="s">
        <v>38</v>
      </c>
    </row>
    <row r="4" spans="1:22">
      <c r="A4" s="15" t="s">
        <v>52</v>
      </c>
      <c r="B4" s="15" t="s">
        <v>53</v>
      </c>
      <c r="C4" s="15" t="s">
        <v>54</v>
      </c>
      <c r="D4" s="15" t="s">
        <v>55</v>
      </c>
      <c r="E4" s="15" t="s">
        <v>56</v>
      </c>
      <c r="F4" s="15" t="s">
        <v>57</v>
      </c>
      <c r="G4" s="15" t="s">
        <v>28</v>
      </c>
      <c r="H4" s="15" t="s">
        <v>58</v>
      </c>
      <c r="I4" s="15" t="s">
        <v>59</v>
      </c>
      <c r="J4" s="15" t="s">
        <v>31</v>
      </c>
      <c r="K4" s="15" t="s">
        <v>46</v>
      </c>
      <c r="L4" s="15" t="s">
        <v>60</v>
      </c>
      <c r="M4" s="15">
        <v>5</v>
      </c>
      <c r="N4" s="15">
        <v>55000</v>
      </c>
      <c r="O4" s="15">
        <v>5</v>
      </c>
      <c r="P4" s="15">
        <v>261250</v>
      </c>
      <c r="Q4" s="15">
        <v>3</v>
      </c>
      <c r="R4" s="15" t="s">
        <v>48</v>
      </c>
      <c r="S4" s="15" t="s">
        <v>61</v>
      </c>
      <c r="T4" s="15" t="s">
        <v>62</v>
      </c>
      <c r="U4" s="17" t="s">
        <v>63</v>
      </c>
      <c r="V4" s="15" t="s">
        <v>64</v>
      </c>
    </row>
    <row r="5" spans="1:22">
      <c r="A5" s="18" t="s">
        <v>39</v>
      </c>
      <c r="B5" s="18" t="s">
        <v>23</v>
      </c>
      <c r="C5" s="18" t="s">
        <v>24</v>
      </c>
      <c r="D5" s="18" t="s">
        <v>65</v>
      </c>
      <c r="E5" s="18" t="s">
        <v>66</v>
      </c>
      <c r="F5" s="18" t="s">
        <v>27</v>
      </c>
      <c r="G5" s="18" t="s">
        <v>28</v>
      </c>
      <c r="H5" s="18" t="s">
        <v>67</v>
      </c>
      <c r="I5" s="18" t="s">
        <v>59</v>
      </c>
      <c r="J5" s="18" t="s">
        <v>31</v>
      </c>
      <c r="K5" s="18" t="s">
        <v>32</v>
      </c>
      <c r="L5" s="18" t="s">
        <v>33</v>
      </c>
      <c r="M5" s="18">
        <v>5</v>
      </c>
      <c r="N5" s="18">
        <v>2200</v>
      </c>
      <c r="O5" s="18">
        <v>5</v>
      </c>
      <c r="P5" s="18">
        <v>10450</v>
      </c>
      <c r="Q5" s="18">
        <v>5</v>
      </c>
      <c r="R5" s="18" t="s">
        <v>48</v>
      </c>
      <c r="S5" s="18" t="s">
        <v>61</v>
      </c>
      <c r="T5" s="20" t="s">
        <v>50</v>
      </c>
      <c r="U5" s="19" t="s">
        <v>68</v>
      </c>
      <c r="V5" s="18" t="s">
        <v>69</v>
      </c>
    </row>
    <row r="6" spans="1:22">
      <c r="A6" s="15" t="s">
        <v>70</v>
      </c>
      <c r="B6" s="15" t="s">
        <v>71</v>
      </c>
      <c r="C6" s="15" t="s">
        <v>72</v>
      </c>
      <c r="D6" s="15" t="s">
        <v>73</v>
      </c>
      <c r="E6" s="15" t="s">
        <v>74</v>
      </c>
      <c r="F6" s="15" t="s">
        <v>75</v>
      </c>
      <c r="G6" s="15" t="s">
        <v>76</v>
      </c>
      <c r="H6" s="15" t="s">
        <v>77</v>
      </c>
      <c r="I6" s="15" t="s">
        <v>44</v>
      </c>
      <c r="J6" s="15" t="s">
        <v>45</v>
      </c>
      <c r="K6" s="15" t="s">
        <v>46</v>
      </c>
      <c r="L6" s="15" t="s">
        <v>78</v>
      </c>
      <c r="M6" s="15">
        <v>8</v>
      </c>
      <c r="N6" s="15">
        <v>1200</v>
      </c>
      <c r="O6" s="15">
        <v>5</v>
      </c>
      <c r="P6" s="15">
        <v>9120</v>
      </c>
      <c r="Q6" s="15">
        <v>2</v>
      </c>
      <c r="R6" s="15" t="s">
        <v>79</v>
      </c>
      <c r="S6" s="15" t="s">
        <v>61</v>
      </c>
      <c r="T6" s="15" t="s">
        <v>80</v>
      </c>
      <c r="U6" s="17" t="s">
        <v>81</v>
      </c>
      <c r="V6" s="15" t="s">
        <v>64</v>
      </c>
    </row>
    <row r="7" spans="1:22">
      <c r="A7" s="18" t="s">
        <v>82</v>
      </c>
      <c r="B7" s="18" t="s">
        <v>83</v>
      </c>
      <c r="C7" s="18" t="s">
        <v>24</v>
      </c>
      <c r="D7" s="18" t="s">
        <v>84</v>
      </c>
      <c r="E7" s="18" t="s">
        <v>85</v>
      </c>
      <c r="F7" s="18" t="s">
        <v>86</v>
      </c>
      <c r="G7" s="18" t="s">
        <v>76</v>
      </c>
      <c r="H7" s="18" t="s">
        <v>87</v>
      </c>
      <c r="I7" s="18" t="s">
        <v>30</v>
      </c>
      <c r="J7" s="18" t="s">
        <v>31</v>
      </c>
      <c r="K7" s="18" t="s">
        <v>32</v>
      </c>
      <c r="L7" s="18" t="s">
        <v>33</v>
      </c>
      <c r="M7" s="18">
        <v>4</v>
      </c>
      <c r="N7" s="18">
        <v>2200</v>
      </c>
      <c r="O7" s="18">
        <v>0</v>
      </c>
      <c r="P7" s="18">
        <v>8800</v>
      </c>
      <c r="Q7" s="18">
        <v>1</v>
      </c>
      <c r="R7" s="18" t="s">
        <v>88</v>
      </c>
      <c r="S7" s="18" t="s">
        <v>35</v>
      </c>
      <c r="T7" s="18" t="s">
        <v>89</v>
      </c>
      <c r="U7" s="19" t="s">
        <v>90</v>
      </c>
      <c r="V7" s="18" t="s">
        <v>38</v>
      </c>
    </row>
    <row r="8" spans="1:22">
      <c r="A8" s="15" t="s">
        <v>91</v>
      </c>
      <c r="B8" s="15" t="s">
        <v>23</v>
      </c>
      <c r="C8" s="15" t="s">
        <v>92</v>
      </c>
      <c r="D8" s="15" t="s">
        <v>93</v>
      </c>
      <c r="E8" s="15" t="s">
        <v>94</v>
      </c>
      <c r="F8" s="15" t="s">
        <v>95</v>
      </c>
      <c r="G8" s="15" t="s">
        <v>28</v>
      </c>
      <c r="H8" s="15" t="s">
        <v>96</v>
      </c>
      <c r="I8" s="15" t="s">
        <v>30</v>
      </c>
      <c r="J8" s="15" t="s">
        <v>31</v>
      </c>
      <c r="K8" s="15" t="s">
        <v>32</v>
      </c>
      <c r="L8" s="15" t="s">
        <v>97</v>
      </c>
      <c r="M8" s="15">
        <v>2</v>
      </c>
      <c r="N8" s="15">
        <v>3500</v>
      </c>
      <c r="O8" s="15">
        <v>5</v>
      </c>
      <c r="P8" s="15">
        <v>6650</v>
      </c>
      <c r="Q8" s="15">
        <v>1</v>
      </c>
      <c r="R8" s="15" t="s">
        <v>88</v>
      </c>
      <c r="S8" s="15" t="s">
        <v>35</v>
      </c>
      <c r="T8" s="15" t="s">
        <v>50</v>
      </c>
      <c r="U8" s="17" t="s">
        <v>98</v>
      </c>
      <c r="V8" s="15" t="s">
        <v>38</v>
      </c>
    </row>
    <row r="9" spans="1:22">
      <c r="A9" s="18" t="s">
        <v>99</v>
      </c>
      <c r="B9" s="18" t="s">
        <v>100</v>
      </c>
      <c r="C9" s="18" t="s">
        <v>40</v>
      </c>
      <c r="D9" s="18" t="s">
        <v>101</v>
      </c>
      <c r="E9" s="18" t="s">
        <v>102</v>
      </c>
      <c r="F9" s="18" t="s">
        <v>103</v>
      </c>
      <c r="G9" s="18" t="s">
        <v>28</v>
      </c>
      <c r="H9" s="18" t="s">
        <v>104</v>
      </c>
      <c r="I9" s="18" t="s">
        <v>105</v>
      </c>
      <c r="J9" s="18" t="s">
        <v>106</v>
      </c>
      <c r="K9" s="18" t="s">
        <v>46</v>
      </c>
      <c r="L9" s="18" t="s">
        <v>47</v>
      </c>
      <c r="M9" s="18">
        <v>14</v>
      </c>
      <c r="N9" s="18">
        <v>12000</v>
      </c>
      <c r="O9" s="18">
        <v>15</v>
      </c>
      <c r="P9" s="18">
        <v>142800</v>
      </c>
      <c r="Q9" s="18">
        <v>4</v>
      </c>
      <c r="R9" s="18" t="s">
        <v>48</v>
      </c>
      <c r="S9" s="18" t="s">
        <v>35</v>
      </c>
      <c r="T9" s="20" t="s">
        <v>107</v>
      </c>
      <c r="U9" s="19" t="s">
        <v>108</v>
      </c>
      <c r="V9" s="18" t="s">
        <v>38</v>
      </c>
    </row>
    <row r="10" spans="1:22">
      <c r="A10" s="15" t="s">
        <v>109</v>
      </c>
      <c r="B10" s="15" t="s">
        <v>23</v>
      </c>
      <c r="C10" s="15" t="s">
        <v>40</v>
      </c>
      <c r="D10" s="15" t="s">
        <v>110</v>
      </c>
      <c r="E10" s="15" t="s">
        <v>111</v>
      </c>
      <c r="F10" s="15" t="s">
        <v>112</v>
      </c>
      <c r="G10" s="15" t="s">
        <v>28</v>
      </c>
      <c r="H10" s="15" t="s">
        <v>113</v>
      </c>
      <c r="I10" s="15" t="s">
        <v>114</v>
      </c>
      <c r="J10" s="15" t="s">
        <v>106</v>
      </c>
      <c r="K10" s="15" t="s">
        <v>46</v>
      </c>
      <c r="L10" s="15" t="s">
        <v>47</v>
      </c>
      <c r="M10" s="15">
        <v>4</v>
      </c>
      <c r="N10" s="15">
        <v>12000</v>
      </c>
      <c r="O10" s="15">
        <v>15</v>
      </c>
      <c r="P10" s="15">
        <v>40800</v>
      </c>
      <c r="Q10" s="15">
        <v>4</v>
      </c>
      <c r="R10" s="15" t="s">
        <v>88</v>
      </c>
      <c r="S10" s="15" t="s">
        <v>115</v>
      </c>
      <c r="T10" s="15" t="s">
        <v>50</v>
      </c>
      <c r="U10" s="17" t="s">
        <v>116</v>
      </c>
      <c r="V10" s="15" t="s">
        <v>38</v>
      </c>
    </row>
    <row r="11" spans="1:22">
      <c r="A11" s="18" t="s">
        <v>117</v>
      </c>
      <c r="B11" s="18" t="s">
        <v>100</v>
      </c>
      <c r="C11" s="18" t="s">
        <v>118</v>
      </c>
      <c r="D11" s="18" t="s">
        <v>119</v>
      </c>
      <c r="E11" s="18" t="s">
        <v>120</v>
      </c>
      <c r="F11" s="18" t="s">
        <v>103</v>
      </c>
      <c r="G11" s="18" t="s">
        <v>28</v>
      </c>
      <c r="H11" s="18" t="s">
        <v>121</v>
      </c>
      <c r="I11" s="18" t="s">
        <v>105</v>
      </c>
      <c r="J11" s="18" t="s">
        <v>106</v>
      </c>
      <c r="K11" s="18" t="s">
        <v>122</v>
      </c>
      <c r="L11" s="18" t="s">
        <v>123</v>
      </c>
      <c r="M11" s="18">
        <v>6</v>
      </c>
      <c r="N11" s="18">
        <v>60</v>
      </c>
      <c r="O11" s="18">
        <v>0</v>
      </c>
      <c r="P11" s="18">
        <v>360</v>
      </c>
      <c r="Q11" s="18">
        <v>4</v>
      </c>
      <c r="R11" s="18" t="s">
        <v>79</v>
      </c>
      <c r="S11" s="18" t="s">
        <v>115</v>
      </c>
      <c r="T11" s="20" t="s">
        <v>124</v>
      </c>
      <c r="U11" s="19" t="s">
        <v>125</v>
      </c>
      <c r="V11" s="18" t="s">
        <v>38</v>
      </c>
    </row>
    <row r="12" spans="1:22">
      <c r="A12" s="15" t="s">
        <v>126</v>
      </c>
      <c r="B12" s="15" t="s">
        <v>127</v>
      </c>
      <c r="C12" s="15" t="s">
        <v>24</v>
      </c>
      <c r="D12" s="15" t="s">
        <v>128</v>
      </c>
      <c r="E12" s="15" t="s">
        <v>129</v>
      </c>
      <c r="F12" s="15" t="s">
        <v>130</v>
      </c>
      <c r="G12" s="15" t="s">
        <v>76</v>
      </c>
      <c r="H12" s="15" t="s">
        <v>131</v>
      </c>
      <c r="I12" s="15" t="s">
        <v>44</v>
      </c>
      <c r="J12" s="15" t="s">
        <v>45</v>
      </c>
      <c r="K12" s="15" t="s">
        <v>32</v>
      </c>
      <c r="L12" s="15" t="s">
        <v>33</v>
      </c>
      <c r="M12" s="15">
        <v>-3</v>
      </c>
      <c r="N12" s="15">
        <v>2200</v>
      </c>
      <c r="O12" s="15">
        <v>0</v>
      </c>
      <c r="P12" s="15">
        <v>35200</v>
      </c>
      <c r="Q12" s="15">
        <v>2</v>
      </c>
      <c r="R12" s="15" t="s">
        <v>79</v>
      </c>
      <c r="S12" s="15" t="s">
        <v>49</v>
      </c>
      <c r="T12" s="15" t="s">
        <v>132</v>
      </c>
      <c r="U12" s="17" t="s">
        <v>133</v>
      </c>
      <c r="V12" s="15" t="s">
        <v>64</v>
      </c>
    </row>
    <row r="13" spans="1:22">
      <c r="A13" s="18" t="s">
        <v>134</v>
      </c>
      <c r="B13" s="18" t="s">
        <v>23</v>
      </c>
      <c r="C13" s="18" t="s">
        <v>92</v>
      </c>
      <c r="D13" s="18" t="s">
        <v>135</v>
      </c>
      <c r="E13" s="18" t="s">
        <v>136</v>
      </c>
      <c r="F13" s="18" t="s">
        <v>27</v>
      </c>
      <c r="G13" s="18" t="s">
        <v>28</v>
      </c>
      <c r="H13" s="18" t="s">
        <v>137</v>
      </c>
      <c r="I13" s="18" t="s">
        <v>138</v>
      </c>
      <c r="J13" s="18" t="s">
        <v>106</v>
      </c>
      <c r="K13" s="18" t="s">
        <v>32</v>
      </c>
      <c r="L13" s="18" t="s">
        <v>97</v>
      </c>
      <c r="M13" s="18">
        <v>10</v>
      </c>
      <c r="N13" s="18">
        <v>3500</v>
      </c>
      <c r="O13" s="18">
        <v>5</v>
      </c>
      <c r="P13" s="18">
        <v>33250</v>
      </c>
      <c r="Q13" s="18">
        <v>5</v>
      </c>
      <c r="R13" s="18" t="s">
        <v>79</v>
      </c>
      <c r="S13" s="18" t="s">
        <v>61</v>
      </c>
      <c r="T13" s="18" t="s">
        <v>50</v>
      </c>
      <c r="U13" s="19" t="s">
        <v>139</v>
      </c>
      <c r="V13" s="18" t="s">
        <v>69</v>
      </c>
    </row>
    <row r="14" spans="1:22">
      <c r="A14" s="15" t="s">
        <v>140</v>
      </c>
      <c r="B14" s="15" t="s">
        <v>100</v>
      </c>
      <c r="C14" s="15" t="s">
        <v>24</v>
      </c>
      <c r="D14" s="15" t="s">
        <v>141</v>
      </c>
      <c r="E14" s="15" t="s">
        <v>142</v>
      </c>
      <c r="F14" s="15" t="s">
        <v>103</v>
      </c>
      <c r="G14" s="15" t="s">
        <v>28</v>
      </c>
      <c r="H14" s="15" t="s">
        <v>143</v>
      </c>
      <c r="I14" s="15" t="s">
        <v>114</v>
      </c>
      <c r="J14" s="15" t="s">
        <v>106</v>
      </c>
      <c r="K14" s="15" t="s">
        <v>32</v>
      </c>
      <c r="L14" s="15" t="s">
        <v>33</v>
      </c>
      <c r="M14" s="15">
        <v>15</v>
      </c>
      <c r="N14" s="15">
        <v>2200</v>
      </c>
      <c r="O14" s="15">
        <v>10</v>
      </c>
      <c r="P14" s="15">
        <v>29700</v>
      </c>
      <c r="Q14" s="15">
        <v>1</v>
      </c>
      <c r="R14" s="15" t="s">
        <v>88</v>
      </c>
      <c r="S14" s="15" t="s">
        <v>115</v>
      </c>
      <c r="T14" s="15" t="s">
        <v>144</v>
      </c>
      <c r="U14" s="17" t="s">
        <v>145</v>
      </c>
      <c r="V14" s="15" t="s">
        <v>64</v>
      </c>
    </row>
    <row r="15" spans="1:22">
      <c r="A15" s="18" t="s">
        <v>146</v>
      </c>
      <c r="B15" s="18" t="s">
        <v>127</v>
      </c>
      <c r="C15" s="18" t="s">
        <v>24</v>
      </c>
      <c r="D15" s="18" t="s">
        <v>147</v>
      </c>
      <c r="E15" s="18" t="s">
        <v>148</v>
      </c>
      <c r="F15" s="18" t="s">
        <v>149</v>
      </c>
      <c r="G15" s="18" t="s">
        <v>76</v>
      </c>
      <c r="H15" s="18" t="s">
        <v>150</v>
      </c>
      <c r="I15" s="18" t="s">
        <v>105</v>
      </c>
      <c r="J15" s="18" t="s">
        <v>106</v>
      </c>
      <c r="K15" s="18" t="s">
        <v>32</v>
      </c>
      <c r="L15" s="18" t="s">
        <v>33</v>
      </c>
      <c r="M15" s="18">
        <v>17</v>
      </c>
      <c r="N15" s="18">
        <v>2200</v>
      </c>
      <c r="O15" s="18">
        <v>5</v>
      </c>
      <c r="P15" s="18">
        <v>35530</v>
      </c>
      <c r="Q15" s="18">
        <v>1</v>
      </c>
      <c r="R15" s="18" t="s">
        <v>34</v>
      </c>
      <c r="S15" s="18" t="s">
        <v>151</v>
      </c>
      <c r="T15" s="20" t="s">
        <v>152</v>
      </c>
      <c r="U15" s="19" t="s">
        <v>153</v>
      </c>
      <c r="V15" s="18" t="s">
        <v>38</v>
      </c>
    </row>
    <row r="16" spans="1:22">
      <c r="A16" s="15" t="s">
        <v>154</v>
      </c>
      <c r="B16" s="15" t="s">
        <v>23</v>
      </c>
      <c r="C16" s="15" t="s">
        <v>92</v>
      </c>
      <c r="D16" s="15" t="s">
        <v>155</v>
      </c>
      <c r="E16" s="15" t="s">
        <v>156</v>
      </c>
      <c r="F16" s="15" t="s">
        <v>157</v>
      </c>
      <c r="G16" s="15" t="s">
        <v>28</v>
      </c>
      <c r="H16" s="15" t="s">
        <v>158</v>
      </c>
      <c r="I16" s="15" t="s">
        <v>105</v>
      </c>
      <c r="J16" s="15" t="s">
        <v>106</v>
      </c>
      <c r="K16" s="15" t="s">
        <v>32</v>
      </c>
      <c r="L16" s="15" t="s">
        <v>97</v>
      </c>
      <c r="M16" s="15">
        <v>15</v>
      </c>
      <c r="N16" s="15">
        <v>3500</v>
      </c>
      <c r="O16" s="15">
        <v>15</v>
      </c>
      <c r="P16" s="15">
        <v>44625</v>
      </c>
      <c r="Q16" s="15">
        <v>2</v>
      </c>
      <c r="R16" s="15" t="s">
        <v>34</v>
      </c>
      <c r="S16" s="15" t="s">
        <v>115</v>
      </c>
      <c r="T16" s="16" t="s">
        <v>50</v>
      </c>
      <c r="U16" s="17" t="s">
        <v>159</v>
      </c>
      <c r="V16" s="15" t="s">
        <v>69</v>
      </c>
    </row>
    <row r="17" spans="1:22">
      <c r="A17" s="18" t="s">
        <v>160</v>
      </c>
      <c r="B17" s="18" t="s">
        <v>53</v>
      </c>
      <c r="C17" s="18" t="s">
        <v>72</v>
      </c>
      <c r="D17" s="18" t="s">
        <v>161</v>
      </c>
      <c r="E17" s="18" t="s">
        <v>162</v>
      </c>
      <c r="F17" s="18" t="s">
        <v>163</v>
      </c>
      <c r="G17" s="18" t="s">
        <v>28</v>
      </c>
      <c r="H17" s="18" t="s">
        <v>164</v>
      </c>
      <c r="I17" s="18" t="s">
        <v>30</v>
      </c>
      <c r="J17" s="18" t="s">
        <v>31</v>
      </c>
      <c r="K17" s="18" t="s">
        <v>46</v>
      </c>
      <c r="L17" s="18" t="s">
        <v>78</v>
      </c>
      <c r="M17" s="18">
        <v>3</v>
      </c>
      <c r="N17" s="18">
        <v>1200</v>
      </c>
      <c r="O17" s="18">
        <v>5</v>
      </c>
      <c r="P17" s="18">
        <v>3420</v>
      </c>
      <c r="Q17" s="18">
        <v>5</v>
      </c>
      <c r="R17" s="18" t="s">
        <v>88</v>
      </c>
      <c r="S17" s="18" t="s">
        <v>35</v>
      </c>
      <c r="T17" s="18" t="s">
        <v>165</v>
      </c>
      <c r="U17" s="19" t="s">
        <v>166</v>
      </c>
      <c r="V17" s="18" t="s">
        <v>38</v>
      </c>
    </row>
    <row r="18" spans="1:22">
      <c r="A18" s="15" t="s">
        <v>167</v>
      </c>
      <c r="B18" s="15" t="s">
        <v>168</v>
      </c>
      <c r="C18" s="15" t="s">
        <v>169</v>
      </c>
      <c r="D18" s="15" t="s">
        <v>170</v>
      </c>
      <c r="E18" s="15" t="s">
        <v>171</v>
      </c>
      <c r="F18" s="15" t="s">
        <v>172</v>
      </c>
      <c r="G18" s="15" t="s">
        <v>28</v>
      </c>
      <c r="H18" s="15" t="s">
        <v>173</v>
      </c>
      <c r="I18" s="15" t="s">
        <v>114</v>
      </c>
      <c r="J18" s="15" t="s">
        <v>106</v>
      </c>
      <c r="K18" s="15" t="s">
        <v>32</v>
      </c>
      <c r="L18" s="15" t="s">
        <v>174</v>
      </c>
      <c r="M18" s="15">
        <v>13</v>
      </c>
      <c r="N18" s="15">
        <v>8500</v>
      </c>
      <c r="O18" s="15">
        <v>20</v>
      </c>
      <c r="P18" s="15">
        <v>88400</v>
      </c>
      <c r="Q18" s="15">
        <v>4</v>
      </c>
      <c r="R18" s="15" t="s">
        <v>79</v>
      </c>
      <c r="S18" s="15" t="s">
        <v>49</v>
      </c>
      <c r="T18" s="15" t="s">
        <v>175</v>
      </c>
      <c r="U18" s="17" t="s">
        <v>176</v>
      </c>
      <c r="V18" s="15" t="s">
        <v>64</v>
      </c>
    </row>
    <row r="19" spans="1:22">
      <c r="A19" s="18" t="s">
        <v>177</v>
      </c>
      <c r="B19" s="18" t="s">
        <v>83</v>
      </c>
      <c r="C19" s="18" t="s">
        <v>169</v>
      </c>
      <c r="D19" s="18" t="s">
        <v>178</v>
      </c>
      <c r="E19" s="18" t="s">
        <v>179</v>
      </c>
      <c r="F19" s="18" t="s">
        <v>180</v>
      </c>
      <c r="G19" s="18" t="s">
        <v>76</v>
      </c>
      <c r="H19" s="18" t="s">
        <v>181</v>
      </c>
      <c r="I19" s="18" t="s">
        <v>138</v>
      </c>
      <c r="J19" s="18" t="s">
        <v>106</v>
      </c>
      <c r="K19" s="18" t="s">
        <v>32</v>
      </c>
      <c r="L19" s="18" t="s">
        <v>174</v>
      </c>
      <c r="M19" s="18">
        <v>4</v>
      </c>
      <c r="N19" s="18">
        <v>8500</v>
      </c>
      <c r="O19" s="18">
        <v>20</v>
      </c>
      <c r="P19" s="18">
        <v>27200</v>
      </c>
      <c r="Q19" s="18">
        <v>5</v>
      </c>
      <c r="R19" s="18" t="s">
        <v>79</v>
      </c>
      <c r="S19" s="18" t="s">
        <v>61</v>
      </c>
      <c r="T19" s="18" t="s">
        <v>89</v>
      </c>
      <c r="U19" s="19" t="s">
        <v>182</v>
      </c>
      <c r="V19" s="18" t="s">
        <v>64</v>
      </c>
    </row>
    <row r="20" spans="1:22">
      <c r="A20" s="15" t="s">
        <v>183</v>
      </c>
      <c r="B20" s="15" t="s">
        <v>83</v>
      </c>
      <c r="C20" s="15" t="s">
        <v>184</v>
      </c>
      <c r="D20" s="15" t="s">
        <v>185</v>
      </c>
      <c r="E20" s="15" t="s">
        <v>186</v>
      </c>
      <c r="F20" s="15" t="s">
        <v>187</v>
      </c>
      <c r="G20" s="15" t="s">
        <v>76</v>
      </c>
      <c r="H20" s="15" t="s">
        <v>188</v>
      </c>
      <c r="I20" s="15" t="s">
        <v>105</v>
      </c>
      <c r="J20" s="15" t="s">
        <v>106</v>
      </c>
      <c r="K20" s="15" t="s">
        <v>46</v>
      </c>
      <c r="L20" s="15" t="s">
        <v>189</v>
      </c>
      <c r="M20" s="15">
        <v>9</v>
      </c>
      <c r="N20" s="15">
        <v>700</v>
      </c>
      <c r="O20" s="15">
        <v>5</v>
      </c>
      <c r="P20" s="15">
        <v>5985</v>
      </c>
      <c r="Q20" s="15">
        <v>3</v>
      </c>
      <c r="R20" s="15" t="s">
        <v>88</v>
      </c>
      <c r="S20" s="15" t="s">
        <v>35</v>
      </c>
      <c r="T20" s="16" t="s">
        <v>190</v>
      </c>
      <c r="U20" s="17" t="s">
        <v>191</v>
      </c>
      <c r="V20" s="15" t="s">
        <v>64</v>
      </c>
    </row>
    <row r="21" spans="1:22">
      <c r="A21" s="18" t="s">
        <v>192</v>
      </c>
      <c r="B21" s="18" t="s">
        <v>23</v>
      </c>
      <c r="C21" s="18" t="s">
        <v>54</v>
      </c>
      <c r="D21" s="18" t="s">
        <v>193</v>
      </c>
      <c r="E21" s="18" t="s">
        <v>194</v>
      </c>
      <c r="F21" s="18" t="s">
        <v>27</v>
      </c>
      <c r="G21" s="18" t="s">
        <v>28</v>
      </c>
      <c r="H21" s="18" t="s">
        <v>195</v>
      </c>
      <c r="I21" s="18" t="s">
        <v>138</v>
      </c>
      <c r="J21" s="18" t="s">
        <v>106</v>
      </c>
      <c r="K21" s="18" t="s">
        <v>46</v>
      </c>
      <c r="L21" s="18" t="s">
        <v>60</v>
      </c>
      <c r="M21" s="18">
        <v>8</v>
      </c>
      <c r="N21" s="18">
        <v>55000</v>
      </c>
      <c r="O21" s="18">
        <v>20</v>
      </c>
      <c r="P21" s="18">
        <v>352000</v>
      </c>
      <c r="Q21" s="18">
        <v>1</v>
      </c>
      <c r="R21" s="18" t="s">
        <v>34</v>
      </c>
      <c r="S21" s="18" t="s">
        <v>151</v>
      </c>
      <c r="T21" s="18" t="s">
        <v>50</v>
      </c>
      <c r="U21" s="19" t="s">
        <v>196</v>
      </c>
      <c r="V21" s="18" t="s">
        <v>38</v>
      </c>
    </row>
    <row r="22" spans="1:22">
      <c r="A22" s="15" t="s">
        <v>197</v>
      </c>
      <c r="B22" s="15" t="s">
        <v>127</v>
      </c>
      <c r="C22" s="15" t="s">
        <v>184</v>
      </c>
      <c r="D22" s="15" t="s">
        <v>198</v>
      </c>
      <c r="E22" s="15" t="s">
        <v>199</v>
      </c>
      <c r="F22" s="15" t="s">
        <v>200</v>
      </c>
      <c r="G22" s="15" t="s">
        <v>76</v>
      </c>
      <c r="H22" s="15" t="s">
        <v>201</v>
      </c>
      <c r="I22" s="15" t="s">
        <v>44</v>
      </c>
      <c r="J22" s="15" t="s">
        <v>45</v>
      </c>
      <c r="K22" s="15" t="s">
        <v>202</v>
      </c>
      <c r="L22" s="15" t="s">
        <v>189</v>
      </c>
      <c r="M22" s="15">
        <v>10</v>
      </c>
      <c r="N22" s="15">
        <v>700</v>
      </c>
      <c r="O22" s="15">
        <v>20</v>
      </c>
      <c r="P22" s="15">
        <v>5600</v>
      </c>
      <c r="Q22" s="15">
        <v>4</v>
      </c>
      <c r="R22" s="15" t="s">
        <v>79</v>
      </c>
      <c r="S22" s="15" t="s">
        <v>61</v>
      </c>
      <c r="T22" s="15" t="s">
        <v>132</v>
      </c>
      <c r="U22" s="17" t="s">
        <v>203</v>
      </c>
      <c r="V22" s="15" t="s">
        <v>69</v>
      </c>
    </row>
    <row r="23" spans="1:22">
      <c r="A23" s="18" t="s">
        <v>204</v>
      </c>
      <c r="B23" s="18" t="s">
        <v>23</v>
      </c>
      <c r="C23" s="18" t="s">
        <v>92</v>
      </c>
      <c r="D23" s="18" t="s">
        <v>205</v>
      </c>
      <c r="E23" s="18" t="s">
        <v>206</v>
      </c>
      <c r="F23" s="18" t="s">
        <v>112</v>
      </c>
      <c r="G23" s="18" t="s">
        <v>28</v>
      </c>
      <c r="H23" s="18" t="s">
        <v>207</v>
      </c>
      <c r="I23" s="18" t="s">
        <v>59</v>
      </c>
      <c r="J23" s="18" t="s">
        <v>31</v>
      </c>
      <c r="K23" s="18" t="s">
        <v>32</v>
      </c>
      <c r="L23" s="18" t="s">
        <v>97</v>
      </c>
      <c r="M23" s="18">
        <v>1</v>
      </c>
      <c r="N23" s="18">
        <v>3500</v>
      </c>
      <c r="O23" s="18">
        <v>5</v>
      </c>
      <c r="P23" s="18">
        <v>3325</v>
      </c>
      <c r="Q23" s="18">
        <v>3</v>
      </c>
      <c r="R23" s="18" t="s">
        <v>88</v>
      </c>
      <c r="S23" s="18" t="s">
        <v>115</v>
      </c>
      <c r="T23" s="18" t="s">
        <v>50</v>
      </c>
      <c r="U23" s="19" t="s">
        <v>208</v>
      </c>
      <c r="V23" s="18" t="s">
        <v>69</v>
      </c>
    </row>
    <row r="24" spans="1:22">
      <c r="A24" s="15" t="s">
        <v>209</v>
      </c>
      <c r="B24" s="15" t="s">
        <v>100</v>
      </c>
      <c r="C24" s="15" t="s">
        <v>184</v>
      </c>
      <c r="D24" s="15" t="s">
        <v>102</v>
      </c>
      <c r="E24" s="15" t="s">
        <v>210</v>
      </c>
      <c r="F24" s="15" t="s">
        <v>103</v>
      </c>
      <c r="G24" s="15" t="s">
        <v>28</v>
      </c>
      <c r="H24" s="15" t="s">
        <v>211</v>
      </c>
      <c r="I24" s="15" t="s">
        <v>212</v>
      </c>
      <c r="J24" s="15" t="s">
        <v>45</v>
      </c>
      <c r="K24" s="15" t="s">
        <v>46</v>
      </c>
      <c r="L24" s="15" t="s">
        <v>189</v>
      </c>
      <c r="M24" s="15">
        <v>19</v>
      </c>
      <c r="N24" s="15">
        <v>700</v>
      </c>
      <c r="O24" s="15">
        <v>15</v>
      </c>
      <c r="P24" s="15">
        <v>11305</v>
      </c>
      <c r="Q24" s="15">
        <v>3</v>
      </c>
      <c r="R24" s="15" t="s">
        <v>48</v>
      </c>
      <c r="S24" s="15" t="s">
        <v>151</v>
      </c>
      <c r="T24" s="15" t="s">
        <v>144</v>
      </c>
      <c r="U24" s="17" t="s">
        <v>213</v>
      </c>
      <c r="V24" s="15" t="s">
        <v>64</v>
      </c>
    </row>
    <row r="25" spans="1:22">
      <c r="A25" s="18" t="s">
        <v>214</v>
      </c>
      <c r="B25" s="18" t="s">
        <v>71</v>
      </c>
      <c r="C25" s="18" t="s">
        <v>54</v>
      </c>
      <c r="D25" s="18" t="s">
        <v>215</v>
      </c>
      <c r="E25" s="18" t="s">
        <v>216</v>
      </c>
      <c r="F25" s="18" t="s">
        <v>217</v>
      </c>
      <c r="G25" s="18" t="s">
        <v>76</v>
      </c>
      <c r="H25" s="18" t="s">
        <v>218</v>
      </c>
      <c r="I25" s="18" t="s">
        <v>59</v>
      </c>
      <c r="J25" s="18" t="s">
        <v>31</v>
      </c>
      <c r="K25" s="18" t="s">
        <v>46</v>
      </c>
      <c r="L25" s="18" t="s">
        <v>60</v>
      </c>
      <c r="M25" s="18">
        <v>12</v>
      </c>
      <c r="N25" s="18">
        <v>55000</v>
      </c>
      <c r="O25" s="18">
        <v>0</v>
      </c>
      <c r="P25" s="18">
        <v>660000</v>
      </c>
      <c r="Q25" s="18">
        <v>1</v>
      </c>
      <c r="R25" s="18" t="s">
        <v>79</v>
      </c>
      <c r="S25" s="18" t="s">
        <v>49</v>
      </c>
      <c r="T25" s="18" t="s">
        <v>80</v>
      </c>
      <c r="U25" s="19" t="s">
        <v>219</v>
      </c>
      <c r="V25" s="18" t="s">
        <v>64</v>
      </c>
    </row>
    <row r="26" spans="1:22">
      <c r="A26" s="15" t="s">
        <v>220</v>
      </c>
      <c r="B26" s="15" t="s">
        <v>221</v>
      </c>
      <c r="C26" s="15" t="s">
        <v>222</v>
      </c>
      <c r="D26" s="15" t="s">
        <v>223</v>
      </c>
      <c r="E26" s="15" t="s">
        <v>224</v>
      </c>
      <c r="F26" s="15" t="s">
        <v>225</v>
      </c>
      <c r="G26" s="15" t="s">
        <v>76</v>
      </c>
      <c r="H26" s="15" t="s">
        <v>226</v>
      </c>
      <c r="I26" s="15" t="s">
        <v>105</v>
      </c>
      <c r="J26" s="15" t="s">
        <v>106</v>
      </c>
      <c r="K26" s="15" t="s">
        <v>122</v>
      </c>
      <c r="L26" s="15" t="s">
        <v>227</v>
      </c>
      <c r="M26" s="15">
        <v>1</v>
      </c>
      <c r="N26" s="15">
        <v>20</v>
      </c>
      <c r="O26" s="15">
        <v>5</v>
      </c>
      <c r="P26" s="15">
        <v>19</v>
      </c>
      <c r="Q26" s="15">
        <v>5</v>
      </c>
      <c r="R26" s="15" t="s">
        <v>79</v>
      </c>
      <c r="S26" s="15" t="s">
        <v>35</v>
      </c>
      <c r="T26" s="15" t="s">
        <v>228</v>
      </c>
      <c r="U26" s="17" t="s">
        <v>229</v>
      </c>
      <c r="V26" s="15" t="s">
        <v>69</v>
      </c>
    </row>
    <row r="27" spans="1:22">
      <c r="A27" s="18" t="s">
        <v>230</v>
      </c>
      <c r="B27" s="18" t="s">
        <v>83</v>
      </c>
      <c r="C27" s="18" t="s">
        <v>222</v>
      </c>
      <c r="D27" s="18" t="s">
        <v>231</v>
      </c>
      <c r="E27" s="18" t="s">
        <v>232</v>
      </c>
      <c r="F27" s="18" t="s">
        <v>180</v>
      </c>
      <c r="G27" s="18" t="s">
        <v>76</v>
      </c>
      <c r="H27" s="18" t="s">
        <v>233</v>
      </c>
      <c r="I27" s="18" t="s">
        <v>105</v>
      </c>
      <c r="J27" s="18" t="s">
        <v>106</v>
      </c>
      <c r="K27" s="18" t="s">
        <v>122</v>
      </c>
      <c r="L27" s="18" t="s">
        <v>227</v>
      </c>
      <c r="M27" s="18">
        <v>2</v>
      </c>
      <c r="N27" s="18">
        <v>20</v>
      </c>
      <c r="O27" s="18">
        <v>15</v>
      </c>
      <c r="P27" s="18">
        <v>34</v>
      </c>
      <c r="Q27" s="18">
        <v>1</v>
      </c>
      <c r="R27" s="18" t="s">
        <v>88</v>
      </c>
      <c r="S27" s="18" t="s">
        <v>35</v>
      </c>
      <c r="T27" s="18" t="s">
        <v>89</v>
      </c>
      <c r="U27" s="19" t="s">
        <v>234</v>
      </c>
      <c r="V27" s="18" t="s">
        <v>64</v>
      </c>
    </row>
    <row r="28" spans="1:22">
      <c r="A28" s="15" t="s">
        <v>235</v>
      </c>
      <c r="B28" s="15" t="s">
        <v>71</v>
      </c>
      <c r="C28" s="15" t="s">
        <v>92</v>
      </c>
      <c r="D28" s="15" t="s">
        <v>236</v>
      </c>
      <c r="E28" s="15" t="s">
        <v>237</v>
      </c>
      <c r="F28" s="15" t="s">
        <v>217</v>
      </c>
      <c r="G28" s="15" t="s">
        <v>76</v>
      </c>
      <c r="H28" s="15" t="s">
        <v>238</v>
      </c>
      <c r="I28" s="15" t="s">
        <v>138</v>
      </c>
      <c r="J28" s="15" t="s">
        <v>106</v>
      </c>
      <c r="K28" s="15" t="s">
        <v>32</v>
      </c>
      <c r="L28" s="15" t="s">
        <v>97</v>
      </c>
      <c r="M28" s="15">
        <v>12</v>
      </c>
      <c r="N28" s="15">
        <v>3500</v>
      </c>
      <c r="O28" s="15">
        <v>15</v>
      </c>
      <c r="P28" s="15">
        <v>35700</v>
      </c>
      <c r="Q28" s="15">
        <v>4</v>
      </c>
      <c r="R28" s="15" t="s">
        <v>34</v>
      </c>
      <c r="S28" s="15" t="s">
        <v>49</v>
      </c>
      <c r="T28" s="15" t="s">
        <v>80</v>
      </c>
      <c r="U28" s="17" t="s">
        <v>239</v>
      </c>
      <c r="V28" s="15" t="s">
        <v>69</v>
      </c>
    </row>
    <row r="29" spans="1:22">
      <c r="A29" s="18" t="s">
        <v>240</v>
      </c>
      <c r="B29" s="18" t="s">
        <v>23</v>
      </c>
      <c r="C29" s="18" t="s">
        <v>72</v>
      </c>
      <c r="D29" s="18" t="s">
        <v>241</v>
      </c>
      <c r="E29" s="18" t="s">
        <v>242</v>
      </c>
      <c r="F29" s="18" t="s">
        <v>27</v>
      </c>
      <c r="G29" s="18" t="s">
        <v>28</v>
      </c>
      <c r="H29" s="18" t="s">
        <v>243</v>
      </c>
      <c r="I29" s="18" t="s">
        <v>138</v>
      </c>
      <c r="J29" s="18" t="s">
        <v>106</v>
      </c>
      <c r="K29" s="18" t="s">
        <v>46</v>
      </c>
      <c r="L29" s="18" t="s">
        <v>78</v>
      </c>
      <c r="M29" s="18">
        <v>11</v>
      </c>
      <c r="N29" s="18">
        <v>1200</v>
      </c>
      <c r="O29" s="18">
        <v>0</v>
      </c>
      <c r="P29" s="18">
        <v>13200</v>
      </c>
      <c r="Q29" s="18">
        <v>2</v>
      </c>
      <c r="R29" s="18" t="s">
        <v>88</v>
      </c>
      <c r="S29" s="18" t="s">
        <v>151</v>
      </c>
      <c r="T29" s="18" t="s">
        <v>50</v>
      </c>
      <c r="U29" s="19" t="s">
        <v>244</v>
      </c>
      <c r="V29" s="18" t="s">
        <v>38</v>
      </c>
    </row>
    <row r="30" spans="1:22">
      <c r="A30" s="15" t="s">
        <v>245</v>
      </c>
      <c r="B30" s="15" t="s">
        <v>127</v>
      </c>
      <c r="C30" s="15" t="s">
        <v>169</v>
      </c>
      <c r="D30" s="15" t="s">
        <v>246</v>
      </c>
      <c r="E30" s="15" t="s">
        <v>247</v>
      </c>
      <c r="F30" s="15" t="s">
        <v>200</v>
      </c>
      <c r="G30" s="15" t="s">
        <v>76</v>
      </c>
      <c r="H30" s="15" t="s">
        <v>248</v>
      </c>
      <c r="I30" s="15" t="s">
        <v>114</v>
      </c>
      <c r="J30" s="15" t="s">
        <v>106</v>
      </c>
      <c r="K30" s="15" t="s">
        <v>32</v>
      </c>
      <c r="L30" s="15" t="s">
        <v>174</v>
      </c>
      <c r="M30" s="15">
        <v>6</v>
      </c>
      <c r="N30" s="15">
        <v>8500</v>
      </c>
      <c r="O30" s="15">
        <v>65</v>
      </c>
      <c r="P30" s="15">
        <v>51000</v>
      </c>
      <c r="Q30" s="15">
        <v>1</v>
      </c>
      <c r="R30" s="15" t="s">
        <v>79</v>
      </c>
      <c r="S30" s="15" t="s">
        <v>61</v>
      </c>
      <c r="T30" s="15" t="s">
        <v>132</v>
      </c>
      <c r="U30" s="17" t="s">
        <v>249</v>
      </c>
      <c r="V30" s="15" t="s">
        <v>38</v>
      </c>
    </row>
    <row r="31" spans="1:22">
      <c r="A31" s="18" t="s">
        <v>250</v>
      </c>
      <c r="B31" s="18" t="s">
        <v>251</v>
      </c>
      <c r="C31" s="18" t="s">
        <v>118</v>
      </c>
      <c r="D31" s="18" t="s">
        <v>252</v>
      </c>
      <c r="E31" s="18" t="s">
        <v>253</v>
      </c>
      <c r="F31" s="18" t="s">
        <v>254</v>
      </c>
      <c r="G31" s="18" t="s">
        <v>28</v>
      </c>
      <c r="H31" s="18" t="s">
        <v>255</v>
      </c>
      <c r="I31" s="18" t="s">
        <v>114</v>
      </c>
      <c r="J31" s="18" t="s">
        <v>106</v>
      </c>
      <c r="K31" s="18" t="s">
        <v>122</v>
      </c>
      <c r="L31" s="18" t="s">
        <v>123</v>
      </c>
      <c r="M31" s="18">
        <v>2</v>
      </c>
      <c r="N31" s="18">
        <v>60</v>
      </c>
      <c r="O31" s="18">
        <v>5</v>
      </c>
      <c r="P31" s="18">
        <v>114</v>
      </c>
      <c r="Q31" s="18">
        <v>3</v>
      </c>
      <c r="R31" s="18" t="s">
        <v>34</v>
      </c>
      <c r="S31" s="18" t="s">
        <v>151</v>
      </c>
      <c r="T31" s="18" t="s">
        <v>256</v>
      </c>
      <c r="U31" s="19" t="s">
        <v>257</v>
      </c>
      <c r="V31" s="18" t="s">
        <v>69</v>
      </c>
    </row>
    <row r="32" spans="1:22">
      <c r="A32" s="15" t="s">
        <v>258</v>
      </c>
      <c r="B32" s="15" t="s">
        <v>23</v>
      </c>
      <c r="C32" s="15" t="s">
        <v>259</v>
      </c>
      <c r="D32" s="15" t="s">
        <v>260</v>
      </c>
      <c r="E32" s="15" t="s">
        <v>261</v>
      </c>
      <c r="F32" s="15" t="s">
        <v>27</v>
      </c>
      <c r="G32" s="15" t="s">
        <v>28</v>
      </c>
      <c r="H32" s="15" t="s">
        <v>262</v>
      </c>
      <c r="I32" s="15" t="s">
        <v>59</v>
      </c>
      <c r="J32" s="15" t="s">
        <v>31</v>
      </c>
      <c r="K32" s="15" t="s">
        <v>122</v>
      </c>
      <c r="L32" s="15" t="s">
        <v>263</v>
      </c>
      <c r="M32" s="15">
        <v>19</v>
      </c>
      <c r="N32" s="15">
        <v>45</v>
      </c>
      <c r="O32" s="15">
        <v>20</v>
      </c>
      <c r="P32" s="15">
        <v>684</v>
      </c>
      <c r="Q32" s="15">
        <v>4</v>
      </c>
      <c r="R32" s="15" t="s">
        <v>48</v>
      </c>
      <c r="S32" s="15" t="s">
        <v>61</v>
      </c>
      <c r="T32" s="15" t="s">
        <v>50</v>
      </c>
      <c r="U32" s="17" t="s">
        <v>264</v>
      </c>
      <c r="V32" s="15" t="s">
        <v>69</v>
      </c>
    </row>
    <row r="33" spans="1:22">
      <c r="A33" s="18" t="s">
        <v>265</v>
      </c>
      <c r="B33" s="18" t="s">
        <v>100</v>
      </c>
      <c r="C33" s="18" t="s">
        <v>40</v>
      </c>
      <c r="D33" s="18" t="s">
        <v>266</v>
      </c>
      <c r="E33" s="18" t="s">
        <v>267</v>
      </c>
      <c r="F33" s="18" t="s">
        <v>268</v>
      </c>
      <c r="G33" s="18" t="s">
        <v>28</v>
      </c>
      <c r="H33" s="18" t="s">
        <v>269</v>
      </c>
      <c r="I33" s="18" t="s">
        <v>138</v>
      </c>
      <c r="J33" s="18" t="s">
        <v>106</v>
      </c>
      <c r="K33" s="18" t="s">
        <v>46</v>
      </c>
      <c r="L33" s="18" t="s">
        <v>47</v>
      </c>
      <c r="M33" s="18">
        <v>11</v>
      </c>
      <c r="N33" s="18">
        <v>12000</v>
      </c>
      <c r="O33" s="18">
        <v>0</v>
      </c>
      <c r="P33" s="18">
        <v>132000</v>
      </c>
      <c r="Q33" s="18">
        <v>3</v>
      </c>
      <c r="R33" s="18" t="s">
        <v>88</v>
      </c>
      <c r="S33" s="18" t="s">
        <v>35</v>
      </c>
      <c r="T33" s="18" t="s">
        <v>144</v>
      </c>
      <c r="U33" s="19" t="s">
        <v>270</v>
      </c>
      <c r="V33" s="18" t="s">
        <v>64</v>
      </c>
    </row>
    <row r="34" spans="1:22">
      <c r="A34" s="15" t="s">
        <v>271</v>
      </c>
      <c r="B34" s="15" t="s">
        <v>251</v>
      </c>
      <c r="C34" s="15" t="s">
        <v>24</v>
      </c>
      <c r="D34" s="15" t="s">
        <v>272</v>
      </c>
      <c r="E34" s="15" t="s">
        <v>136</v>
      </c>
      <c r="F34" s="15" t="s">
        <v>254</v>
      </c>
      <c r="G34" s="15" t="s">
        <v>28</v>
      </c>
      <c r="H34" s="15" t="s">
        <v>273</v>
      </c>
      <c r="I34" s="15" t="s">
        <v>59</v>
      </c>
      <c r="J34" s="15" t="s">
        <v>31</v>
      </c>
      <c r="K34" s="15" t="s">
        <v>32</v>
      </c>
      <c r="L34" s="15" t="s">
        <v>33</v>
      </c>
      <c r="M34" s="15">
        <v>20</v>
      </c>
      <c r="N34" s="15">
        <v>2200</v>
      </c>
      <c r="O34" s="15">
        <v>5</v>
      </c>
      <c r="P34" s="15">
        <v>41800</v>
      </c>
      <c r="Q34" s="15">
        <v>1</v>
      </c>
      <c r="R34" s="15" t="s">
        <v>34</v>
      </c>
      <c r="S34" s="15" t="s">
        <v>49</v>
      </c>
      <c r="T34" s="15" t="s">
        <v>256</v>
      </c>
      <c r="U34" s="17" t="s">
        <v>274</v>
      </c>
      <c r="V34" s="15" t="s">
        <v>64</v>
      </c>
    </row>
    <row r="35" spans="1:22">
      <c r="A35" s="18" t="s">
        <v>275</v>
      </c>
      <c r="B35" s="18" t="s">
        <v>83</v>
      </c>
      <c r="C35" s="18" t="s">
        <v>222</v>
      </c>
      <c r="D35" s="18" t="s">
        <v>231</v>
      </c>
      <c r="E35" s="18" t="s">
        <v>276</v>
      </c>
      <c r="F35" s="18" t="s">
        <v>180</v>
      </c>
      <c r="G35" s="18" t="s">
        <v>76</v>
      </c>
      <c r="H35" s="18" t="s">
        <v>277</v>
      </c>
      <c r="I35" s="18" t="s">
        <v>138</v>
      </c>
      <c r="J35" s="18" t="s">
        <v>106</v>
      </c>
      <c r="K35" s="18" t="s">
        <v>122</v>
      </c>
      <c r="L35" s="18" t="s">
        <v>227</v>
      </c>
      <c r="M35" s="18">
        <v>3</v>
      </c>
      <c r="N35" s="18">
        <v>20</v>
      </c>
      <c r="O35" s="18">
        <v>0</v>
      </c>
      <c r="P35" s="18">
        <v>60</v>
      </c>
      <c r="Q35" s="18">
        <v>2</v>
      </c>
      <c r="R35" s="18" t="s">
        <v>79</v>
      </c>
      <c r="S35" s="18" t="s">
        <v>35</v>
      </c>
      <c r="T35" s="18" t="s">
        <v>278</v>
      </c>
      <c r="U35" s="19" t="s">
        <v>279</v>
      </c>
      <c r="V35" s="18" t="s">
        <v>69</v>
      </c>
    </row>
    <row r="36" spans="1:22">
      <c r="A36" s="15" t="s">
        <v>280</v>
      </c>
      <c r="B36" s="15" t="s">
        <v>127</v>
      </c>
      <c r="C36" s="15" t="s">
        <v>259</v>
      </c>
      <c r="D36" s="15" t="s">
        <v>281</v>
      </c>
      <c r="E36" s="15" t="s">
        <v>282</v>
      </c>
      <c r="F36" s="15" t="s">
        <v>200</v>
      </c>
      <c r="G36" s="15" t="s">
        <v>76</v>
      </c>
      <c r="H36" s="15" t="s">
        <v>283</v>
      </c>
      <c r="I36" s="15" t="s">
        <v>114</v>
      </c>
      <c r="J36" s="15" t="s">
        <v>106</v>
      </c>
      <c r="K36" s="15" t="s">
        <v>122</v>
      </c>
      <c r="L36" s="15" t="s">
        <v>263</v>
      </c>
      <c r="M36" s="15">
        <v>18</v>
      </c>
      <c r="N36" s="15">
        <v>45</v>
      </c>
      <c r="O36" s="15">
        <v>20</v>
      </c>
      <c r="P36" s="15">
        <v>648</v>
      </c>
      <c r="Q36" s="15">
        <v>4</v>
      </c>
      <c r="R36" s="15" t="s">
        <v>48</v>
      </c>
      <c r="S36" s="15" t="s">
        <v>35</v>
      </c>
      <c r="T36" s="15" t="s">
        <v>132</v>
      </c>
      <c r="U36" s="17" t="s">
        <v>284</v>
      </c>
      <c r="V36" s="15" t="s">
        <v>69</v>
      </c>
    </row>
    <row r="37" spans="1:22">
      <c r="A37" s="18" t="s">
        <v>285</v>
      </c>
      <c r="B37" s="18" t="s">
        <v>127</v>
      </c>
      <c r="C37" s="18" t="s">
        <v>72</v>
      </c>
      <c r="D37" s="18" t="s">
        <v>286</v>
      </c>
      <c r="E37" s="18" t="s">
        <v>287</v>
      </c>
      <c r="F37" s="18" t="s">
        <v>200</v>
      </c>
      <c r="G37" s="18" t="s">
        <v>76</v>
      </c>
      <c r="H37" s="18" t="s">
        <v>288</v>
      </c>
      <c r="I37" s="18" t="s">
        <v>59</v>
      </c>
      <c r="J37" s="18" t="s">
        <v>31</v>
      </c>
      <c r="K37" s="18" t="s">
        <v>46</v>
      </c>
      <c r="L37" s="18" t="s">
        <v>78</v>
      </c>
      <c r="M37" s="18">
        <v>4</v>
      </c>
      <c r="N37" s="18">
        <v>1200</v>
      </c>
      <c r="O37" s="18">
        <v>20</v>
      </c>
      <c r="P37" s="18">
        <v>3840</v>
      </c>
      <c r="Q37" s="18">
        <v>3</v>
      </c>
      <c r="R37" s="18" t="s">
        <v>48</v>
      </c>
      <c r="S37" s="18" t="s">
        <v>61</v>
      </c>
      <c r="T37" s="18" t="s">
        <v>132</v>
      </c>
      <c r="U37" s="19" t="s">
        <v>289</v>
      </c>
      <c r="V37" s="18" t="s">
        <v>38</v>
      </c>
    </row>
    <row r="38" spans="1:22">
      <c r="A38" s="15" t="s">
        <v>290</v>
      </c>
      <c r="B38" s="15" t="s">
        <v>71</v>
      </c>
      <c r="C38" s="15" t="s">
        <v>54</v>
      </c>
      <c r="D38" s="15" t="s">
        <v>291</v>
      </c>
      <c r="E38" s="15" t="s">
        <v>292</v>
      </c>
      <c r="F38" s="15" t="s">
        <v>217</v>
      </c>
      <c r="G38" s="15" t="s">
        <v>76</v>
      </c>
      <c r="H38" s="15" t="s">
        <v>293</v>
      </c>
      <c r="I38" s="15" t="s">
        <v>294</v>
      </c>
      <c r="J38" s="15" t="s">
        <v>295</v>
      </c>
      <c r="K38" s="15" t="s">
        <v>46</v>
      </c>
      <c r="L38" s="15" t="s">
        <v>60</v>
      </c>
      <c r="M38" s="15">
        <v>10</v>
      </c>
      <c r="N38" s="15">
        <v>55000</v>
      </c>
      <c r="O38" s="15">
        <v>0</v>
      </c>
      <c r="P38" s="15">
        <v>550000</v>
      </c>
      <c r="Q38" s="15">
        <v>1</v>
      </c>
      <c r="R38" s="15" t="s">
        <v>88</v>
      </c>
      <c r="S38" s="15" t="s">
        <v>49</v>
      </c>
      <c r="T38" s="15" t="s">
        <v>80</v>
      </c>
      <c r="U38" s="17" t="s">
        <v>296</v>
      </c>
      <c r="V38" s="15" t="s">
        <v>69</v>
      </c>
    </row>
    <row r="39" spans="1:22">
      <c r="A39" s="18" t="s">
        <v>297</v>
      </c>
      <c r="B39" s="18" t="s">
        <v>251</v>
      </c>
      <c r="C39" s="18" t="s">
        <v>92</v>
      </c>
      <c r="D39" s="18" t="s">
        <v>298</v>
      </c>
      <c r="E39" s="18" t="s">
        <v>242</v>
      </c>
      <c r="F39" s="18" t="s">
        <v>254</v>
      </c>
      <c r="G39" s="18" t="s">
        <v>28</v>
      </c>
      <c r="H39" s="18" t="s">
        <v>299</v>
      </c>
      <c r="I39" s="18" t="s">
        <v>44</v>
      </c>
      <c r="J39" s="18" t="s">
        <v>45</v>
      </c>
      <c r="K39" s="18" t="s">
        <v>32</v>
      </c>
      <c r="L39" s="18" t="s">
        <v>97</v>
      </c>
      <c r="M39" s="18">
        <v>20</v>
      </c>
      <c r="N39" s="18">
        <v>3500</v>
      </c>
      <c r="O39" s="18">
        <v>10</v>
      </c>
      <c r="P39" s="18">
        <v>63000</v>
      </c>
      <c r="Q39" s="18">
        <v>3</v>
      </c>
      <c r="R39" s="18" t="s">
        <v>79</v>
      </c>
      <c r="S39" s="18" t="s">
        <v>49</v>
      </c>
      <c r="T39" s="18" t="s">
        <v>256</v>
      </c>
      <c r="U39" s="19" t="s">
        <v>300</v>
      </c>
      <c r="V39" s="18" t="s">
        <v>69</v>
      </c>
    </row>
    <row r="40" spans="1:22">
      <c r="A40" s="15" t="s">
        <v>301</v>
      </c>
      <c r="B40" s="15" t="s">
        <v>23</v>
      </c>
      <c r="C40" s="15" t="s">
        <v>222</v>
      </c>
      <c r="D40" s="15" t="s">
        <v>302</v>
      </c>
      <c r="E40" s="15" t="s">
        <v>303</v>
      </c>
      <c r="F40" s="15" t="s">
        <v>27</v>
      </c>
      <c r="G40" s="15" t="s">
        <v>28</v>
      </c>
      <c r="H40" s="15" t="s">
        <v>304</v>
      </c>
      <c r="I40" s="15" t="s">
        <v>114</v>
      </c>
      <c r="J40" s="15" t="s">
        <v>106</v>
      </c>
      <c r="K40" s="15" t="s">
        <v>122</v>
      </c>
      <c r="L40" s="15" t="s">
        <v>227</v>
      </c>
      <c r="M40" s="15">
        <v>5</v>
      </c>
      <c r="N40" s="15" t="s">
        <v>305</v>
      </c>
      <c r="O40" s="15">
        <v>0</v>
      </c>
      <c r="P40" s="15">
        <v>100</v>
      </c>
      <c r="Q40" s="15">
        <v>1</v>
      </c>
      <c r="R40" s="15" t="s">
        <v>34</v>
      </c>
      <c r="S40" s="15" t="s">
        <v>49</v>
      </c>
      <c r="T40" s="15" t="s">
        <v>50</v>
      </c>
      <c r="U40" s="17" t="s">
        <v>306</v>
      </c>
      <c r="V40" s="15" t="s">
        <v>69</v>
      </c>
    </row>
    <row r="41" spans="1:22">
      <c r="A41" s="18" t="s">
        <v>307</v>
      </c>
      <c r="B41" s="18" t="s">
        <v>53</v>
      </c>
      <c r="C41" s="18" t="s">
        <v>169</v>
      </c>
      <c r="D41" s="18" t="s">
        <v>308</v>
      </c>
      <c r="E41" s="18" t="s">
        <v>309</v>
      </c>
      <c r="F41" s="18" t="s">
        <v>163</v>
      </c>
      <c r="G41" s="18" t="s">
        <v>28</v>
      </c>
      <c r="H41" s="18" t="s">
        <v>310</v>
      </c>
      <c r="I41" s="18" t="s">
        <v>105</v>
      </c>
      <c r="J41" s="18" t="s">
        <v>106</v>
      </c>
      <c r="K41" s="18" t="s">
        <v>32</v>
      </c>
      <c r="L41" s="18" t="s">
        <v>174</v>
      </c>
      <c r="M41" s="18">
        <v>20</v>
      </c>
      <c r="N41" s="18">
        <v>8500</v>
      </c>
      <c r="O41" s="18">
        <v>0</v>
      </c>
      <c r="P41" s="18">
        <v>170000</v>
      </c>
      <c r="Q41" s="18">
        <v>1</v>
      </c>
      <c r="R41" s="18" t="s">
        <v>88</v>
      </c>
      <c r="S41" s="18" t="s">
        <v>115</v>
      </c>
      <c r="T41" s="18" t="s">
        <v>62</v>
      </c>
      <c r="U41" s="19" t="s">
        <v>311</v>
      </c>
      <c r="V41" s="18" t="s">
        <v>69</v>
      </c>
    </row>
    <row r="42" spans="1:22">
      <c r="A42" s="15" t="s">
        <v>312</v>
      </c>
      <c r="B42" s="15" t="s">
        <v>83</v>
      </c>
      <c r="C42" s="15" t="s">
        <v>118</v>
      </c>
      <c r="D42" s="15" t="s">
        <v>313</v>
      </c>
      <c r="E42" s="15" t="s">
        <v>314</v>
      </c>
      <c r="F42" s="15" t="s">
        <v>180</v>
      </c>
      <c r="G42" s="15" t="s">
        <v>76</v>
      </c>
      <c r="H42" s="15" t="s">
        <v>315</v>
      </c>
      <c r="I42" s="15" t="s">
        <v>59</v>
      </c>
      <c r="J42" s="15" t="s">
        <v>31</v>
      </c>
      <c r="K42" s="15" t="s">
        <v>122</v>
      </c>
      <c r="L42" s="15" t="s">
        <v>123</v>
      </c>
      <c r="M42" s="15">
        <v>8</v>
      </c>
      <c r="N42" s="15">
        <v>60</v>
      </c>
      <c r="O42" s="15">
        <v>15</v>
      </c>
      <c r="P42" s="15">
        <v>408</v>
      </c>
      <c r="Q42" s="15">
        <v>5</v>
      </c>
      <c r="R42" s="15" t="s">
        <v>88</v>
      </c>
      <c r="S42" s="15" t="s">
        <v>49</v>
      </c>
      <c r="T42" s="15" t="s">
        <v>89</v>
      </c>
      <c r="U42" s="17" t="s">
        <v>316</v>
      </c>
      <c r="V42" s="15" t="s">
        <v>64</v>
      </c>
    </row>
    <row r="43" spans="1:22">
      <c r="A43" s="18" t="s">
        <v>317</v>
      </c>
      <c r="B43" s="18" t="s">
        <v>53</v>
      </c>
      <c r="C43" s="18" t="s">
        <v>92</v>
      </c>
      <c r="D43" s="18" t="s">
        <v>318</v>
      </c>
      <c r="E43" s="18" t="s">
        <v>260</v>
      </c>
      <c r="F43" s="18" t="s">
        <v>163</v>
      </c>
      <c r="G43" s="18" t="s">
        <v>28</v>
      </c>
      <c r="H43" s="18" t="s">
        <v>319</v>
      </c>
      <c r="I43" s="18" t="s">
        <v>114</v>
      </c>
      <c r="J43" s="18" t="s">
        <v>106</v>
      </c>
      <c r="K43" s="18" t="s">
        <v>32</v>
      </c>
      <c r="L43" s="18" t="s">
        <v>97</v>
      </c>
      <c r="M43" s="18">
        <v>8</v>
      </c>
      <c r="N43" s="18">
        <v>3500</v>
      </c>
      <c r="O43" s="18">
        <v>5</v>
      </c>
      <c r="P43" s="18">
        <v>26600</v>
      </c>
      <c r="Q43" s="18">
        <v>1</v>
      </c>
      <c r="R43" s="18" t="s">
        <v>79</v>
      </c>
      <c r="S43" s="18" t="s">
        <v>115</v>
      </c>
      <c r="T43" s="18" t="s">
        <v>62</v>
      </c>
      <c r="U43" s="19" t="s">
        <v>320</v>
      </c>
      <c r="V43" s="18" t="s">
        <v>64</v>
      </c>
    </row>
    <row r="44" spans="1:22">
      <c r="A44" s="15" t="s">
        <v>321</v>
      </c>
      <c r="B44" s="15" t="s">
        <v>71</v>
      </c>
      <c r="C44" s="15" t="s">
        <v>169</v>
      </c>
      <c r="D44" s="15" t="s">
        <v>322</v>
      </c>
      <c r="E44" s="15" t="s">
        <v>323</v>
      </c>
      <c r="F44" s="15" t="s">
        <v>217</v>
      </c>
      <c r="G44" s="15" t="s">
        <v>76</v>
      </c>
      <c r="H44" s="15" t="s">
        <v>324</v>
      </c>
      <c r="I44" s="15" t="s">
        <v>212</v>
      </c>
      <c r="J44" s="15" t="s">
        <v>45</v>
      </c>
      <c r="K44" s="15" t="s">
        <v>32</v>
      </c>
      <c r="L44" s="15" t="s">
        <v>174</v>
      </c>
      <c r="M44" s="15">
        <v>1</v>
      </c>
      <c r="N44" s="15">
        <v>8500</v>
      </c>
      <c r="O44" s="15">
        <v>0</v>
      </c>
      <c r="P44" s="15">
        <v>8500</v>
      </c>
      <c r="Q44" s="15">
        <v>2</v>
      </c>
      <c r="R44" s="15" t="s">
        <v>79</v>
      </c>
      <c r="S44" s="15" t="s">
        <v>115</v>
      </c>
      <c r="T44" s="15" t="s">
        <v>80</v>
      </c>
      <c r="U44" s="17" t="s">
        <v>325</v>
      </c>
      <c r="V44" s="15" t="s">
        <v>64</v>
      </c>
    </row>
    <row r="45" spans="1:22">
      <c r="A45" s="18" t="s">
        <v>326</v>
      </c>
      <c r="B45" s="18" t="s">
        <v>327</v>
      </c>
      <c r="C45" s="18" t="s">
        <v>259</v>
      </c>
      <c r="D45" s="18" t="s">
        <v>328</v>
      </c>
      <c r="E45" s="18" t="s">
        <v>329</v>
      </c>
      <c r="F45" s="18" t="s">
        <v>330</v>
      </c>
      <c r="G45" s="18" t="s">
        <v>76</v>
      </c>
      <c r="H45" s="18" t="s">
        <v>331</v>
      </c>
      <c r="I45" s="18" t="s">
        <v>114</v>
      </c>
      <c r="J45" s="18" t="s">
        <v>106</v>
      </c>
      <c r="K45" s="18" t="s">
        <v>122</v>
      </c>
      <c r="L45" s="18" t="s">
        <v>263</v>
      </c>
      <c r="M45" s="18">
        <v>8</v>
      </c>
      <c r="N45" s="18">
        <v>45</v>
      </c>
      <c r="O45" s="18">
        <v>15</v>
      </c>
      <c r="P45" s="18">
        <v>306</v>
      </c>
      <c r="Q45" s="18">
        <v>2</v>
      </c>
      <c r="R45" s="18" t="s">
        <v>79</v>
      </c>
      <c r="S45" s="18" t="s">
        <v>61</v>
      </c>
      <c r="T45" s="18" t="s">
        <v>332</v>
      </c>
      <c r="U45" s="19" t="s">
        <v>333</v>
      </c>
      <c r="V45" s="18" t="s">
        <v>38</v>
      </c>
    </row>
    <row r="46" spans="1:22">
      <c r="A46" s="15" t="s">
        <v>334</v>
      </c>
      <c r="B46" s="15" t="s">
        <v>251</v>
      </c>
      <c r="C46" s="15" t="s">
        <v>24</v>
      </c>
      <c r="D46" s="15" t="s">
        <v>335</v>
      </c>
      <c r="E46" s="15" t="s">
        <v>336</v>
      </c>
      <c r="F46" s="15" t="s">
        <v>254</v>
      </c>
      <c r="G46" s="15" t="s">
        <v>28</v>
      </c>
      <c r="H46" s="15" t="s">
        <v>337</v>
      </c>
      <c r="I46" s="15" t="s">
        <v>114</v>
      </c>
      <c r="J46" s="15" t="s">
        <v>106</v>
      </c>
      <c r="K46" s="15" t="s">
        <v>32</v>
      </c>
      <c r="L46" s="15" t="s">
        <v>33</v>
      </c>
      <c r="M46" s="15">
        <v>16</v>
      </c>
      <c r="N46" s="15">
        <v>2200</v>
      </c>
      <c r="O46" s="15">
        <v>5</v>
      </c>
      <c r="P46" s="15">
        <v>33440</v>
      </c>
      <c r="Q46" s="15">
        <v>5</v>
      </c>
      <c r="R46" s="15" t="s">
        <v>79</v>
      </c>
      <c r="S46" s="15" t="s">
        <v>61</v>
      </c>
      <c r="T46" s="15" t="s">
        <v>256</v>
      </c>
      <c r="U46" s="17" t="s">
        <v>338</v>
      </c>
      <c r="V46" s="15" t="s">
        <v>69</v>
      </c>
    </row>
    <row r="47" spans="1:22">
      <c r="A47" s="18" t="s">
        <v>339</v>
      </c>
      <c r="B47" s="18" t="s">
        <v>71</v>
      </c>
      <c r="C47" s="18" t="s">
        <v>92</v>
      </c>
      <c r="D47" s="18" t="s">
        <v>340</v>
      </c>
      <c r="E47" s="18" t="s">
        <v>341</v>
      </c>
      <c r="F47" s="18" t="s">
        <v>217</v>
      </c>
      <c r="G47" s="18" t="s">
        <v>76</v>
      </c>
      <c r="H47" s="18" t="s">
        <v>342</v>
      </c>
      <c r="I47" s="18" t="s">
        <v>59</v>
      </c>
      <c r="J47" s="18" t="s">
        <v>31</v>
      </c>
      <c r="K47" s="18" t="s">
        <v>32</v>
      </c>
      <c r="L47" s="18" t="s">
        <v>97</v>
      </c>
      <c r="M47" s="18">
        <v>19</v>
      </c>
      <c r="N47" s="18">
        <v>3500</v>
      </c>
      <c r="O47" s="18">
        <v>20</v>
      </c>
      <c r="P47" s="18">
        <v>53200</v>
      </c>
      <c r="Q47" s="18">
        <v>3</v>
      </c>
      <c r="R47" s="18" t="s">
        <v>34</v>
      </c>
      <c r="S47" s="18" t="s">
        <v>151</v>
      </c>
      <c r="T47" s="18" t="s">
        <v>80</v>
      </c>
      <c r="U47" s="19" t="s">
        <v>343</v>
      </c>
      <c r="V47" s="18" t="s">
        <v>69</v>
      </c>
    </row>
    <row r="48" spans="1:22">
      <c r="A48" s="15" t="s">
        <v>344</v>
      </c>
      <c r="B48" s="15" t="s">
        <v>251</v>
      </c>
      <c r="C48" s="15" t="s">
        <v>184</v>
      </c>
      <c r="D48" s="15" t="s">
        <v>345</v>
      </c>
      <c r="E48" s="15" t="s">
        <v>346</v>
      </c>
      <c r="F48" s="15" t="s">
        <v>254</v>
      </c>
      <c r="G48" s="15" t="s">
        <v>28</v>
      </c>
      <c r="H48" s="15" t="s">
        <v>347</v>
      </c>
      <c r="I48" s="15" t="s">
        <v>114</v>
      </c>
      <c r="J48" s="15" t="s">
        <v>106</v>
      </c>
      <c r="K48" s="15" t="s">
        <v>46</v>
      </c>
      <c r="L48" s="15" t="s">
        <v>189</v>
      </c>
      <c r="M48" s="15">
        <v>15</v>
      </c>
      <c r="N48" s="15">
        <v>700</v>
      </c>
      <c r="O48" s="15">
        <v>15</v>
      </c>
      <c r="P48" s="15">
        <v>8925</v>
      </c>
      <c r="Q48" s="15">
        <v>4</v>
      </c>
      <c r="R48" s="15" t="s">
        <v>88</v>
      </c>
      <c r="S48" s="15" t="s">
        <v>115</v>
      </c>
      <c r="T48" s="15" t="s">
        <v>348</v>
      </c>
      <c r="U48" s="17" t="s">
        <v>349</v>
      </c>
      <c r="V48" s="15" t="s">
        <v>38</v>
      </c>
    </row>
    <row r="49" spans="1:22">
      <c r="A49" s="18" t="s">
        <v>350</v>
      </c>
      <c r="B49" s="18" t="s">
        <v>251</v>
      </c>
      <c r="C49" s="18" t="s">
        <v>184</v>
      </c>
      <c r="D49" s="18" t="s">
        <v>351</v>
      </c>
      <c r="E49" s="18" t="s">
        <v>352</v>
      </c>
      <c r="F49" s="18" t="s">
        <v>254</v>
      </c>
      <c r="G49" s="18" t="s">
        <v>28</v>
      </c>
      <c r="H49" s="18" t="s">
        <v>353</v>
      </c>
      <c r="I49" s="18" t="s">
        <v>212</v>
      </c>
      <c r="J49" s="18" t="s">
        <v>45</v>
      </c>
      <c r="K49" s="18" t="s">
        <v>46</v>
      </c>
      <c r="L49" s="18" t="s">
        <v>189</v>
      </c>
      <c r="M49" s="18">
        <v>19</v>
      </c>
      <c r="N49" s="18">
        <v>700</v>
      </c>
      <c r="O49" s="18">
        <v>20</v>
      </c>
      <c r="P49" s="18">
        <v>10640</v>
      </c>
      <c r="Q49" s="18">
        <v>1</v>
      </c>
      <c r="R49" s="18" t="s">
        <v>34</v>
      </c>
      <c r="S49" s="18" t="s">
        <v>115</v>
      </c>
      <c r="T49" s="18" t="s">
        <v>256</v>
      </c>
      <c r="U49" s="19" t="s">
        <v>354</v>
      </c>
      <c r="V49" s="18" t="s">
        <v>38</v>
      </c>
    </row>
    <row r="50" spans="1:22">
      <c r="A50" s="15" t="s">
        <v>355</v>
      </c>
      <c r="B50" s="15" t="s">
        <v>71</v>
      </c>
      <c r="C50" s="15" t="s">
        <v>40</v>
      </c>
      <c r="D50" s="15" t="s">
        <v>356</v>
      </c>
      <c r="E50" s="15"/>
      <c r="F50" s="15" t="s">
        <v>217</v>
      </c>
      <c r="G50" s="15" t="s">
        <v>76</v>
      </c>
      <c r="H50" s="15" t="s">
        <v>357</v>
      </c>
      <c r="I50" s="15" t="s">
        <v>44</v>
      </c>
      <c r="J50" s="15" t="s">
        <v>45</v>
      </c>
      <c r="K50" s="15" t="s">
        <v>46</v>
      </c>
      <c r="L50" s="15" t="s">
        <v>47</v>
      </c>
      <c r="M50" s="15">
        <v>19</v>
      </c>
      <c r="N50" s="15">
        <v>12000</v>
      </c>
      <c r="O50" s="15">
        <v>0</v>
      </c>
      <c r="P50" s="15">
        <v>228000</v>
      </c>
      <c r="Q50" s="15">
        <v>1</v>
      </c>
      <c r="R50" s="15" t="s">
        <v>48</v>
      </c>
      <c r="S50" s="15" t="s">
        <v>61</v>
      </c>
      <c r="T50" s="15" t="s">
        <v>80</v>
      </c>
      <c r="U50" s="17" t="s">
        <v>358</v>
      </c>
      <c r="V50" s="15" t="s">
        <v>38</v>
      </c>
    </row>
    <row r="51" spans="1:22">
      <c r="A51" s="18" t="s">
        <v>359</v>
      </c>
      <c r="B51" s="18" t="s">
        <v>168</v>
      </c>
      <c r="C51" s="18" t="s">
        <v>72</v>
      </c>
      <c r="D51" s="18" t="s">
        <v>356</v>
      </c>
      <c r="E51" s="18" t="s">
        <v>360</v>
      </c>
      <c r="F51" s="18" t="s">
        <v>361</v>
      </c>
      <c r="G51" s="18" t="s">
        <v>28</v>
      </c>
      <c r="H51" s="18" t="s">
        <v>362</v>
      </c>
      <c r="I51" s="18" t="s">
        <v>114</v>
      </c>
      <c r="J51" s="18" t="s">
        <v>106</v>
      </c>
      <c r="K51" s="18" t="s">
        <v>46</v>
      </c>
      <c r="L51" s="18" t="s">
        <v>78</v>
      </c>
      <c r="M51" s="18">
        <v>6</v>
      </c>
      <c r="N51" s="18">
        <v>1200</v>
      </c>
      <c r="O51" s="18">
        <v>5</v>
      </c>
      <c r="P51" s="18">
        <v>6840</v>
      </c>
      <c r="Q51" s="18">
        <v>2</v>
      </c>
      <c r="R51" s="18" t="s">
        <v>34</v>
      </c>
      <c r="S51" s="18" t="s">
        <v>35</v>
      </c>
      <c r="T51" s="18" t="s">
        <v>175</v>
      </c>
      <c r="U51" s="19" t="s">
        <v>363</v>
      </c>
      <c r="V51" s="18" t="s">
        <v>64</v>
      </c>
    </row>
    <row r="52" spans="1:22">
      <c r="A52" s="15" t="s">
        <v>364</v>
      </c>
      <c r="B52" s="15" t="s">
        <v>53</v>
      </c>
      <c r="C52" s="15" t="s">
        <v>24</v>
      </c>
      <c r="D52" s="15" t="s">
        <v>365</v>
      </c>
      <c r="E52" s="15" t="s">
        <v>366</v>
      </c>
      <c r="F52" s="15" t="s">
        <v>367</v>
      </c>
      <c r="G52" s="15" t="s">
        <v>28</v>
      </c>
      <c r="H52" s="15" t="s">
        <v>368</v>
      </c>
      <c r="I52" s="15" t="s">
        <v>59</v>
      </c>
      <c r="J52" s="15" t="s">
        <v>31</v>
      </c>
      <c r="K52" s="15" t="s">
        <v>32</v>
      </c>
      <c r="L52" s="15" t="s">
        <v>33</v>
      </c>
      <c r="M52" s="15">
        <v>7</v>
      </c>
      <c r="N52" s="15">
        <v>2200</v>
      </c>
      <c r="O52" s="15">
        <v>15</v>
      </c>
      <c r="P52" s="15">
        <v>13090</v>
      </c>
      <c r="Q52" s="15">
        <v>1</v>
      </c>
      <c r="R52" s="15" t="s">
        <v>88</v>
      </c>
      <c r="S52" s="15" t="s">
        <v>61</v>
      </c>
      <c r="T52" s="15" t="s">
        <v>62</v>
      </c>
      <c r="U52" s="17" t="s">
        <v>369</v>
      </c>
      <c r="V52" s="15" t="s">
        <v>38</v>
      </c>
    </row>
    <row r="53" spans="1:22">
      <c r="A53" s="18" t="s">
        <v>370</v>
      </c>
      <c r="B53" s="18" t="s">
        <v>100</v>
      </c>
      <c r="C53" s="18" t="s">
        <v>118</v>
      </c>
      <c r="D53" s="18" t="s">
        <v>371</v>
      </c>
      <c r="E53" s="18" t="s">
        <v>372</v>
      </c>
      <c r="F53" s="18" t="s">
        <v>103</v>
      </c>
      <c r="G53" s="18" t="s">
        <v>28</v>
      </c>
      <c r="H53" s="18" t="s">
        <v>373</v>
      </c>
      <c r="I53" s="18" t="s">
        <v>212</v>
      </c>
      <c r="J53" s="18" t="s">
        <v>45</v>
      </c>
      <c r="K53" s="18" t="s">
        <v>122</v>
      </c>
      <c r="L53" s="18" t="s">
        <v>123</v>
      </c>
      <c r="M53" s="18">
        <v>8</v>
      </c>
      <c r="N53" s="18">
        <v>60</v>
      </c>
      <c r="O53" s="18">
        <v>10</v>
      </c>
      <c r="P53" s="18">
        <v>432</v>
      </c>
      <c r="Q53" s="18">
        <v>5</v>
      </c>
      <c r="R53" s="18" t="s">
        <v>79</v>
      </c>
      <c r="S53" s="18" t="s">
        <v>61</v>
      </c>
      <c r="T53" s="18" t="s">
        <v>144</v>
      </c>
      <c r="U53" s="19" t="s">
        <v>374</v>
      </c>
      <c r="V53" s="18" t="s">
        <v>69</v>
      </c>
    </row>
    <row r="54" spans="1:22">
      <c r="A54" s="15" t="s">
        <v>375</v>
      </c>
      <c r="B54" s="15" t="s">
        <v>221</v>
      </c>
      <c r="C54" s="15" t="s">
        <v>54</v>
      </c>
      <c r="D54" s="15" t="s">
        <v>376</v>
      </c>
      <c r="E54" s="15" t="s">
        <v>377</v>
      </c>
      <c r="F54" s="15" t="s">
        <v>225</v>
      </c>
      <c r="G54" s="15" t="s">
        <v>76</v>
      </c>
      <c r="H54" s="15" t="s">
        <v>378</v>
      </c>
      <c r="I54" s="15" t="s">
        <v>294</v>
      </c>
      <c r="J54" s="15" t="s">
        <v>295</v>
      </c>
      <c r="K54" s="15" t="s">
        <v>46</v>
      </c>
      <c r="L54" s="15" t="s">
        <v>60</v>
      </c>
      <c r="M54" s="15">
        <v>12</v>
      </c>
      <c r="N54" s="15">
        <v>55000</v>
      </c>
      <c r="O54" s="15">
        <v>5</v>
      </c>
      <c r="P54" s="15">
        <v>627000</v>
      </c>
      <c r="Q54" s="15">
        <v>2</v>
      </c>
      <c r="R54" s="15" t="s">
        <v>88</v>
      </c>
      <c r="S54" s="15" t="s">
        <v>49</v>
      </c>
      <c r="T54" s="15" t="s">
        <v>228</v>
      </c>
      <c r="U54" s="17" t="s">
        <v>379</v>
      </c>
      <c r="V54" s="15" t="s">
        <v>64</v>
      </c>
    </row>
    <row r="55" spans="1:22">
      <c r="A55" s="18" t="s">
        <v>380</v>
      </c>
      <c r="B55" s="18" t="s">
        <v>23</v>
      </c>
      <c r="C55" s="18" t="s">
        <v>184</v>
      </c>
      <c r="D55" s="18" t="s">
        <v>381</v>
      </c>
      <c r="E55" s="18" t="s">
        <v>382</v>
      </c>
      <c r="F55" s="18" t="s">
        <v>27</v>
      </c>
      <c r="G55" s="18" t="s">
        <v>28</v>
      </c>
      <c r="H55" s="18" t="s">
        <v>383</v>
      </c>
      <c r="I55" s="18" t="s">
        <v>212</v>
      </c>
      <c r="J55" s="18" t="s">
        <v>45</v>
      </c>
      <c r="K55" s="18" t="s">
        <v>46</v>
      </c>
      <c r="L55" s="18" t="s">
        <v>189</v>
      </c>
      <c r="M55" s="18">
        <v>3</v>
      </c>
      <c r="N55" s="18">
        <v>700</v>
      </c>
      <c r="O55" s="18">
        <v>0</v>
      </c>
      <c r="P55" s="18">
        <v>2100</v>
      </c>
      <c r="Q55" s="18">
        <v>3</v>
      </c>
      <c r="R55" s="18" t="s">
        <v>79</v>
      </c>
      <c r="S55" s="18" t="s">
        <v>151</v>
      </c>
      <c r="T55" s="18" t="s">
        <v>50</v>
      </c>
      <c r="U55" s="19" t="s">
        <v>384</v>
      </c>
      <c r="V55" s="18" t="s">
        <v>69</v>
      </c>
    </row>
    <row r="56" spans="1:22">
      <c r="A56" s="15" t="s">
        <v>385</v>
      </c>
      <c r="B56" s="15" t="s">
        <v>127</v>
      </c>
      <c r="C56" s="15" t="s">
        <v>118</v>
      </c>
      <c r="D56" s="15" t="s">
        <v>386</v>
      </c>
      <c r="E56" s="15" t="s">
        <v>387</v>
      </c>
      <c r="F56" s="15" t="s">
        <v>388</v>
      </c>
      <c r="G56" s="15" t="s">
        <v>76</v>
      </c>
      <c r="H56" s="15" t="s">
        <v>389</v>
      </c>
      <c r="I56" s="15" t="s">
        <v>138</v>
      </c>
      <c r="J56" s="15" t="s">
        <v>106</v>
      </c>
      <c r="K56" s="15" t="s">
        <v>122</v>
      </c>
      <c r="L56" s="15" t="s">
        <v>123</v>
      </c>
      <c r="M56" s="15">
        <v>19</v>
      </c>
      <c r="N56" s="15">
        <v>60</v>
      </c>
      <c r="O56" s="15">
        <v>15</v>
      </c>
      <c r="P56" s="15">
        <v>969</v>
      </c>
      <c r="Q56" s="15">
        <v>4</v>
      </c>
      <c r="R56" s="15" t="s">
        <v>79</v>
      </c>
      <c r="S56" s="15" t="s">
        <v>49</v>
      </c>
      <c r="T56" s="15" t="s">
        <v>132</v>
      </c>
      <c r="U56" s="17" t="s">
        <v>390</v>
      </c>
      <c r="V56" s="15" t="s">
        <v>69</v>
      </c>
    </row>
    <row r="57" spans="1:22">
      <c r="A57" s="18" t="s">
        <v>391</v>
      </c>
      <c r="B57" s="18" t="s">
        <v>327</v>
      </c>
      <c r="C57" s="18" t="s">
        <v>118</v>
      </c>
      <c r="D57" s="18" t="s">
        <v>392</v>
      </c>
      <c r="E57" s="18" t="s">
        <v>393</v>
      </c>
      <c r="F57" s="18" t="s">
        <v>394</v>
      </c>
      <c r="G57" s="18" t="s">
        <v>76</v>
      </c>
      <c r="H57" s="18" t="s">
        <v>395</v>
      </c>
      <c r="I57" s="18" t="s">
        <v>212</v>
      </c>
      <c r="J57" s="18" t="s">
        <v>45</v>
      </c>
      <c r="K57" s="18" t="s">
        <v>122</v>
      </c>
      <c r="L57" s="18" t="s">
        <v>123</v>
      </c>
      <c r="M57" s="18">
        <v>9</v>
      </c>
      <c r="N57" s="18">
        <v>60</v>
      </c>
      <c r="O57" s="18">
        <v>20</v>
      </c>
      <c r="P57" s="18">
        <v>432</v>
      </c>
      <c r="Q57" s="18">
        <v>1</v>
      </c>
      <c r="R57" s="18" t="s">
        <v>48</v>
      </c>
      <c r="S57" s="18" t="s">
        <v>115</v>
      </c>
      <c r="T57" s="18" t="s">
        <v>332</v>
      </c>
      <c r="U57" s="19" t="s">
        <v>396</v>
      </c>
      <c r="V57" s="18" t="s">
        <v>64</v>
      </c>
    </row>
    <row r="58" spans="1:22">
      <c r="A58" s="15" t="s">
        <v>397</v>
      </c>
      <c r="B58" s="15" t="s">
        <v>327</v>
      </c>
      <c r="C58" s="15" t="s">
        <v>184</v>
      </c>
      <c r="D58" s="15" t="s">
        <v>398</v>
      </c>
      <c r="E58" s="15" t="s">
        <v>399</v>
      </c>
      <c r="F58" s="15" t="s">
        <v>394</v>
      </c>
      <c r="G58" s="15" t="s">
        <v>76</v>
      </c>
      <c r="H58" s="15" t="s">
        <v>400</v>
      </c>
      <c r="I58" s="15" t="s">
        <v>59</v>
      </c>
      <c r="J58" s="15" t="s">
        <v>31</v>
      </c>
      <c r="K58" s="15" t="s">
        <v>46</v>
      </c>
      <c r="L58" s="15" t="s">
        <v>189</v>
      </c>
      <c r="M58" s="15">
        <v>6</v>
      </c>
      <c r="N58" s="15">
        <v>700</v>
      </c>
      <c r="O58" s="15">
        <v>0</v>
      </c>
      <c r="P58" s="15">
        <v>4200</v>
      </c>
      <c r="Q58" s="15">
        <v>4</v>
      </c>
      <c r="R58" s="15" t="s">
        <v>88</v>
      </c>
      <c r="S58" s="15" t="s">
        <v>49</v>
      </c>
      <c r="T58" s="15" t="s">
        <v>401</v>
      </c>
      <c r="U58" s="17" t="s">
        <v>402</v>
      </c>
      <c r="V58" s="15" t="s">
        <v>69</v>
      </c>
    </row>
    <row r="59" spans="1:22">
      <c r="A59" s="18" t="s">
        <v>403</v>
      </c>
      <c r="B59" s="18" t="s">
        <v>127</v>
      </c>
      <c r="C59" s="18" t="s">
        <v>259</v>
      </c>
      <c r="D59" s="18" t="s">
        <v>241</v>
      </c>
      <c r="E59" s="18" t="s">
        <v>404</v>
      </c>
      <c r="F59" s="18" t="s">
        <v>200</v>
      </c>
      <c r="G59" s="18" t="s">
        <v>76</v>
      </c>
      <c r="H59" s="18" t="s">
        <v>405</v>
      </c>
      <c r="I59" s="18" t="s">
        <v>44</v>
      </c>
      <c r="J59" s="18" t="s">
        <v>45</v>
      </c>
      <c r="K59" s="18" t="s">
        <v>122</v>
      </c>
      <c r="L59" s="18" t="s">
        <v>263</v>
      </c>
      <c r="M59" s="18">
        <v>18</v>
      </c>
      <c r="N59" s="18">
        <v>45</v>
      </c>
      <c r="O59" s="18">
        <v>5</v>
      </c>
      <c r="P59" s="18">
        <v>769.5</v>
      </c>
      <c r="Q59" s="18">
        <v>1</v>
      </c>
      <c r="R59" s="18" t="s">
        <v>79</v>
      </c>
      <c r="S59" s="18" t="s">
        <v>61</v>
      </c>
      <c r="T59" s="18" t="s">
        <v>132</v>
      </c>
      <c r="U59" s="19" t="s">
        <v>406</v>
      </c>
      <c r="V59" s="18" t="s">
        <v>64</v>
      </c>
    </row>
    <row r="60" spans="1:22">
      <c r="A60" s="15" t="s">
        <v>407</v>
      </c>
      <c r="B60" s="15" t="s">
        <v>83</v>
      </c>
      <c r="C60" s="15" t="s">
        <v>222</v>
      </c>
      <c r="D60" s="15" t="s">
        <v>408</v>
      </c>
      <c r="E60" s="15" t="s">
        <v>261</v>
      </c>
      <c r="F60" s="15" t="s">
        <v>180</v>
      </c>
      <c r="G60" s="15" t="s">
        <v>76</v>
      </c>
      <c r="H60" s="15" t="s">
        <v>409</v>
      </c>
      <c r="I60" s="15" t="s">
        <v>212</v>
      </c>
      <c r="J60" s="15" t="s">
        <v>45</v>
      </c>
      <c r="K60" s="15" t="s">
        <v>122</v>
      </c>
      <c r="L60" s="15" t="s">
        <v>227</v>
      </c>
      <c r="M60" s="15">
        <v>8</v>
      </c>
      <c r="N60" s="15">
        <v>20</v>
      </c>
      <c r="O60" s="15">
        <v>5</v>
      </c>
      <c r="P60" s="15">
        <v>152</v>
      </c>
      <c r="Q60" s="15">
        <v>1</v>
      </c>
      <c r="R60" s="15" t="s">
        <v>79</v>
      </c>
      <c r="S60" s="15" t="s">
        <v>35</v>
      </c>
      <c r="T60" s="15" t="s">
        <v>89</v>
      </c>
      <c r="U60" s="17" t="s">
        <v>410</v>
      </c>
      <c r="V60" s="15" t="s">
        <v>411</v>
      </c>
    </row>
    <row r="61" spans="1:22">
      <c r="A61" s="18" t="s">
        <v>412</v>
      </c>
      <c r="B61" s="18" t="s">
        <v>221</v>
      </c>
      <c r="C61" s="18" t="s">
        <v>184</v>
      </c>
      <c r="D61" s="18" t="s">
        <v>413</v>
      </c>
      <c r="E61" s="18" t="s">
        <v>414</v>
      </c>
      <c r="F61" s="18" t="s">
        <v>225</v>
      </c>
      <c r="G61" s="18" t="s">
        <v>76</v>
      </c>
      <c r="H61" s="18" t="s">
        <v>415</v>
      </c>
      <c r="I61" s="18" t="s">
        <v>212</v>
      </c>
      <c r="J61" s="18" t="s">
        <v>45</v>
      </c>
      <c r="K61" s="18" t="s">
        <v>46</v>
      </c>
      <c r="L61" s="18" t="s">
        <v>189</v>
      </c>
      <c r="M61" s="18">
        <v>8</v>
      </c>
      <c r="N61" s="18">
        <v>700</v>
      </c>
      <c r="O61" s="18">
        <v>10</v>
      </c>
      <c r="P61" s="18">
        <v>5040</v>
      </c>
      <c r="Q61" s="18">
        <v>1</v>
      </c>
      <c r="R61" s="18" t="s">
        <v>48</v>
      </c>
      <c r="S61" s="18" t="s">
        <v>61</v>
      </c>
      <c r="T61" s="20" t="s">
        <v>416</v>
      </c>
      <c r="U61" s="19" t="s">
        <v>417</v>
      </c>
      <c r="V61" s="18" t="s">
        <v>69</v>
      </c>
    </row>
    <row r="62" spans="1:22">
      <c r="A62" s="15" t="s">
        <v>418</v>
      </c>
      <c r="B62" s="15" t="s">
        <v>23</v>
      </c>
      <c r="C62" s="15" t="s">
        <v>222</v>
      </c>
      <c r="D62" s="15" t="s">
        <v>223</v>
      </c>
      <c r="E62" s="15" t="s">
        <v>356</v>
      </c>
      <c r="F62" s="15" t="s">
        <v>27</v>
      </c>
      <c r="G62" s="15" t="s">
        <v>28</v>
      </c>
      <c r="H62" s="15" t="s">
        <v>419</v>
      </c>
      <c r="I62" s="15" t="s">
        <v>44</v>
      </c>
      <c r="J62" s="15" t="s">
        <v>45</v>
      </c>
      <c r="K62" s="15" t="s">
        <v>122</v>
      </c>
      <c r="L62" s="15" t="s">
        <v>227</v>
      </c>
      <c r="M62" s="15">
        <v>7</v>
      </c>
      <c r="N62" s="15">
        <v>20</v>
      </c>
      <c r="O62" s="15">
        <v>15</v>
      </c>
      <c r="P62" s="15">
        <v>119</v>
      </c>
      <c r="Q62" s="15">
        <v>5</v>
      </c>
      <c r="R62" s="15" t="s">
        <v>79</v>
      </c>
      <c r="S62" s="15" t="s">
        <v>49</v>
      </c>
      <c r="T62" s="15" t="s">
        <v>50</v>
      </c>
      <c r="U62" s="17" t="s">
        <v>420</v>
      </c>
      <c r="V62" s="15" t="s">
        <v>38</v>
      </c>
    </row>
    <row r="63" spans="1:22">
      <c r="A63" s="18" t="s">
        <v>421</v>
      </c>
      <c r="B63" s="18" t="s">
        <v>100</v>
      </c>
      <c r="C63" s="18" t="s">
        <v>222</v>
      </c>
      <c r="D63" s="18" t="s">
        <v>422</v>
      </c>
      <c r="E63" s="18" t="s">
        <v>371</v>
      </c>
      <c r="F63" s="18" t="s">
        <v>103</v>
      </c>
      <c r="G63" s="18" t="s">
        <v>28</v>
      </c>
      <c r="H63" s="18" t="s">
        <v>423</v>
      </c>
      <c r="I63" s="18" t="s">
        <v>114</v>
      </c>
      <c r="J63" s="18" t="s">
        <v>106</v>
      </c>
      <c r="K63" s="18" t="s">
        <v>122</v>
      </c>
      <c r="L63" s="18" t="s">
        <v>227</v>
      </c>
      <c r="M63" s="18">
        <v>16</v>
      </c>
      <c r="N63" s="18">
        <v>20</v>
      </c>
      <c r="O63" s="18">
        <v>0</v>
      </c>
      <c r="P63" s="18">
        <v>320</v>
      </c>
      <c r="Q63" s="18">
        <v>5</v>
      </c>
      <c r="R63" s="18" t="s">
        <v>48</v>
      </c>
      <c r="S63" s="18" t="s">
        <v>61</v>
      </c>
      <c r="T63" s="18" t="s">
        <v>144</v>
      </c>
      <c r="U63" s="19" t="s">
        <v>424</v>
      </c>
      <c r="V63" s="18" t="s">
        <v>64</v>
      </c>
    </row>
    <row r="64" spans="1:22">
      <c r="A64" s="15" t="s">
        <v>425</v>
      </c>
      <c r="B64" s="15" t="s">
        <v>53</v>
      </c>
      <c r="C64" s="15" t="s">
        <v>259</v>
      </c>
      <c r="D64" s="15" t="s">
        <v>426</v>
      </c>
      <c r="E64" s="15" t="s">
        <v>427</v>
      </c>
      <c r="F64" s="15" t="s">
        <v>163</v>
      </c>
      <c r="G64" s="15" t="s">
        <v>28</v>
      </c>
      <c r="H64" s="15" t="s">
        <v>428</v>
      </c>
      <c r="I64" s="15" t="s">
        <v>105</v>
      </c>
      <c r="J64" s="15" t="s">
        <v>106</v>
      </c>
      <c r="K64" s="15" t="s">
        <v>122</v>
      </c>
      <c r="L64" s="15" t="s">
        <v>263</v>
      </c>
      <c r="M64" s="15">
        <v>15</v>
      </c>
      <c r="N64" s="15">
        <v>45</v>
      </c>
      <c r="O64" s="15">
        <v>0</v>
      </c>
      <c r="P64" s="15">
        <v>675</v>
      </c>
      <c r="Q64" s="15">
        <v>4</v>
      </c>
      <c r="R64" s="15" t="s">
        <v>34</v>
      </c>
      <c r="S64" s="15" t="s">
        <v>61</v>
      </c>
      <c r="T64" s="15" t="s">
        <v>62</v>
      </c>
      <c r="U64" s="17" t="s">
        <v>429</v>
      </c>
      <c r="V64" s="15" t="s">
        <v>69</v>
      </c>
    </row>
    <row r="65" spans="1:22">
      <c r="A65" s="18" t="s">
        <v>430</v>
      </c>
      <c r="B65" s="18" t="s">
        <v>251</v>
      </c>
      <c r="C65" s="18" t="s">
        <v>184</v>
      </c>
      <c r="D65" s="18" t="s">
        <v>431</v>
      </c>
      <c r="E65" s="18" t="s">
        <v>413</v>
      </c>
      <c r="F65" s="18" t="s">
        <v>254</v>
      </c>
      <c r="G65" s="18" t="s">
        <v>28</v>
      </c>
      <c r="H65" s="18" t="s">
        <v>432</v>
      </c>
      <c r="I65" s="18" t="s">
        <v>138</v>
      </c>
      <c r="J65" s="18" t="s">
        <v>106</v>
      </c>
      <c r="K65" s="18" t="s">
        <v>46</v>
      </c>
      <c r="L65" s="18" t="s">
        <v>189</v>
      </c>
      <c r="M65" s="18">
        <v>15</v>
      </c>
      <c r="N65" s="18">
        <v>700</v>
      </c>
      <c r="O65" s="18">
        <v>10</v>
      </c>
      <c r="P65" s="18">
        <v>9450</v>
      </c>
      <c r="Q65" s="18">
        <v>3</v>
      </c>
      <c r="R65" s="18" t="s">
        <v>48</v>
      </c>
      <c r="S65" s="18" t="s">
        <v>151</v>
      </c>
      <c r="T65" s="18" t="s">
        <v>256</v>
      </c>
      <c r="U65" s="19" t="s">
        <v>433</v>
      </c>
      <c r="V65" s="18" t="s">
        <v>38</v>
      </c>
    </row>
    <row r="66" spans="1:22">
      <c r="A66" s="15" t="s">
        <v>434</v>
      </c>
      <c r="B66" s="15" t="s">
        <v>53</v>
      </c>
      <c r="C66" s="15" t="s">
        <v>259</v>
      </c>
      <c r="D66" s="15" t="s">
        <v>435</v>
      </c>
      <c r="E66" s="15" t="s">
        <v>436</v>
      </c>
      <c r="F66" s="15" t="s">
        <v>163</v>
      </c>
      <c r="G66" s="15" t="s">
        <v>28</v>
      </c>
      <c r="H66" s="15" t="s">
        <v>437</v>
      </c>
      <c r="I66" s="15" t="s">
        <v>294</v>
      </c>
      <c r="J66" s="15" t="s">
        <v>295</v>
      </c>
      <c r="K66" s="15" t="s">
        <v>122</v>
      </c>
      <c r="L66" s="15" t="s">
        <v>263</v>
      </c>
      <c r="M66" s="15">
        <v>3</v>
      </c>
      <c r="N66" s="15">
        <v>45</v>
      </c>
      <c r="O66" s="15">
        <v>15</v>
      </c>
      <c r="P66" s="15">
        <v>114.75</v>
      </c>
      <c r="Q66" s="15">
        <v>2</v>
      </c>
      <c r="R66" s="15" t="s">
        <v>88</v>
      </c>
      <c r="S66" s="15" t="s">
        <v>115</v>
      </c>
      <c r="T66" s="15" t="s">
        <v>62</v>
      </c>
      <c r="U66" s="17" t="s">
        <v>438</v>
      </c>
      <c r="V66" s="15" t="s">
        <v>64</v>
      </c>
    </row>
    <row r="67" spans="1:22">
      <c r="A67" s="18" t="s">
        <v>439</v>
      </c>
      <c r="B67" s="18" t="s">
        <v>100</v>
      </c>
      <c r="C67" s="18" t="s">
        <v>24</v>
      </c>
      <c r="D67" s="18" t="s">
        <v>440</v>
      </c>
      <c r="E67" s="18" t="s">
        <v>441</v>
      </c>
      <c r="F67" s="18" t="s">
        <v>103</v>
      </c>
      <c r="G67" s="18" t="s">
        <v>28</v>
      </c>
      <c r="H67" s="18" t="s">
        <v>442</v>
      </c>
      <c r="I67" s="18" t="s">
        <v>294</v>
      </c>
      <c r="J67" s="18" t="s">
        <v>295</v>
      </c>
      <c r="K67" s="18" t="s">
        <v>32</v>
      </c>
      <c r="L67" s="18" t="s">
        <v>33</v>
      </c>
      <c r="M67" s="18">
        <v>7</v>
      </c>
      <c r="N67" s="18">
        <v>2200</v>
      </c>
      <c r="O67" s="18">
        <v>15</v>
      </c>
      <c r="P67" s="18">
        <v>13090</v>
      </c>
      <c r="Q67" s="18">
        <v>5</v>
      </c>
      <c r="R67" s="18" t="s">
        <v>88</v>
      </c>
      <c r="S67" s="18" t="s">
        <v>115</v>
      </c>
      <c r="T67" s="18" t="s">
        <v>144</v>
      </c>
      <c r="U67" s="19" t="s">
        <v>443</v>
      </c>
      <c r="V67" s="18" t="s">
        <v>38</v>
      </c>
    </row>
    <row r="68" spans="1:22">
      <c r="A68" s="15" t="s">
        <v>444</v>
      </c>
      <c r="B68" s="15" t="s">
        <v>23</v>
      </c>
      <c r="C68" s="15" t="s">
        <v>259</v>
      </c>
      <c r="D68" s="15" t="s">
        <v>445</v>
      </c>
      <c r="E68" s="15" t="s">
        <v>446</v>
      </c>
      <c r="F68" s="15" t="s">
        <v>27</v>
      </c>
      <c r="G68" s="15" t="s">
        <v>28</v>
      </c>
      <c r="H68" s="15" t="s">
        <v>447</v>
      </c>
      <c r="I68" s="15" t="s">
        <v>44</v>
      </c>
      <c r="J68" s="15" t="s">
        <v>45</v>
      </c>
      <c r="K68" s="15" t="s">
        <v>122</v>
      </c>
      <c r="L68" s="15" t="s">
        <v>263</v>
      </c>
      <c r="M68" s="15">
        <v>19</v>
      </c>
      <c r="N68" s="15">
        <v>45</v>
      </c>
      <c r="O68" s="15">
        <v>10</v>
      </c>
      <c r="P68" s="15">
        <v>769.5</v>
      </c>
      <c r="Q68" s="15">
        <v>5</v>
      </c>
      <c r="R68" s="15" t="s">
        <v>79</v>
      </c>
      <c r="S68" s="15" t="s">
        <v>115</v>
      </c>
      <c r="T68" s="15" t="s">
        <v>50</v>
      </c>
      <c r="U68" s="17" t="s">
        <v>448</v>
      </c>
      <c r="V68" s="15" t="s">
        <v>69</v>
      </c>
    </row>
    <row r="69" spans="1:22">
      <c r="A69" s="18" t="s">
        <v>449</v>
      </c>
      <c r="B69" s="18" t="s">
        <v>251</v>
      </c>
      <c r="C69" s="18" t="s">
        <v>92</v>
      </c>
      <c r="D69" s="18" t="s">
        <v>450</v>
      </c>
      <c r="E69" s="18" t="s">
        <v>323</v>
      </c>
      <c r="F69" s="18" t="s">
        <v>254</v>
      </c>
      <c r="G69" s="18" t="s">
        <v>28</v>
      </c>
      <c r="H69" s="18" t="s">
        <v>451</v>
      </c>
      <c r="I69" s="18" t="s">
        <v>30</v>
      </c>
      <c r="J69" s="18" t="s">
        <v>31</v>
      </c>
      <c r="K69" s="18" t="s">
        <v>32</v>
      </c>
      <c r="L69" s="18" t="s">
        <v>97</v>
      </c>
      <c r="M69" s="18">
        <v>7</v>
      </c>
      <c r="N69" s="18">
        <v>3500</v>
      </c>
      <c r="O69" s="18">
        <v>15</v>
      </c>
      <c r="P69" s="18">
        <v>20825</v>
      </c>
      <c r="Q69" s="18">
        <v>1</v>
      </c>
      <c r="R69" s="18" t="s">
        <v>34</v>
      </c>
      <c r="S69" s="18" t="s">
        <v>151</v>
      </c>
      <c r="T69" s="18" t="s">
        <v>256</v>
      </c>
      <c r="U69" s="19" t="s">
        <v>452</v>
      </c>
      <c r="V69" s="18" t="s">
        <v>64</v>
      </c>
    </row>
    <row r="70" spans="1:22">
      <c r="A70" s="15" t="s">
        <v>453</v>
      </c>
      <c r="B70" s="15" t="s">
        <v>53</v>
      </c>
      <c r="C70" s="15" t="s">
        <v>169</v>
      </c>
      <c r="D70" s="15" t="s">
        <v>454</v>
      </c>
      <c r="E70" s="15" t="s">
        <v>455</v>
      </c>
      <c r="F70" s="15" t="s">
        <v>163</v>
      </c>
      <c r="G70" s="15" t="s">
        <v>28</v>
      </c>
      <c r="H70" s="15" t="s">
        <v>456</v>
      </c>
      <c r="I70" s="15" t="s">
        <v>212</v>
      </c>
      <c r="J70" s="15" t="s">
        <v>45</v>
      </c>
      <c r="K70" s="15" t="s">
        <v>32</v>
      </c>
      <c r="L70" s="15" t="s">
        <v>174</v>
      </c>
      <c r="M70" s="15">
        <v>7</v>
      </c>
      <c r="N70" s="15">
        <v>8500</v>
      </c>
      <c r="O70" s="15">
        <v>20</v>
      </c>
      <c r="P70" s="15">
        <v>47600</v>
      </c>
      <c r="Q70" s="15">
        <v>4</v>
      </c>
      <c r="R70" s="15" t="s">
        <v>48</v>
      </c>
      <c r="S70" s="15" t="s">
        <v>115</v>
      </c>
      <c r="T70" s="15" t="s">
        <v>62</v>
      </c>
      <c r="U70" s="17" t="s">
        <v>457</v>
      </c>
      <c r="V70" s="15" t="s">
        <v>38</v>
      </c>
    </row>
    <row r="71" spans="1:22">
      <c r="A71" s="18" t="s">
        <v>458</v>
      </c>
      <c r="B71" s="18" t="s">
        <v>23</v>
      </c>
      <c r="C71" s="18" t="s">
        <v>54</v>
      </c>
      <c r="D71" s="18" t="s">
        <v>366</v>
      </c>
      <c r="E71" s="18" t="s">
        <v>459</v>
      </c>
      <c r="F71" s="18" t="s">
        <v>27</v>
      </c>
      <c r="G71" s="18" t="s">
        <v>28</v>
      </c>
      <c r="H71" s="18" t="s">
        <v>460</v>
      </c>
      <c r="I71" s="18" t="s">
        <v>59</v>
      </c>
      <c r="J71" s="18" t="s">
        <v>31</v>
      </c>
      <c r="K71" s="18" t="s">
        <v>46</v>
      </c>
      <c r="L71" s="18" t="s">
        <v>60</v>
      </c>
      <c r="M71" s="18">
        <v>16</v>
      </c>
      <c r="N71" s="18">
        <v>55000</v>
      </c>
      <c r="O71" s="18">
        <v>10</v>
      </c>
      <c r="P71" s="18">
        <v>792000</v>
      </c>
      <c r="Q71" s="18">
        <v>1</v>
      </c>
      <c r="R71" s="18" t="s">
        <v>79</v>
      </c>
      <c r="S71" s="18" t="s">
        <v>61</v>
      </c>
      <c r="T71" s="18" t="s">
        <v>50</v>
      </c>
      <c r="U71" s="19" t="s">
        <v>461</v>
      </c>
      <c r="V71" s="18" t="s">
        <v>38</v>
      </c>
    </row>
    <row r="72" spans="1:22">
      <c r="A72" s="15" t="s">
        <v>462</v>
      </c>
      <c r="B72" s="15" t="s">
        <v>168</v>
      </c>
      <c r="C72" s="15" t="s">
        <v>40</v>
      </c>
      <c r="D72" s="15" t="s">
        <v>463</v>
      </c>
      <c r="E72" s="15" t="s">
        <v>464</v>
      </c>
      <c r="F72" s="15" t="s">
        <v>361</v>
      </c>
      <c r="G72" s="15" t="s">
        <v>28</v>
      </c>
      <c r="H72" s="15" t="s">
        <v>465</v>
      </c>
      <c r="I72" s="15" t="s">
        <v>105</v>
      </c>
      <c r="J72" s="15" t="s">
        <v>106</v>
      </c>
      <c r="K72" s="15" t="s">
        <v>46</v>
      </c>
      <c r="L72" s="15" t="s">
        <v>47</v>
      </c>
      <c r="M72" s="15">
        <v>2</v>
      </c>
      <c r="N72" s="15">
        <v>12000</v>
      </c>
      <c r="O72" s="15">
        <v>20</v>
      </c>
      <c r="P72" s="15">
        <v>19200</v>
      </c>
      <c r="Q72" s="15">
        <v>1</v>
      </c>
      <c r="R72" s="15" t="s">
        <v>34</v>
      </c>
      <c r="S72" s="15" t="s">
        <v>151</v>
      </c>
      <c r="T72" s="16" t="s">
        <v>466</v>
      </c>
      <c r="U72" s="17" t="s">
        <v>467</v>
      </c>
      <c r="V72" s="15" t="s">
        <v>64</v>
      </c>
    </row>
    <row r="73" spans="1:22">
      <c r="A73" s="18" t="s">
        <v>468</v>
      </c>
      <c r="B73" s="18" t="s">
        <v>127</v>
      </c>
      <c r="C73" s="18" t="s">
        <v>259</v>
      </c>
      <c r="D73" s="18" t="s">
        <v>469</v>
      </c>
      <c r="E73" s="18" t="s">
        <v>446</v>
      </c>
      <c r="F73" s="18" t="s">
        <v>200</v>
      </c>
      <c r="G73" s="18" t="s">
        <v>76</v>
      </c>
      <c r="H73" s="18" t="s">
        <v>470</v>
      </c>
      <c r="I73" s="18" t="s">
        <v>59</v>
      </c>
      <c r="J73" s="18" t="s">
        <v>31</v>
      </c>
      <c r="K73" s="18" t="s">
        <v>122</v>
      </c>
      <c r="L73" s="18" t="s">
        <v>263</v>
      </c>
      <c r="M73" s="18">
        <v>4</v>
      </c>
      <c r="N73" s="18">
        <v>45</v>
      </c>
      <c r="O73" s="18">
        <v>5</v>
      </c>
      <c r="P73" s="18">
        <v>171</v>
      </c>
      <c r="Q73" s="18">
        <v>1</v>
      </c>
      <c r="R73" s="18" t="s">
        <v>79</v>
      </c>
      <c r="S73" s="18" t="s">
        <v>49</v>
      </c>
      <c r="T73" s="18" t="s">
        <v>132</v>
      </c>
      <c r="U73" s="19" t="s">
        <v>471</v>
      </c>
      <c r="V73" s="18" t="s">
        <v>64</v>
      </c>
    </row>
    <row r="74" spans="1:22">
      <c r="A74" s="15" t="s">
        <v>472</v>
      </c>
      <c r="B74" s="15" t="s">
        <v>23</v>
      </c>
      <c r="C74" s="15" t="s">
        <v>72</v>
      </c>
      <c r="D74" s="15" t="s">
        <v>473</v>
      </c>
      <c r="E74" s="15" t="s">
        <v>474</v>
      </c>
      <c r="F74" s="15" t="s">
        <v>27</v>
      </c>
      <c r="G74" s="15" t="s">
        <v>28</v>
      </c>
      <c r="H74" s="15" t="s">
        <v>475</v>
      </c>
      <c r="I74" s="15" t="s">
        <v>212</v>
      </c>
      <c r="J74" s="15" t="s">
        <v>45</v>
      </c>
      <c r="K74" s="15" t="s">
        <v>46</v>
      </c>
      <c r="L74" s="15" t="s">
        <v>78</v>
      </c>
      <c r="M74" s="15">
        <v>1</v>
      </c>
      <c r="N74" s="15">
        <v>1200</v>
      </c>
      <c r="O74" s="15">
        <v>5</v>
      </c>
      <c r="P74" s="15">
        <v>1140</v>
      </c>
      <c r="Q74" s="15">
        <v>3</v>
      </c>
      <c r="R74" s="15" t="s">
        <v>88</v>
      </c>
      <c r="S74" s="15" t="s">
        <v>61</v>
      </c>
      <c r="T74" s="15" t="s">
        <v>50</v>
      </c>
      <c r="U74" s="17" t="s">
        <v>476</v>
      </c>
      <c r="V74" s="15" t="s">
        <v>69</v>
      </c>
    </row>
    <row r="75" spans="1:22">
      <c r="A75" s="18" t="s">
        <v>477</v>
      </c>
      <c r="B75" s="18" t="s">
        <v>53</v>
      </c>
      <c r="C75" s="18" t="s">
        <v>24</v>
      </c>
      <c r="D75" s="18" t="s">
        <v>478</v>
      </c>
      <c r="E75" s="18" t="s">
        <v>479</v>
      </c>
      <c r="F75" s="18" t="s">
        <v>163</v>
      </c>
      <c r="G75" s="18" t="s">
        <v>28</v>
      </c>
      <c r="H75" s="18" t="s">
        <v>480</v>
      </c>
      <c r="I75" s="18"/>
      <c r="J75" s="18" t="s">
        <v>31</v>
      </c>
      <c r="K75" s="18" t="s">
        <v>32</v>
      </c>
      <c r="L75" s="18" t="s">
        <v>33</v>
      </c>
      <c r="M75" s="18">
        <v>1</v>
      </c>
      <c r="N75" s="18">
        <v>2200</v>
      </c>
      <c r="O75" s="18">
        <v>15</v>
      </c>
      <c r="P75" s="18">
        <v>1870</v>
      </c>
      <c r="Q75" s="18">
        <v>4</v>
      </c>
      <c r="R75" s="18" t="s">
        <v>79</v>
      </c>
      <c r="S75" s="18" t="s">
        <v>61</v>
      </c>
      <c r="T75" s="18" t="s">
        <v>62</v>
      </c>
      <c r="U75" s="19" t="s">
        <v>481</v>
      </c>
      <c r="V75" s="18" t="s">
        <v>38</v>
      </c>
    </row>
    <row r="76" spans="1:22">
      <c r="A76" s="15" t="s">
        <v>482</v>
      </c>
      <c r="B76" s="15" t="s">
        <v>127</v>
      </c>
      <c r="C76" s="15" t="s">
        <v>72</v>
      </c>
      <c r="D76" s="15" t="s">
        <v>483</v>
      </c>
      <c r="E76" s="15" t="s">
        <v>484</v>
      </c>
      <c r="F76" s="15" t="s">
        <v>200</v>
      </c>
      <c r="G76" s="15" t="s">
        <v>76</v>
      </c>
      <c r="H76" s="15" t="s">
        <v>485</v>
      </c>
      <c r="I76" s="15" t="s">
        <v>114</v>
      </c>
      <c r="J76" s="15" t="s">
        <v>106</v>
      </c>
      <c r="K76" s="15" t="s">
        <v>46</v>
      </c>
      <c r="L76" s="15" t="s">
        <v>78</v>
      </c>
      <c r="M76" s="15">
        <v>3</v>
      </c>
      <c r="N76" s="15">
        <v>1200</v>
      </c>
      <c r="O76" s="15">
        <v>10</v>
      </c>
      <c r="P76" s="15">
        <v>3240</v>
      </c>
      <c r="Q76" s="15">
        <v>5</v>
      </c>
      <c r="R76" s="15" t="s">
        <v>34</v>
      </c>
      <c r="S76" s="15" t="s">
        <v>49</v>
      </c>
      <c r="T76" s="15" t="s">
        <v>132</v>
      </c>
      <c r="U76" s="17" t="s">
        <v>486</v>
      </c>
      <c r="V76" s="15" t="s">
        <v>38</v>
      </c>
    </row>
    <row r="77" spans="1:22">
      <c r="A77" s="18" t="s">
        <v>487</v>
      </c>
      <c r="B77" s="18" t="s">
        <v>23</v>
      </c>
      <c r="C77" s="18" t="s">
        <v>92</v>
      </c>
      <c r="D77" s="18" t="s">
        <v>488</v>
      </c>
      <c r="E77" s="18" t="s">
        <v>489</v>
      </c>
      <c r="F77" s="18" t="s">
        <v>27</v>
      </c>
      <c r="G77" s="18" t="s">
        <v>28</v>
      </c>
      <c r="H77" s="18" t="s">
        <v>490</v>
      </c>
      <c r="I77" s="18" t="s">
        <v>59</v>
      </c>
      <c r="J77" s="18" t="s">
        <v>31</v>
      </c>
      <c r="K77" s="18" t="s">
        <v>32</v>
      </c>
      <c r="L77" s="18" t="s">
        <v>97</v>
      </c>
      <c r="M77" s="18">
        <v>10</v>
      </c>
      <c r="N77" s="18">
        <v>3500</v>
      </c>
      <c r="O77" s="18">
        <v>20</v>
      </c>
      <c r="P77" s="18">
        <v>28000</v>
      </c>
      <c r="Q77" s="18">
        <v>5</v>
      </c>
      <c r="R77" s="18" t="s">
        <v>79</v>
      </c>
      <c r="S77" s="18" t="s">
        <v>35</v>
      </c>
      <c r="T77" s="18" t="s">
        <v>50</v>
      </c>
      <c r="U77" s="19" t="s">
        <v>491</v>
      </c>
      <c r="V77" s="18" t="s">
        <v>38</v>
      </c>
    </row>
    <row r="78" spans="1:22">
      <c r="A78" s="15" t="s">
        <v>492</v>
      </c>
      <c r="B78" s="15" t="s">
        <v>83</v>
      </c>
      <c r="C78" s="15" t="s">
        <v>184</v>
      </c>
      <c r="D78" s="15" t="s">
        <v>493</v>
      </c>
      <c r="E78" s="15" t="s">
        <v>404</v>
      </c>
      <c r="F78" s="15" t="s">
        <v>180</v>
      </c>
      <c r="G78" s="15" t="s">
        <v>76</v>
      </c>
      <c r="H78" s="15" t="s">
        <v>494</v>
      </c>
      <c r="I78" s="15" t="s">
        <v>44</v>
      </c>
      <c r="J78" s="15" t="s">
        <v>45</v>
      </c>
      <c r="K78" s="15" t="s">
        <v>46</v>
      </c>
      <c r="L78" s="15" t="s">
        <v>189</v>
      </c>
      <c r="M78" s="15">
        <v>18</v>
      </c>
      <c r="N78" s="15">
        <v>700</v>
      </c>
      <c r="O78" s="15">
        <v>5</v>
      </c>
      <c r="P78" s="15">
        <v>11970</v>
      </c>
      <c r="Q78" s="15">
        <v>3</v>
      </c>
      <c r="R78" s="15" t="s">
        <v>79</v>
      </c>
      <c r="S78" s="15" t="s">
        <v>115</v>
      </c>
      <c r="T78" s="15" t="s">
        <v>89</v>
      </c>
      <c r="U78" s="17" t="s">
        <v>495</v>
      </c>
      <c r="V78" s="15" t="s">
        <v>69</v>
      </c>
    </row>
    <row r="79" spans="1:22">
      <c r="A79" s="18" t="s">
        <v>496</v>
      </c>
      <c r="B79" s="18" t="s">
        <v>221</v>
      </c>
      <c r="C79" s="18" t="s">
        <v>184</v>
      </c>
      <c r="D79" s="18" t="s">
        <v>497</v>
      </c>
      <c r="E79" s="18" t="s">
        <v>498</v>
      </c>
      <c r="F79" s="18" t="s">
        <v>225</v>
      </c>
      <c r="G79" s="18" t="s">
        <v>76</v>
      </c>
      <c r="H79" s="18" t="s">
        <v>499</v>
      </c>
      <c r="I79" s="18" t="s">
        <v>59</v>
      </c>
      <c r="J79" s="18" t="s">
        <v>31</v>
      </c>
      <c r="K79" s="18" t="s">
        <v>46</v>
      </c>
      <c r="L79" s="18" t="s">
        <v>189</v>
      </c>
      <c r="M79" s="18">
        <v>12</v>
      </c>
      <c r="N79" s="18">
        <v>700</v>
      </c>
      <c r="O79" s="18">
        <v>15</v>
      </c>
      <c r="P79" s="18">
        <v>7140</v>
      </c>
      <c r="Q79" s="18">
        <v>2</v>
      </c>
      <c r="R79" s="18" t="s">
        <v>88</v>
      </c>
      <c r="S79" s="18" t="s">
        <v>49</v>
      </c>
      <c r="T79" s="18" t="s">
        <v>228</v>
      </c>
      <c r="U79" s="19" t="s">
        <v>500</v>
      </c>
      <c r="V79" s="18" t="s">
        <v>38</v>
      </c>
    </row>
    <row r="80" spans="1:22">
      <c r="A80" s="15" t="s">
        <v>501</v>
      </c>
      <c r="B80" s="15" t="s">
        <v>71</v>
      </c>
      <c r="C80" s="15" t="s">
        <v>72</v>
      </c>
      <c r="D80" s="15" t="s">
        <v>502</v>
      </c>
      <c r="E80" s="15" t="s">
        <v>503</v>
      </c>
      <c r="F80" s="15" t="s">
        <v>217</v>
      </c>
      <c r="G80" s="15" t="s">
        <v>76</v>
      </c>
      <c r="H80" s="15" t="s">
        <v>504</v>
      </c>
      <c r="I80" s="15" t="s">
        <v>105</v>
      </c>
      <c r="J80" s="15" t="s">
        <v>106</v>
      </c>
      <c r="K80" s="15" t="s">
        <v>46</v>
      </c>
      <c r="L80" s="15" t="s">
        <v>78</v>
      </c>
      <c r="M80" s="15">
        <v>8</v>
      </c>
      <c r="N80" s="15">
        <v>1200</v>
      </c>
      <c r="O80" s="15">
        <v>0</v>
      </c>
      <c r="P80" s="15">
        <v>9600</v>
      </c>
      <c r="Q80" s="15">
        <v>4</v>
      </c>
      <c r="R80" s="15" t="s">
        <v>79</v>
      </c>
      <c r="S80" s="15" t="s">
        <v>49</v>
      </c>
      <c r="T80" s="15" t="s">
        <v>80</v>
      </c>
      <c r="U80" s="17" t="s">
        <v>505</v>
      </c>
      <c r="V80" s="15" t="s">
        <v>64</v>
      </c>
    </row>
    <row r="81" spans="1:22">
      <c r="A81" s="18" t="s">
        <v>506</v>
      </c>
      <c r="B81" s="18" t="s">
        <v>127</v>
      </c>
      <c r="C81" s="18" t="s">
        <v>118</v>
      </c>
      <c r="D81" s="18" t="s">
        <v>507</v>
      </c>
      <c r="E81" s="18" t="s">
        <v>508</v>
      </c>
      <c r="F81" s="18" t="s">
        <v>200</v>
      </c>
      <c r="G81" s="18" t="s">
        <v>76</v>
      </c>
      <c r="H81" s="18" t="s">
        <v>509</v>
      </c>
      <c r="I81" s="18" t="s">
        <v>114</v>
      </c>
      <c r="J81" s="18" t="s">
        <v>106</v>
      </c>
      <c r="K81" s="18" t="s">
        <v>122</v>
      </c>
      <c r="L81" s="18" t="s">
        <v>123</v>
      </c>
      <c r="M81" s="18">
        <v>2</v>
      </c>
      <c r="N81" s="18">
        <v>60</v>
      </c>
      <c r="O81" s="18">
        <v>0</v>
      </c>
      <c r="P81" s="18">
        <v>120</v>
      </c>
      <c r="Q81" s="18">
        <v>2</v>
      </c>
      <c r="R81" s="18" t="s">
        <v>88</v>
      </c>
      <c r="S81" s="18" t="s">
        <v>49</v>
      </c>
      <c r="T81" s="18" t="s">
        <v>132</v>
      </c>
      <c r="U81" s="19" t="s">
        <v>510</v>
      </c>
      <c r="V81" s="18" t="s">
        <v>38</v>
      </c>
    </row>
    <row r="82" spans="1:22">
      <c r="A82" s="15" t="s">
        <v>511</v>
      </c>
      <c r="B82" s="15" t="s">
        <v>327</v>
      </c>
      <c r="C82" s="15" t="s">
        <v>259</v>
      </c>
      <c r="D82" s="15" t="s">
        <v>512</v>
      </c>
      <c r="E82" s="15" t="s">
        <v>513</v>
      </c>
      <c r="F82" s="15" t="s">
        <v>394</v>
      </c>
      <c r="G82" s="15" t="s">
        <v>76</v>
      </c>
      <c r="H82" s="15" t="s">
        <v>514</v>
      </c>
      <c r="I82" s="15" t="s">
        <v>114</v>
      </c>
      <c r="J82" s="15" t="s">
        <v>106</v>
      </c>
      <c r="K82" s="15" t="s">
        <v>122</v>
      </c>
      <c r="L82" s="15" t="s">
        <v>263</v>
      </c>
      <c r="M82" s="15">
        <v>10</v>
      </c>
      <c r="N82" s="15">
        <v>45</v>
      </c>
      <c r="O82" s="15">
        <v>15</v>
      </c>
      <c r="P82" s="15">
        <v>382.5</v>
      </c>
      <c r="Q82" s="15">
        <v>3</v>
      </c>
      <c r="R82" s="15" t="s">
        <v>48</v>
      </c>
      <c r="S82" s="15" t="s">
        <v>35</v>
      </c>
      <c r="T82" s="15" t="s">
        <v>332</v>
      </c>
      <c r="U82" s="17" t="s">
        <v>515</v>
      </c>
      <c r="V82" s="15" t="s">
        <v>69</v>
      </c>
    </row>
    <row r="83" spans="1:22">
      <c r="A83" s="18" t="s">
        <v>516</v>
      </c>
      <c r="B83" s="18" t="s">
        <v>221</v>
      </c>
      <c r="C83" s="18" t="s">
        <v>92</v>
      </c>
      <c r="D83" s="18" t="s">
        <v>517</v>
      </c>
      <c r="E83" s="18" t="s">
        <v>518</v>
      </c>
      <c r="F83" s="18" t="s">
        <v>225</v>
      </c>
      <c r="G83" s="18" t="s">
        <v>76</v>
      </c>
      <c r="H83" s="18" t="s">
        <v>519</v>
      </c>
      <c r="I83" s="18" t="s">
        <v>294</v>
      </c>
      <c r="J83" s="18" t="s">
        <v>295</v>
      </c>
      <c r="K83" s="18" t="s">
        <v>32</v>
      </c>
      <c r="L83" s="18" t="s">
        <v>97</v>
      </c>
      <c r="M83" s="18">
        <v>12</v>
      </c>
      <c r="N83" s="18">
        <v>3500</v>
      </c>
      <c r="O83" s="18">
        <v>5</v>
      </c>
      <c r="P83" s="18">
        <v>39900</v>
      </c>
      <c r="Q83" s="18">
        <v>3</v>
      </c>
      <c r="R83" s="18" t="s">
        <v>48</v>
      </c>
      <c r="S83" s="18" t="s">
        <v>61</v>
      </c>
      <c r="T83" s="18" t="s">
        <v>228</v>
      </c>
      <c r="U83" s="19" t="s">
        <v>520</v>
      </c>
      <c r="V83" s="18" t="s">
        <v>64</v>
      </c>
    </row>
    <row r="84" spans="1:22">
      <c r="A84" s="15" t="s">
        <v>521</v>
      </c>
      <c r="B84" s="15" t="s">
        <v>127</v>
      </c>
      <c r="C84" s="15" t="s">
        <v>118</v>
      </c>
      <c r="D84" s="15" t="s">
        <v>128</v>
      </c>
      <c r="E84" s="15" t="s">
        <v>73</v>
      </c>
      <c r="F84" s="15" t="s">
        <v>200</v>
      </c>
      <c r="G84" s="15" t="s">
        <v>76</v>
      </c>
      <c r="H84" s="15" t="s">
        <v>522</v>
      </c>
      <c r="I84" s="15" t="s">
        <v>105</v>
      </c>
      <c r="J84" s="15" t="s">
        <v>106</v>
      </c>
      <c r="K84" s="15" t="s">
        <v>122</v>
      </c>
      <c r="L84" s="15" t="s">
        <v>123</v>
      </c>
      <c r="M84" s="15">
        <v>2</v>
      </c>
      <c r="N84" s="15">
        <v>60</v>
      </c>
      <c r="O84" s="15">
        <v>15</v>
      </c>
      <c r="P84" s="15">
        <v>102</v>
      </c>
      <c r="Q84" s="15">
        <v>1</v>
      </c>
      <c r="R84" s="15" t="s">
        <v>88</v>
      </c>
      <c r="S84" s="15" t="s">
        <v>115</v>
      </c>
      <c r="T84" s="15" t="s">
        <v>132</v>
      </c>
      <c r="U84" s="17" t="s">
        <v>523</v>
      </c>
      <c r="V84" s="15" t="s">
        <v>38</v>
      </c>
    </row>
    <row r="85" spans="1:22">
      <c r="A85" s="18" t="s">
        <v>524</v>
      </c>
      <c r="B85" s="18" t="s">
        <v>127</v>
      </c>
      <c r="C85" s="18" t="s">
        <v>72</v>
      </c>
      <c r="D85" s="18" t="s">
        <v>525</v>
      </c>
      <c r="E85" s="18" t="s">
        <v>526</v>
      </c>
      <c r="F85" s="18" t="s">
        <v>200</v>
      </c>
      <c r="G85" s="18" t="s">
        <v>76</v>
      </c>
      <c r="H85" s="18" t="s">
        <v>527</v>
      </c>
      <c r="I85" s="18" t="s">
        <v>30</v>
      </c>
      <c r="J85" s="18" t="s">
        <v>31</v>
      </c>
      <c r="K85" s="18" t="s">
        <v>46</v>
      </c>
      <c r="L85" s="18" t="s">
        <v>78</v>
      </c>
      <c r="M85" s="18">
        <v>18</v>
      </c>
      <c r="N85" s="18">
        <v>1200</v>
      </c>
      <c r="O85" s="18">
        <v>15</v>
      </c>
      <c r="P85" s="18">
        <v>18360</v>
      </c>
      <c r="Q85" s="18">
        <v>3</v>
      </c>
      <c r="R85" s="18" t="s">
        <v>79</v>
      </c>
      <c r="S85" s="18" t="s">
        <v>115</v>
      </c>
      <c r="T85" s="18" t="s">
        <v>132</v>
      </c>
      <c r="U85" s="19" t="s">
        <v>528</v>
      </c>
      <c r="V85" s="18" t="s">
        <v>64</v>
      </c>
    </row>
    <row r="86" spans="1:22">
      <c r="A86" s="15" t="s">
        <v>529</v>
      </c>
      <c r="B86" s="15" t="s">
        <v>23</v>
      </c>
      <c r="C86" s="15" t="s">
        <v>40</v>
      </c>
      <c r="D86" s="15" t="s">
        <v>530</v>
      </c>
      <c r="E86" s="15" t="s">
        <v>531</v>
      </c>
      <c r="F86" s="15" t="s">
        <v>27</v>
      </c>
      <c r="G86" s="15" t="s">
        <v>28</v>
      </c>
      <c r="H86" s="15" t="s">
        <v>532</v>
      </c>
      <c r="I86" s="15" t="s">
        <v>105</v>
      </c>
      <c r="J86" s="15" t="s">
        <v>106</v>
      </c>
      <c r="K86" s="15" t="s">
        <v>46</v>
      </c>
      <c r="L86" s="15" t="s">
        <v>47</v>
      </c>
      <c r="M86" s="15">
        <v>18</v>
      </c>
      <c r="N86" s="15">
        <v>12000</v>
      </c>
      <c r="O86" s="15">
        <v>15</v>
      </c>
      <c r="P86" s="15">
        <v>183600</v>
      </c>
      <c r="Q86" s="15">
        <v>2</v>
      </c>
      <c r="R86" s="15" t="s">
        <v>34</v>
      </c>
      <c r="S86" s="15" t="s">
        <v>49</v>
      </c>
      <c r="T86" s="15" t="s">
        <v>50</v>
      </c>
      <c r="U86" s="17" t="s">
        <v>533</v>
      </c>
      <c r="V86" s="15" t="s">
        <v>38</v>
      </c>
    </row>
    <row r="87" spans="1:22">
      <c r="A87" s="18" t="s">
        <v>534</v>
      </c>
      <c r="B87" s="18" t="s">
        <v>83</v>
      </c>
      <c r="C87" s="18" t="s">
        <v>222</v>
      </c>
      <c r="D87" s="18" t="s">
        <v>531</v>
      </c>
      <c r="E87" s="18" t="s">
        <v>535</v>
      </c>
      <c r="F87" s="18" t="s">
        <v>180</v>
      </c>
      <c r="G87" s="18" t="s">
        <v>76</v>
      </c>
      <c r="H87" s="18" t="s">
        <v>536</v>
      </c>
      <c r="I87" s="18" t="s">
        <v>138</v>
      </c>
      <c r="J87" s="18" t="s">
        <v>106</v>
      </c>
      <c r="K87" s="18" t="s">
        <v>122</v>
      </c>
      <c r="L87" s="18" t="s">
        <v>227</v>
      </c>
      <c r="M87" s="18">
        <v>7</v>
      </c>
      <c r="N87" s="18">
        <v>20</v>
      </c>
      <c r="O87" s="18">
        <v>0</v>
      </c>
      <c r="P87" s="18">
        <v>140</v>
      </c>
      <c r="Q87" s="18">
        <v>2</v>
      </c>
      <c r="R87" s="18" t="s">
        <v>79</v>
      </c>
      <c r="S87" s="18" t="s">
        <v>35</v>
      </c>
      <c r="T87" s="18" t="s">
        <v>89</v>
      </c>
      <c r="U87" s="19" t="s">
        <v>537</v>
      </c>
      <c r="V87" s="18" t="s">
        <v>69</v>
      </c>
    </row>
    <row r="88" spans="1:22">
      <c r="A88" s="15" t="s">
        <v>538</v>
      </c>
      <c r="B88" s="15" t="s">
        <v>251</v>
      </c>
      <c r="C88" s="15" t="s">
        <v>92</v>
      </c>
      <c r="D88" s="15" t="s">
        <v>459</v>
      </c>
      <c r="E88" s="15" t="s">
        <v>539</v>
      </c>
      <c r="F88" s="15" t="s">
        <v>254</v>
      </c>
      <c r="G88" s="15" t="s">
        <v>28</v>
      </c>
      <c r="H88" s="15" t="s">
        <v>540</v>
      </c>
      <c r="I88" s="15" t="s">
        <v>114</v>
      </c>
      <c r="J88" s="15" t="s">
        <v>106</v>
      </c>
      <c r="K88" s="15" t="s">
        <v>32</v>
      </c>
      <c r="L88" s="15" t="s">
        <v>97</v>
      </c>
      <c r="M88" s="15">
        <v>20</v>
      </c>
      <c r="N88" s="15">
        <v>3500</v>
      </c>
      <c r="O88" s="15">
        <v>20</v>
      </c>
      <c r="P88" s="15">
        <v>56000</v>
      </c>
      <c r="Q88" s="15">
        <v>4</v>
      </c>
      <c r="R88" s="15" t="s">
        <v>79</v>
      </c>
      <c r="S88" s="15" t="s">
        <v>115</v>
      </c>
      <c r="T88" s="15" t="s">
        <v>256</v>
      </c>
      <c r="U88" s="17" t="s">
        <v>541</v>
      </c>
      <c r="V88" s="15" t="s">
        <v>64</v>
      </c>
    </row>
    <row r="89" spans="1:22">
      <c r="A89" s="18" t="s">
        <v>542</v>
      </c>
      <c r="B89" s="18" t="s">
        <v>100</v>
      </c>
      <c r="C89" s="18" t="s">
        <v>169</v>
      </c>
      <c r="D89" s="18" t="s">
        <v>543</v>
      </c>
      <c r="E89" s="18" t="s">
        <v>544</v>
      </c>
      <c r="F89" s="18" t="s">
        <v>103</v>
      </c>
      <c r="G89" s="18" t="s">
        <v>28</v>
      </c>
      <c r="H89" s="18" t="s">
        <v>545</v>
      </c>
      <c r="I89" s="18" t="s">
        <v>138</v>
      </c>
      <c r="J89" s="18" t="s">
        <v>106</v>
      </c>
      <c r="K89" s="18" t="s">
        <v>32</v>
      </c>
      <c r="L89" s="18" t="s">
        <v>174</v>
      </c>
      <c r="M89" s="18">
        <v>8</v>
      </c>
      <c r="N89" s="18">
        <v>8500</v>
      </c>
      <c r="O89" s="18">
        <v>20</v>
      </c>
      <c r="P89" s="18">
        <v>54400</v>
      </c>
      <c r="Q89" s="18">
        <v>3</v>
      </c>
      <c r="R89" s="18" t="s">
        <v>79</v>
      </c>
      <c r="S89" s="18" t="s">
        <v>115</v>
      </c>
      <c r="T89" s="18" t="s">
        <v>144</v>
      </c>
      <c r="U89" s="19" t="s">
        <v>546</v>
      </c>
      <c r="V89" s="18" t="s">
        <v>64</v>
      </c>
    </row>
    <row r="90" spans="1:22">
      <c r="A90" s="15" t="s">
        <v>547</v>
      </c>
      <c r="B90" s="15" t="s">
        <v>327</v>
      </c>
      <c r="C90" s="15" t="s">
        <v>40</v>
      </c>
      <c r="D90" s="15" t="s">
        <v>548</v>
      </c>
      <c r="E90" s="15" t="s">
        <v>549</v>
      </c>
      <c r="F90" s="15" t="s">
        <v>394</v>
      </c>
      <c r="G90" s="15" t="s">
        <v>76</v>
      </c>
      <c r="H90" s="15" t="s">
        <v>550</v>
      </c>
      <c r="I90" s="15" t="s">
        <v>138</v>
      </c>
      <c r="J90" s="15" t="s">
        <v>551</v>
      </c>
      <c r="K90" s="15" t="s">
        <v>46</v>
      </c>
      <c r="L90" s="15" t="s">
        <v>47</v>
      </c>
      <c r="M90" s="15">
        <v>6</v>
      </c>
      <c r="N90" s="15">
        <v>12000</v>
      </c>
      <c r="O90" s="15">
        <v>5</v>
      </c>
      <c r="P90" s="15">
        <v>68400</v>
      </c>
      <c r="Q90" s="15">
        <v>4</v>
      </c>
      <c r="R90" s="15" t="s">
        <v>48</v>
      </c>
      <c r="S90" s="15" t="s">
        <v>35</v>
      </c>
      <c r="T90" s="15" t="s">
        <v>332</v>
      </c>
      <c r="U90" s="17" t="s">
        <v>552</v>
      </c>
      <c r="V90" s="15" t="s">
        <v>38</v>
      </c>
    </row>
    <row r="91" spans="1:22">
      <c r="A91" s="18" t="s">
        <v>553</v>
      </c>
      <c r="B91" s="18" t="s">
        <v>23</v>
      </c>
      <c r="C91" s="18" t="s">
        <v>169</v>
      </c>
      <c r="D91" s="18" t="s">
        <v>554</v>
      </c>
      <c r="E91" s="18" t="s">
        <v>404</v>
      </c>
      <c r="F91" s="18" t="s">
        <v>27</v>
      </c>
      <c r="G91" s="18" t="s">
        <v>28</v>
      </c>
      <c r="H91" s="18" t="s">
        <v>555</v>
      </c>
      <c r="I91" s="18" t="s">
        <v>114</v>
      </c>
      <c r="J91" s="18" t="s">
        <v>106</v>
      </c>
      <c r="K91" s="18" t="s">
        <v>32</v>
      </c>
      <c r="L91" s="18" t="s">
        <v>174</v>
      </c>
      <c r="M91" s="18">
        <v>15</v>
      </c>
      <c r="N91" s="18">
        <v>8500</v>
      </c>
      <c r="O91" s="18">
        <v>0</v>
      </c>
      <c r="P91" s="18">
        <v>127500</v>
      </c>
      <c r="Q91" s="18">
        <v>4</v>
      </c>
      <c r="R91" s="18" t="s">
        <v>48</v>
      </c>
      <c r="S91" s="18" t="s">
        <v>35</v>
      </c>
      <c r="T91" s="18" t="s">
        <v>50</v>
      </c>
      <c r="U91" s="19" t="s">
        <v>556</v>
      </c>
      <c r="V91" s="18" t="s">
        <v>69</v>
      </c>
    </row>
    <row r="92" spans="1:22">
      <c r="A92" s="15" t="s">
        <v>557</v>
      </c>
      <c r="B92" s="15" t="s">
        <v>53</v>
      </c>
      <c r="C92" s="15" t="s">
        <v>72</v>
      </c>
      <c r="D92" s="15" t="s">
        <v>558</v>
      </c>
      <c r="E92" s="15" t="s">
        <v>377</v>
      </c>
      <c r="F92" s="15" t="s">
        <v>163</v>
      </c>
      <c r="G92" s="15" t="s">
        <v>28</v>
      </c>
      <c r="H92" s="15" t="s">
        <v>559</v>
      </c>
      <c r="I92" s="15" t="s">
        <v>212</v>
      </c>
      <c r="J92" s="15" t="s">
        <v>45</v>
      </c>
      <c r="K92" s="15" t="s">
        <v>46</v>
      </c>
      <c r="L92" s="15" t="s">
        <v>78</v>
      </c>
      <c r="M92" s="15">
        <v>5</v>
      </c>
      <c r="N92" s="15">
        <v>1200</v>
      </c>
      <c r="O92" s="15">
        <v>15</v>
      </c>
      <c r="P92" s="15">
        <v>5100</v>
      </c>
      <c r="Q92" s="15">
        <v>1</v>
      </c>
      <c r="R92" s="15" t="s">
        <v>48</v>
      </c>
      <c r="S92" s="15" t="s">
        <v>35</v>
      </c>
      <c r="T92" s="15" t="s">
        <v>62</v>
      </c>
      <c r="U92" s="17" t="s">
        <v>560</v>
      </c>
      <c r="V92" s="15" t="s">
        <v>69</v>
      </c>
    </row>
    <row r="93" spans="1:22">
      <c r="A93" s="18" t="s">
        <v>561</v>
      </c>
      <c r="B93" s="18" t="s">
        <v>53</v>
      </c>
      <c r="C93" s="18" t="s">
        <v>222</v>
      </c>
      <c r="D93" s="18" t="s">
        <v>562</v>
      </c>
      <c r="E93" s="18" t="s">
        <v>563</v>
      </c>
      <c r="F93" s="18" t="s">
        <v>163</v>
      </c>
      <c r="G93" s="18" t="s">
        <v>28</v>
      </c>
      <c r="H93" s="18" t="s">
        <v>564</v>
      </c>
      <c r="I93" s="18" t="s">
        <v>30</v>
      </c>
      <c r="J93" s="18" t="s">
        <v>31</v>
      </c>
      <c r="K93" s="18" t="s">
        <v>122</v>
      </c>
      <c r="L93" s="18" t="s">
        <v>227</v>
      </c>
      <c r="M93" s="18">
        <v>4</v>
      </c>
      <c r="N93" s="18">
        <v>20</v>
      </c>
      <c r="O93" s="18">
        <v>0</v>
      </c>
      <c r="P93" s="18">
        <v>80</v>
      </c>
      <c r="Q93" s="18">
        <v>4</v>
      </c>
      <c r="R93" s="18" t="s">
        <v>48</v>
      </c>
      <c r="S93" s="18" t="s">
        <v>49</v>
      </c>
      <c r="T93" s="18" t="s">
        <v>62</v>
      </c>
      <c r="U93" s="19" t="s">
        <v>565</v>
      </c>
      <c r="V93" s="18" t="s">
        <v>38</v>
      </c>
    </row>
    <row r="94" spans="1:22">
      <c r="A94" s="15" t="s">
        <v>566</v>
      </c>
      <c r="B94" s="15" t="s">
        <v>23</v>
      </c>
      <c r="C94" s="15" t="s">
        <v>222</v>
      </c>
      <c r="D94" s="15" t="s">
        <v>567</v>
      </c>
      <c r="E94" s="15" t="s">
        <v>568</v>
      </c>
      <c r="F94" s="15" t="s">
        <v>27</v>
      </c>
      <c r="G94" s="15" t="s">
        <v>28</v>
      </c>
      <c r="H94" s="15" t="s">
        <v>569</v>
      </c>
      <c r="I94" s="15" t="s">
        <v>59</v>
      </c>
      <c r="J94" s="15" t="s">
        <v>31</v>
      </c>
      <c r="K94" s="15" t="s">
        <v>122</v>
      </c>
      <c r="L94" s="15" t="s">
        <v>227</v>
      </c>
      <c r="M94" s="15">
        <v>10</v>
      </c>
      <c r="N94" s="15">
        <v>20</v>
      </c>
      <c r="O94" s="15">
        <v>0</v>
      </c>
      <c r="P94" s="15">
        <v>200</v>
      </c>
      <c r="Q94" s="15">
        <v>3</v>
      </c>
      <c r="R94" s="15" t="s">
        <v>34</v>
      </c>
      <c r="S94" s="15" t="s">
        <v>151</v>
      </c>
      <c r="T94" s="15" t="s">
        <v>50</v>
      </c>
      <c r="U94" s="17" t="s">
        <v>570</v>
      </c>
      <c r="V94" s="15" t="s">
        <v>64</v>
      </c>
    </row>
    <row r="95" spans="1:22">
      <c r="A95" s="18" t="s">
        <v>571</v>
      </c>
      <c r="B95" s="18" t="s">
        <v>168</v>
      </c>
      <c r="C95" s="18" t="s">
        <v>24</v>
      </c>
      <c r="D95" s="18" t="s">
        <v>572</v>
      </c>
      <c r="E95" s="18" t="s">
        <v>573</v>
      </c>
      <c r="F95" s="18" t="s">
        <v>361</v>
      </c>
      <c r="G95" s="18" t="s">
        <v>28</v>
      </c>
      <c r="H95" s="18" t="s">
        <v>574</v>
      </c>
      <c r="I95" s="18" t="s">
        <v>44</v>
      </c>
      <c r="J95" s="18" t="s">
        <v>45</v>
      </c>
      <c r="K95" s="18" t="s">
        <v>32</v>
      </c>
      <c r="L95" s="18" t="s">
        <v>33</v>
      </c>
      <c r="M95" s="18">
        <v>18</v>
      </c>
      <c r="N95" s="18">
        <v>2200</v>
      </c>
      <c r="O95" s="18">
        <v>10</v>
      </c>
      <c r="P95" s="18">
        <v>35640</v>
      </c>
      <c r="Q95" s="18">
        <v>3</v>
      </c>
      <c r="R95" s="18" t="s">
        <v>34</v>
      </c>
      <c r="S95" s="18" t="s">
        <v>35</v>
      </c>
      <c r="T95" s="18" t="s">
        <v>175</v>
      </c>
      <c r="U95" s="19" t="s">
        <v>575</v>
      </c>
      <c r="V95" s="18" t="s">
        <v>69</v>
      </c>
    </row>
    <row r="96" spans="1:22">
      <c r="A96" s="15" t="s">
        <v>576</v>
      </c>
      <c r="B96" s="15" t="s">
        <v>327</v>
      </c>
      <c r="C96" s="15" t="s">
        <v>92</v>
      </c>
      <c r="D96" s="15" t="s">
        <v>577</v>
      </c>
      <c r="E96" s="15" t="s">
        <v>578</v>
      </c>
      <c r="F96" s="15" t="s">
        <v>394</v>
      </c>
      <c r="G96" s="15" t="s">
        <v>76</v>
      </c>
      <c r="H96" s="15" t="s">
        <v>579</v>
      </c>
      <c r="I96" s="15" t="s">
        <v>44</v>
      </c>
      <c r="J96" s="15" t="s">
        <v>45</v>
      </c>
      <c r="K96" s="15" t="s">
        <v>32</v>
      </c>
      <c r="L96" s="15" t="s">
        <v>97</v>
      </c>
      <c r="M96" s="15">
        <v>7</v>
      </c>
      <c r="N96" s="15">
        <v>3500</v>
      </c>
      <c r="O96" s="15">
        <v>15</v>
      </c>
      <c r="P96" s="15">
        <v>20825</v>
      </c>
      <c r="Q96" s="15">
        <v>3</v>
      </c>
      <c r="R96" s="15" t="s">
        <v>48</v>
      </c>
      <c r="S96" s="15" t="s">
        <v>49</v>
      </c>
      <c r="T96" s="15" t="s">
        <v>332</v>
      </c>
      <c r="U96" s="17" t="s">
        <v>580</v>
      </c>
      <c r="V96" s="15" t="s">
        <v>38</v>
      </c>
    </row>
    <row r="97" spans="1:22">
      <c r="A97" s="18" t="s">
        <v>581</v>
      </c>
      <c r="B97" s="18" t="s">
        <v>100</v>
      </c>
      <c r="C97" s="18" t="s">
        <v>169</v>
      </c>
      <c r="D97" s="18" t="s">
        <v>582</v>
      </c>
      <c r="E97" s="18" t="s">
        <v>583</v>
      </c>
      <c r="F97" s="18" t="s">
        <v>103</v>
      </c>
      <c r="G97" s="18" t="s">
        <v>28</v>
      </c>
      <c r="H97" s="18" t="s">
        <v>584</v>
      </c>
      <c r="I97" s="18" t="s">
        <v>294</v>
      </c>
      <c r="J97" s="18" t="s">
        <v>295</v>
      </c>
      <c r="K97" s="18" t="s">
        <v>32</v>
      </c>
      <c r="L97" s="18" t="s">
        <v>174</v>
      </c>
      <c r="M97" s="18">
        <v>19</v>
      </c>
      <c r="N97" s="18">
        <v>8500</v>
      </c>
      <c r="O97" s="18">
        <v>15</v>
      </c>
      <c r="P97" s="18">
        <v>137275</v>
      </c>
      <c r="Q97" s="18">
        <v>4</v>
      </c>
      <c r="R97" s="18" t="s">
        <v>79</v>
      </c>
      <c r="S97" s="18" t="s">
        <v>151</v>
      </c>
      <c r="T97" s="18" t="s">
        <v>144</v>
      </c>
      <c r="U97" s="19" t="s">
        <v>585</v>
      </c>
      <c r="V97" s="18" t="s">
        <v>64</v>
      </c>
    </row>
    <row r="98" spans="1:22">
      <c r="A98" s="15" t="s">
        <v>586</v>
      </c>
      <c r="B98" s="15" t="s">
        <v>251</v>
      </c>
      <c r="C98" s="15" t="s">
        <v>40</v>
      </c>
      <c r="D98" s="15" t="s">
        <v>587</v>
      </c>
      <c r="E98" s="15" t="s">
        <v>588</v>
      </c>
      <c r="F98" s="15" t="s">
        <v>254</v>
      </c>
      <c r="G98" s="15" t="s">
        <v>28</v>
      </c>
      <c r="H98" s="15" t="s">
        <v>589</v>
      </c>
      <c r="I98" s="15" t="s">
        <v>138</v>
      </c>
      <c r="J98" s="15" t="s">
        <v>106</v>
      </c>
      <c r="K98" s="15" t="s">
        <v>46</v>
      </c>
      <c r="L98" s="15" t="s">
        <v>47</v>
      </c>
      <c r="M98" s="15">
        <v>13</v>
      </c>
      <c r="N98" s="15">
        <v>12000</v>
      </c>
      <c r="O98" s="15">
        <v>15</v>
      </c>
      <c r="P98" s="15">
        <v>132600</v>
      </c>
      <c r="Q98" s="15">
        <v>4</v>
      </c>
      <c r="R98" s="15" t="s">
        <v>34</v>
      </c>
      <c r="S98" s="15" t="s">
        <v>49</v>
      </c>
      <c r="T98" s="15" t="s">
        <v>256</v>
      </c>
      <c r="U98" s="17" t="s">
        <v>590</v>
      </c>
      <c r="V98" s="15" t="s">
        <v>38</v>
      </c>
    </row>
    <row r="99" spans="1:22">
      <c r="A99" s="18" t="s">
        <v>591</v>
      </c>
      <c r="B99" s="18" t="s">
        <v>327</v>
      </c>
      <c r="C99" s="18" t="s">
        <v>222</v>
      </c>
      <c r="D99" s="18" t="s">
        <v>592</v>
      </c>
      <c r="E99" s="18" t="s">
        <v>398</v>
      </c>
      <c r="F99" s="18" t="s">
        <v>394</v>
      </c>
      <c r="G99" s="18" t="s">
        <v>76</v>
      </c>
      <c r="H99" s="18" t="s">
        <v>593</v>
      </c>
      <c r="I99" s="18" t="s">
        <v>114</v>
      </c>
      <c r="J99" s="18" t="s">
        <v>106</v>
      </c>
      <c r="K99" s="18" t="s">
        <v>122</v>
      </c>
      <c r="L99" s="18" t="s">
        <v>227</v>
      </c>
      <c r="M99" s="18">
        <v>7</v>
      </c>
      <c r="N99" s="18">
        <v>20</v>
      </c>
      <c r="O99" s="18">
        <v>0</v>
      </c>
      <c r="P99" s="18">
        <v>140</v>
      </c>
      <c r="Q99" s="18">
        <v>1</v>
      </c>
      <c r="R99" s="18" t="s">
        <v>79</v>
      </c>
      <c r="S99" s="18" t="s">
        <v>151</v>
      </c>
      <c r="T99" s="18" t="s">
        <v>332</v>
      </c>
      <c r="U99" s="19" t="s">
        <v>594</v>
      </c>
      <c r="V99" s="18" t="s">
        <v>69</v>
      </c>
    </row>
    <row r="100" spans="1:22">
      <c r="A100" s="15" t="s">
        <v>595</v>
      </c>
      <c r="B100" s="15" t="s">
        <v>168</v>
      </c>
      <c r="C100" s="15" t="s">
        <v>184</v>
      </c>
      <c r="D100" s="15" t="s">
        <v>596</v>
      </c>
      <c r="E100" s="15" t="s">
        <v>597</v>
      </c>
      <c r="F100" s="15" t="s">
        <v>361</v>
      </c>
      <c r="G100" s="15" t="s">
        <v>28</v>
      </c>
      <c r="H100" s="15" t="s">
        <v>598</v>
      </c>
      <c r="I100" s="15" t="s">
        <v>44</v>
      </c>
      <c r="J100" s="15" t="s">
        <v>45</v>
      </c>
      <c r="K100" s="15" t="s">
        <v>46</v>
      </c>
      <c r="L100" s="15" t="s">
        <v>189</v>
      </c>
      <c r="M100" s="15">
        <v>5</v>
      </c>
      <c r="N100" s="15">
        <v>700</v>
      </c>
      <c r="O100" s="15">
        <v>15</v>
      </c>
      <c r="P100" s="15">
        <v>999999</v>
      </c>
      <c r="Q100" s="15">
        <v>4</v>
      </c>
      <c r="R100" s="15" t="s">
        <v>79</v>
      </c>
      <c r="S100" s="15" t="s">
        <v>35</v>
      </c>
      <c r="T100" s="15" t="s">
        <v>175</v>
      </c>
      <c r="U100" s="17" t="s">
        <v>599</v>
      </c>
      <c r="V100" s="15" t="s">
        <v>64</v>
      </c>
    </row>
    <row r="101" spans="1:22">
      <c r="A101" s="18" t="s">
        <v>600</v>
      </c>
      <c r="B101" s="18" t="s">
        <v>83</v>
      </c>
      <c r="C101" s="18" t="s">
        <v>259</v>
      </c>
      <c r="D101" s="18" t="s">
        <v>583</v>
      </c>
      <c r="E101" s="18" t="s">
        <v>601</v>
      </c>
      <c r="F101" s="18" t="s">
        <v>180</v>
      </c>
      <c r="G101" s="18" t="s">
        <v>76</v>
      </c>
      <c r="H101" s="18" t="s">
        <v>602</v>
      </c>
      <c r="I101" s="18" t="s">
        <v>59</v>
      </c>
      <c r="J101" s="18" t="s">
        <v>31</v>
      </c>
      <c r="K101" s="18" t="s">
        <v>122</v>
      </c>
      <c r="L101" s="18" t="s">
        <v>263</v>
      </c>
      <c r="M101" s="18">
        <v>9</v>
      </c>
      <c r="N101" s="18">
        <v>45</v>
      </c>
      <c r="O101" s="18">
        <v>5</v>
      </c>
      <c r="P101" s="18">
        <v>384.75</v>
      </c>
      <c r="Q101" s="18">
        <v>3</v>
      </c>
      <c r="R101" s="18" t="s">
        <v>34</v>
      </c>
      <c r="S101" s="18" t="s">
        <v>35</v>
      </c>
      <c r="T101" s="18" t="s">
        <v>89</v>
      </c>
      <c r="U101" s="19" t="s">
        <v>603</v>
      </c>
      <c r="V101" s="18" t="s">
        <v>38</v>
      </c>
    </row>
    <row r="102" spans="1:22">
      <c r="A102" s="15" t="s">
        <v>604</v>
      </c>
      <c r="B102" s="15" t="s">
        <v>127</v>
      </c>
      <c r="C102" s="15" t="s">
        <v>118</v>
      </c>
      <c r="D102" s="15" t="s">
        <v>605</v>
      </c>
      <c r="E102" s="15" t="s">
        <v>606</v>
      </c>
      <c r="F102" s="15" t="s">
        <v>200</v>
      </c>
      <c r="G102" s="15" t="s">
        <v>76</v>
      </c>
      <c r="H102" s="15" t="s">
        <v>607</v>
      </c>
      <c r="I102" s="15" t="s">
        <v>294</v>
      </c>
      <c r="J102" s="15" t="s">
        <v>295</v>
      </c>
      <c r="K102" s="15" t="s">
        <v>122</v>
      </c>
      <c r="L102" s="15" t="s">
        <v>123</v>
      </c>
      <c r="M102" s="15">
        <v>19</v>
      </c>
      <c r="N102" s="15">
        <v>60</v>
      </c>
      <c r="O102" s="15">
        <v>10</v>
      </c>
      <c r="P102" s="15">
        <v>1026</v>
      </c>
      <c r="Q102" s="15">
        <v>5</v>
      </c>
      <c r="R102" s="15" t="s">
        <v>48</v>
      </c>
      <c r="S102" s="15" t="s">
        <v>115</v>
      </c>
      <c r="T102" s="15" t="s">
        <v>132</v>
      </c>
      <c r="U102" s="17" t="s">
        <v>608</v>
      </c>
      <c r="V102" s="15" t="s">
        <v>38</v>
      </c>
    </row>
    <row r="103" spans="1:22">
      <c r="A103" s="18" t="s">
        <v>609</v>
      </c>
      <c r="B103" s="18" t="s">
        <v>327</v>
      </c>
      <c r="C103" s="18" t="s">
        <v>184</v>
      </c>
      <c r="D103" s="18" t="s">
        <v>610</v>
      </c>
      <c r="E103" s="18" t="s">
        <v>611</v>
      </c>
      <c r="F103" s="18" t="s">
        <v>394</v>
      </c>
      <c r="G103" s="18" t="s">
        <v>76</v>
      </c>
      <c r="H103" s="18" t="s">
        <v>612</v>
      </c>
      <c r="I103" s="18" t="s">
        <v>138</v>
      </c>
      <c r="J103" s="18" t="s">
        <v>106</v>
      </c>
      <c r="K103" s="18" t="s">
        <v>46</v>
      </c>
      <c r="L103" s="18" t="s">
        <v>189</v>
      </c>
      <c r="M103" s="18">
        <v>4</v>
      </c>
      <c r="N103" s="18">
        <v>700</v>
      </c>
      <c r="O103" s="18">
        <v>5</v>
      </c>
      <c r="P103" s="18">
        <v>2660</v>
      </c>
      <c r="Q103" s="18">
        <v>3</v>
      </c>
      <c r="R103" s="18" t="s">
        <v>48</v>
      </c>
      <c r="S103" s="18" t="s">
        <v>61</v>
      </c>
      <c r="T103" s="18" t="s">
        <v>332</v>
      </c>
      <c r="U103" s="19" t="s">
        <v>613</v>
      </c>
      <c r="V103" s="18" t="s">
        <v>38</v>
      </c>
    </row>
    <row r="104" spans="1:22">
      <c r="A104" s="15" t="s">
        <v>614</v>
      </c>
      <c r="B104" s="15" t="s">
        <v>327</v>
      </c>
      <c r="C104" s="15" t="s">
        <v>92</v>
      </c>
      <c r="D104" s="15" t="s">
        <v>583</v>
      </c>
      <c r="E104" s="15" t="s">
        <v>615</v>
      </c>
      <c r="F104" s="15" t="s">
        <v>394</v>
      </c>
      <c r="G104" s="15" t="s">
        <v>76</v>
      </c>
      <c r="H104" s="15" t="s">
        <v>616</v>
      </c>
      <c r="I104" s="15" t="s">
        <v>114</v>
      </c>
      <c r="J104" s="15" t="s">
        <v>106</v>
      </c>
      <c r="K104" s="15" t="s">
        <v>32</v>
      </c>
      <c r="L104" s="15" t="s">
        <v>97</v>
      </c>
      <c r="M104" s="15">
        <v>16</v>
      </c>
      <c r="N104" s="15">
        <v>3500</v>
      </c>
      <c r="O104" s="15">
        <v>0</v>
      </c>
      <c r="P104" s="15">
        <v>56000</v>
      </c>
      <c r="Q104" s="15">
        <v>2</v>
      </c>
      <c r="R104" s="15" t="s">
        <v>79</v>
      </c>
      <c r="S104" s="15" t="s">
        <v>49</v>
      </c>
      <c r="T104" s="15" t="s">
        <v>332</v>
      </c>
      <c r="U104" s="17" t="s">
        <v>617</v>
      </c>
      <c r="V104" s="15" t="s">
        <v>38</v>
      </c>
    </row>
    <row r="105" spans="1:22">
      <c r="A105" s="18" t="s">
        <v>618</v>
      </c>
      <c r="B105" s="18" t="s">
        <v>251</v>
      </c>
      <c r="C105" s="18" t="s">
        <v>259</v>
      </c>
      <c r="D105" s="18" t="s">
        <v>619</v>
      </c>
      <c r="E105" s="18" t="s">
        <v>620</v>
      </c>
      <c r="F105" s="18" t="s">
        <v>254</v>
      </c>
      <c r="G105" s="18" t="s">
        <v>28</v>
      </c>
      <c r="H105" s="18" t="s">
        <v>621</v>
      </c>
      <c r="I105" s="18" t="s">
        <v>59</v>
      </c>
      <c r="J105" s="18" t="s">
        <v>31</v>
      </c>
      <c r="K105" s="18" t="s">
        <v>122</v>
      </c>
      <c r="L105" s="18" t="s">
        <v>263</v>
      </c>
      <c r="M105" s="18">
        <v>5</v>
      </c>
      <c r="N105" s="18">
        <v>45</v>
      </c>
      <c r="O105" s="18">
        <v>20</v>
      </c>
      <c r="P105" s="18">
        <v>180</v>
      </c>
      <c r="Q105" s="18">
        <v>3</v>
      </c>
      <c r="R105" s="18" t="s">
        <v>79</v>
      </c>
      <c r="S105" s="18" t="s">
        <v>35</v>
      </c>
      <c r="T105" s="18" t="s">
        <v>256</v>
      </c>
      <c r="U105" s="19" t="s">
        <v>622</v>
      </c>
      <c r="V105" s="18" t="s">
        <v>38</v>
      </c>
    </row>
    <row r="106" spans="1:22">
      <c r="A106" s="15" t="s">
        <v>623</v>
      </c>
      <c r="B106" s="15" t="s">
        <v>83</v>
      </c>
      <c r="C106" s="15" t="s">
        <v>222</v>
      </c>
      <c r="D106" s="15" t="s">
        <v>624</v>
      </c>
      <c r="E106" s="15" t="s">
        <v>525</v>
      </c>
      <c r="F106" s="15" t="s">
        <v>180</v>
      </c>
      <c r="G106" s="15" t="s">
        <v>76</v>
      </c>
      <c r="H106" s="15" t="s">
        <v>625</v>
      </c>
      <c r="I106" s="15" t="s">
        <v>105</v>
      </c>
      <c r="J106" s="15" t="s">
        <v>106</v>
      </c>
      <c r="K106" s="15" t="s">
        <v>122</v>
      </c>
      <c r="L106" s="15" t="s">
        <v>227</v>
      </c>
      <c r="M106" s="15">
        <v>9</v>
      </c>
      <c r="N106" s="15">
        <v>20</v>
      </c>
      <c r="O106" s="15">
        <v>10</v>
      </c>
      <c r="P106" s="15">
        <v>162</v>
      </c>
      <c r="Q106" s="15">
        <v>4</v>
      </c>
      <c r="R106" s="15" t="s">
        <v>79</v>
      </c>
      <c r="S106" s="15" t="s">
        <v>35</v>
      </c>
      <c r="T106" s="15" t="s">
        <v>89</v>
      </c>
      <c r="U106" s="17" t="s">
        <v>626</v>
      </c>
      <c r="V106" s="15" t="s">
        <v>64</v>
      </c>
    </row>
    <row r="107" spans="1:22">
      <c r="A107" s="18" t="s">
        <v>627</v>
      </c>
      <c r="B107" s="18" t="s">
        <v>53</v>
      </c>
      <c r="C107" s="18" t="s">
        <v>72</v>
      </c>
      <c r="D107" s="18" t="s">
        <v>628</v>
      </c>
      <c r="E107" s="18" t="s">
        <v>431</v>
      </c>
      <c r="F107" s="18" t="s">
        <v>163</v>
      </c>
      <c r="G107" s="18" t="s">
        <v>28</v>
      </c>
      <c r="H107" s="18" t="s">
        <v>629</v>
      </c>
      <c r="I107" s="18" t="s">
        <v>44</v>
      </c>
      <c r="J107" s="18" t="s">
        <v>45</v>
      </c>
      <c r="K107" s="18" t="s">
        <v>46</v>
      </c>
      <c r="L107" s="18" t="s">
        <v>78</v>
      </c>
      <c r="M107" s="18">
        <v>9</v>
      </c>
      <c r="N107" s="18">
        <v>1200</v>
      </c>
      <c r="O107" s="18">
        <v>5</v>
      </c>
      <c r="P107" s="18">
        <v>10260</v>
      </c>
      <c r="Q107" s="18">
        <v>3</v>
      </c>
      <c r="R107" s="18" t="s">
        <v>88</v>
      </c>
      <c r="S107" s="18" t="s">
        <v>35</v>
      </c>
      <c r="T107" s="18" t="s">
        <v>62</v>
      </c>
      <c r="U107" s="19" t="s">
        <v>630</v>
      </c>
      <c r="V107" s="18" t="s">
        <v>64</v>
      </c>
    </row>
    <row r="108" spans="1:22">
      <c r="A108" s="15" t="s">
        <v>631</v>
      </c>
      <c r="B108" s="15" t="s">
        <v>100</v>
      </c>
      <c r="C108" s="15" t="s">
        <v>92</v>
      </c>
      <c r="D108" s="15" t="s">
        <v>387</v>
      </c>
      <c r="E108" s="15" t="s">
        <v>632</v>
      </c>
      <c r="F108" s="15" t="s">
        <v>103</v>
      </c>
      <c r="G108" s="15" t="s">
        <v>28</v>
      </c>
      <c r="H108" s="15" t="s">
        <v>633</v>
      </c>
      <c r="I108" s="15" t="s">
        <v>44</v>
      </c>
      <c r="J108" s="15" t="s">
        <v>45</v>
      </c>
      <c r="K108" s="15" t="s">
        <v>32</v>
      </c>
      <c r="L108" s="15" t="s">
        <v>97</v>
      </c>
      <c r="M108" s="15">
        <v>3</v>
      </c>
      <c r="N108" s="15">
        <v>3500</v>
      </c>
      <c r="O108" s="15">
        <v>10</v>
      </c>
      <c r="P108" s="15">
        <v>9450</v>
      </c>
      <c r="Q108" s="15">
        <v>2</v>
      </c>
      <c r="R108" s="15" t="s">
        <v>79</v>
      </c>
      <c r="S108" s="15" t="s">
        <v>151</v>
      </c>
      <c r="T108" s="15" t="s">
        <v>144</v>
      </c>
      <c r="U108" s="17" t="s">
        <v>634</v>
      </c>
      <c r="V108" s="15" t="s">
        <v>69</v>
      </c>
    </row>
    <row r="109" spans="1:22">
      <c r="A109" s="18" t="s">
        <v>635</v>
      </c>
      <c r="B109" s="18" t="s">
        <v>221</v>
      </c>
      <c r="C109" s="18" t="s">
        <v>72</v>
      </c>
      <c r="D109" s="18" t="s">
        <v>241</v>
      </c>
      <c r="E109" s="18" t="s">
        <v>636</v>
      </c>
      <c r="F109" s="18" t="s">
        <v>225</v>
      </c>
      <c r="G109" s="18" t="s">
        <v>76</v>
      </c>
      <c r="H109" s="18" t="s">
        <v>637</v>
      </c>
      <c r="I109" s="18" t="s">
        <v>105</v>
      </c>
      <c r="J109" s="18" t="s">
        <v>106</v>
      </c>
      <c r="K109" s="18" t="s">
        <v>46</v>
      </c>
      <c r="L109" s="18" t="s">
        <v>78</v>
      </c>
      <c r="M109" s="18">
        <v>6</v>
      </c>
      <c r="N109" s="18">
        <v>1200</v>
      </c>
      <c r="O109" s="18">
        <v>15</v>
      </c>
      <c r="P109" s="18">
        <v>6120</v>
      </c>
      <c r="Q109" s="18">
        <v>4</v>
      </c>
      <c r="R109" s="18" t="s">
        <v>88</v>
      </c>
      <c r="S109" s="18" t="s">
        <v>35</v>
      </c>
      <c r="T109" s="18" t="s">
        <v>228</v>
      </c>
      <c r="U109" s="19" t="s">
        <v>638</v>
      </c>
      <c r="V109" s="18" t="s">
        <v>69</v>
      </c>
    </row>
    <row r="110" spans="1:22">
      <c r="A110" s="15" t="s">
        <v>639</v>
      </c>
      <c r="B110" s="15" t="s">
        <v>83</v>
      </c>
      <c r="C110" s="15" t="s">
        <v>72</v>
      </c>
      <c r="D110" s="15" t="s">
        <v>640</v>
      </c>
      <c r="E110" s="15" t="s">
        <v>641</v>
      </c>
      <c r="F110" s="15" t="s">
        <v>180</v>
      </c>
      <c r="G110" s="15" t="s">
        <v>76</v>
      </c>
      <c r="H110" s="15" t="s">
        <v>642</v>
      </c>
      <c r="I110" s="15" t="s">
        <v>212</v>
      </c>
      <c r="J110" s="15" t="s">
        <v>45</v>
      </c>
      <c r="K110" s="15" t="s">
        <v>46</v>
      </c>
      <c r="L110" s="15" t="s">
        <v>78</v>
      </c>
      <c r="M110" s="15">
        <v>17</v>
      </c>
      <c r="N110" s="15">
        <v>1200</v>
      </c>
      <c r="O110" s="15">
        <v>15</v>
      </c>
      <c r="P110" s="15">
        <v>17340</v>
      </c>
      <c r="Q110" s="15">
        <v>1</v>
      </c>
      <c r="R110" s="15" t="s">
        <v>34</v>
      </c>
      <c r="S110" s="15" t="s">
        <v>61</v>
      </c>
      <c r="T110" s="15" t="s">
        <v>89</v>
      </c>
      <c r="U110" s="17" t="s">
        <v>643</v>
      </c>
      <c r="V110" s="15" t="s">
        <v>38</v>
      </c>
    </row>
    <row r="111" spans="1:22">
      <c r="A111" s="18" t="s">
        <v>644</v>
      </c>
      <c r="B111" s="18" t="s">
        <v>221</v>
      </c>
      <c r="C111" s="18" t="s">
        <v>169</v>
      </c>
      <c r="D111" s="18" t="s">
        <v>645</v>
      </c>
      <c r="E111" s="18" t="s">
        <v>287</v>
      </c>
      <c r="F111" s="18" t="s">
        <v>225</v>
      </c>
      <c r="G111" s="18" t="s">
        <v>76</v>
      </c>
      <c r="H111" s="18" t="s">
        <v>646</v>
      </c>
      <c r="I111" s="18" t="s">
        <v>59</v>
      </c>
      <c r="J111" s="18" t="s">
        <v>31</v>
      </c>
      <c r="K111" s="18" t="s">
        <v>32</v>
      </c>
      <c r="L111" s="18" t="s">
        <v>174</v>
      </c>
      <c r="M111" s="18">
        <v>15</v>
      </c>
      <c r="N111" s="18">
        <v>8500</v>
      </c>
      <c r="O111" s="18">
        <v>0</v>
      </c>
      <c r="P111" s="18">
        <v>127500</v>
      </c>
      <c r="Q111" s="18">
        <v>3</v>
      </c>
      <c r="R111" s="18" t="s">
        <v>34</v>
      </c>
      <c r="S111" s="18" t="s">
        <v>115</v>
      </c>
      <c r="T111" s="18" t="s">
        <v>228</v>
      </c>
      <c r="U111" s="19" t="s">
        <v>647</v>
      </c>
      <c r="V111" s="18" t="s">
        <v>64</v>
      </c>
    </row>
    <row r="112" spans="1:22">
      <c r="A112" s="15" t="s">
        <v>648</v>
      </c>
      <c r="B112" s="15" t="s">
        <v>127</v>
      </c>
      <c r="C112" s="15" t="s">
        <v>72</v>
      </c>
      <c r="D112" s="15" t="s">
        <v>101</v>
      </c>
      <c r="E112" s="15" t="s">
        <v>102</v>
      </c>
      <c r="F112" s="15" t="s">
        <v>200</v>
      </c>
      <c r="G112" s="15" t="s">
        <v>76</v>
      </c>
      <c r="H112" s="15" t="s">
        <v>649</v>
      </c>
      <c r="I112" s="15" t="s">
        <v>30</v>
      </c>
      <c r="J112" s="15" t="s">
        <v>31</v>
      </c>
      <c r="K112" s="15" t="s">
        <v>46</v>
      </c>
      <c r="L112" s="15" t="s">
        <v>78</v>
      </c>
      <c r="M112" s="15">
        <v>1</v>
      </c>
      <c r="N112" s="15">
        <v>1200</v>
      </c>
      <c r="O112" s="15">
        <v>20</v>
      </c>
      <c r="P112" s="15">
        <v>960</v>
      </c>
      <c r="Q112" s="15">
        <v>1</v>
      </c>
      <c r="R112" s="15" t="s">
        <v>88</v>
      </c>
      <c r="S112" s="15" t="s">
        <v>115</v>
      </c>
      <c r="T112" s="15" t="s">
        <v>132</v>
      </c>
      <c r="U112" s="17" t="s">
        <v>650</v>
      </c>
      <c r="V112" s="15" t="s">
        <v>64</v>
      </c>
    </row>
    <row r="113" spans="1:22">
      <c r="A113" s="18" t="s">
        <v>651</v>
      </c>
      <c r="B113" s="18" t="s">
        <v>127</v>
      </c>
      <c r="C113" s="18" t="s">
        <v>169</v>
      </c>
      <c r="D113" s="18" t="s">
        <v>652</v>
      </c>
      <c r="E113" s="18" t="s">
        <v>539</v>
      </c>
      <c r="F113" s="18" t="s">
        <v>200</v>
      </c>
      <c r="G113" s="18" t="s">
        <v>76</v>
      </c>
      <c r="H113" s="18" t="s">
        <v>653</v>
      </c>
      <c r="I113" s="18" t="s">
        <v>294</v>
      </c>
      <c r="J113" s="18" t="s">
        <v>295</v>
      </c>
      <c r="K113" s="18" t="s">
        <v>32</v>
      </c>
      <c r="L113" s="18" t="s">
        <v>174</v>
      </c>
      <c r="M113" s="18">
        <v>5</v>
      </c>
      <c r="N113" s="18">
        <v>8500</v>
      </c>
      <c r="O113" s="18">
        <v>10</v>
      </c>
      <c r="P113" s="18">
        <v>38250</v>
      </c>
      <c r="Q113" s="18">
        <v>1</v>
      </c>
      <c r="R113" s="18" t="s">
        <v>79</v>
      </c>
      <c r="S113" s="18" t="s">
        <v>61</v>
      </c>
      <c r="T113" s="18" t="s">
        <v>132</v>
      </c>
      <c r="U113" s="19" t="s">
        <v>654</v>
      </c>
      <c r="V113" s="18" t="s">
        <v>38</v>
      </c>
    </row>
    <row r="114" spans="1:22">
      <c r="A114" s="15" t="s">
        <v>655</v>
      </c>
      <c r="B114" s="15" t="s">
        <v>53</v>
      </c>
      <c r="C114" s="15" t="s">
        <v>259</v>
      </c>
      <c r="D114" s="15" t="s">
        <v>656</v>
      </c>
      <c r="E114" s="15" t="s">
        <v>657</v>
      </c>
      <c r="F114" s="15" t="s">
        <v>163</v>
      </c>
      <c r="G114" s="15" t="s">
        <v>28</v>
      </c>
      <c r="H114" s="15" t="s">
        <v>658</v>
      </c>
      <c r="I114" s="15" t="s">
        <v>30</v>
      </c>
      <c r="J114" s="15" t="s">
        <v>31</v>
      </c>
      <c r="K114" s="15" t="s">
        <v>122</v>
      </c>
      <c r="L114" s="15" t="s">
        <v>263</v>
      </c>
      <c r="M114" s="15">
        <v>12</v>
      </c>
      <c r="N114" s="15">
        <v>45</v>
      </c>
      <c r="O114" s="15">
        <v>5</v>
      </c>
      <c r="P114" s="15">
        <v>513</v>
      </c>
      <c r="Q114" s="15">
        <v>2</v>
      </c>
      <c r="R114" s="15" t="s">
        <v>48</v>
      </c>
      <c r="S114" s="15" t="s">
        <v>35</v>
      </c>
      <c r="T114" s="15" t="s">
        <v>62</v>
      </c>
      <c r="U114" s="17" t="s">
        <v>659</v>
      </c>
      <c r="V114" s="15" t="s">
        <v>69</v>
      </c>
    </row>
    <row r="115" spans="1:22">
      <c r="A115" s="18" t="s">
        <v>660</v>
      </c>
      <c r="B115" s="18" t="s">
        <v>221</v>
      </c>
      <c r="C115" s="18" t="s">
        <v>118</v>
      </c>
      <c r="D115" s="18" t="s">
        <v>341</v>
      </c>
      <c r="E115" s="18" t="s">
        <v>661</v>
      </c>
      <c r="F115" s="18" t="s">
        <v>225</v>
      </c>
      <c r="G115" s="18" t="s">
        <v>76</v>
      </c>
      <c r="H115" s="18" t="s">
        <v>662</v>
      </c>
      <c r="I115" s="18" t="s">
        <v>114</v>
      </c>
      <c r="J115" s="18" t="s">
        <v>106</v>
      </c>
      <c r="K115" s="18" t="s">
        <v>122</v>
      </c>
      <c r="L115" s="18" t="s">
        <v>123</v>
      </c>
      <c r="M115" s="18">
        <v>5</v>
      </c>
      <c r="N115" s="18">
        <v>60</v>
      </c>
      <c r="O115" s="18">
        <v>5</v>
      </c>
      <c r="P115" s="18">
        <v>285</v>
      </c>
      <c r="Q115" s="18">
        <v>2</v>
      </c>
      <c r="R115" s="18" t="s">
        <v>34</v>
      </c>
      <c r="S115" s="18" t="s">
        <v>61</v>
      </c>
      <c r="T115" s="18" t="s">
        <v>228</v>
      </c>
      <c r="U115" s="19" t="s">
        <v>663</v>
      </c>
      <c r="V115" s="18" t="s">
        <v>38</v>
      </c>
    </row>
    <row r="116" spans="1:22">
      <c r="A116" s="15" t="s">
        <v>664</v>
      </c>
      <c r="B116" s="15" t="s">
        <v>53</v>
      </c>
      <c r="C116" s="15" t="s">
        <v>184</v>
      </c>
      <c r="D116" s="15" t="s">
        <v>665</v>
      </c>
      <c r="E116" s="15" t="s">
        <v>666</v>
      </c>
      <c r="F116" s="15" t="s">
        <v>163</v>
      </c>
      <c r="G116" s="15" t="s">
        <v>28</v>
      </c>
      <c r="H116" s="15" t="s">
        <v>667</v>
      </c>
      <c r="I116" s="15" t="s">
        <v>294</v>
      </c>
      <c r="J116" s="15" t="s">
        <v>295</v>
      </c>
      <c r="K116" s="15" t="s">
        <v>46</v>
      </c>
      <c r="L116" s="15" t="s">
        <v>189</v>
      </c>
      <c r="M116" s="15">
        <v>3</v>
      </c>
      <c r="N116" s="15">
        <v>700</v>
      </c>
      <c r="O116" s="15">
        <v>0</v>
      </c>
      <c r="P116" s="15">
        <v>2100</v>
      </c>
      <c r="Q116" s="15">
        <v>4</v>
      </c>
      <c r="R116" s="15" t="s">
        <v>79</v>
      </c>
      <c r="S116" s="15" t="s">
        <v>61</v>
      </c>
      <c r="T116" s="15" t="s">
        <v>62</v>
      </c>
      <c r="U116" s="17" t="s">
        <v>668</v>
      </c>
      <c r="V116" s="15" t="s">
        <v>38</v>
      </c>
    </row>
    <row r="117" spans="1:22">
      <c r="A117" s="18" t="s">
        <v>669</v>
      </c>
      <c r="B117" s="18" t="s">
        <v>168</v>
      </c>
      <c r="C117" s="18" t="s">
        <v>222</v>
      </c>
      <c r="D117" s="18" t="s">
        <v>335</v>
      </c>
      <c r="E117" s="18" t="s">
        <v>606</v>
      </c>
      <c r="F117" s="18" t="s">
        <v>361</v>
      </c>
      <c r="G117" s="18" t="s">
        <v>28</v>
      </c>
      <c r="H117" s="18" t="s">
        <v>670</v>
      </c>
      <c r="I117" s="18" t="s">
        <v>44</v>
      </c>
      <c r="J117" s="18" t="s">
        <v>45</v>
      </c>
      <c r="K117" s="18" t="s">
        <v>122</v>
      </c>
      <c r="L117" s="18" t="s">
        <v>227</v>
      </c>
      <c r="M117" s="18">
        <v>6</v>
      </c>
      <c r="N117" s="18">
        <v>20</v>
      </c>
      <c r="O117" s="18">
        <v>15</v>
      </c>
      <c r="P117" s="18">
        <v>102</v>
      </c>
      <c r="Q117" s="18">
        <v>5</v>
      </c>
      <c r="R117" s="18" t="s">
        <v>79</v>
      </c>
      <c r="S117" s="18" t="s">
        <v>151</v>
      </c>
      <c r="T117" s="18" t="s">
        <v>175</v>
      </c>
      <c r="U117" s="19" t="s">
        <v>671</v>
      </c>
      <c r="V117" s="18" t="s">
        <v>38</v>
      </c>
    </row>
    <row r="118" spans="1:22">
      <c r="A118" s="15" t="s">
        <v>672</v>
      </c>
      <c r="B118" s="15" t="s">
        <v>100</v>
      </c>
      <c r="C118" s="15" t="s">
        <v>184</v>
      </c>
      <c r="D118" s="15" t="s">
        <v>673</v>
      </c>
      <c r="E118" s="15" t="s">
        <v>674</v>
      </c>
      <c r="F118" s="15" t="s">
        <v>103</v>
      </c>
      <c r="G118" s="15" t="s">
        <v>28</v>
      </c>
      <c r="H118" s="15" t="s">
        <v>675</v>
      </c>
      <c r="I118" s="15" t="s">
        <v>59</v>
      </c>
      <c r="J118" s="15" t="s">
        <v>31</v>
      </c>
      <c r="K118" s="15" t="s">
        <v>46</v>
      </c>
      <c r="L118" s="15" t="s">
        <v>189</v>
      </c>
      <c r="M118" s="15">
        <v>2</v>
      </c>
      <c r="N118" s="15">
        <v>700</v>
      </c>
      <c r="O118" s="15">
        <v>15</v>
      </c>
      <c r="P118" s="15">
        <v>1190</v>
      </c>
      <c r="Q118" s="15">
        <v>4</v>
      </c>
      <c r="R118" s="15" t="s">
        <v>34</v>
      </c>
      <c r="S118" s="15" t="s">
        <v>151</v>
      </c>
      <c r="T118" s="15" t="s">
        <v>144</v>
      </c>
      <c r="U118" s="17" t="s">
        <v>676</v>
      </c>
      <c r="V118" s="15" t="s">
        <v>64</v>
      </c>
    </row>
    <row r="119" spans="1:22">
      <c r="A119" s="18" t="s">
        <v>677</v>
      </c>
      <c r="B119" s="18" t="s">
        <v>327</v>
      </c>
      <c r="C119" s="18" t="s">
        <v>259</v>
      </c>
      <c r="D119" s="18" t="s">
        <v>678</v>
      </c>
      <c r="E119" s="18" t="s">
        <v>679</v>
      </c>
      <c r="F119" s="18" t="s">
        <v>394</v>
      </c>
      <c r="G119" s="18" t="s">
        <v>76</v>
      </c>
      <c r="H119" s="18" t="s">
        <v>680</v>
      </c>
      <c r="I119" s="18" t="s">
        <v>114</v>
      </c>
      <c r="J119" s="18" t="s">
        <v>106</v>
      </c>
      <c r="K119" s="18" t="s">
        <v>122</v>
      </c>
      <c r="L119" s="18" t="s">
        <v>263</v>
      </c>
      <c r="M119" s="18">
        <v>16</v>
      </c>
      <c r="N119" s="18">
        <v>45</v>
      </c>
      <c r="O119" s="18">
        <v>0</v>
      </c>
      <c r="P119" s="18">
        <v>720</v>
      </c>
      <c r="Q119" s="18">
        <v>1</v>
      </c>
      <c r="R119" s="18" t="s">
        <v>48</v>
      </c>
      <c r="S119" s="18" t="s">
        <v>61</v>
      </c>
      <c r="T119" s="18" t="s">
        <v>332</v>
      </c>
      <c r="U119" s="19" t="s">
        <v>681</v>
      </c>
      <c r="V119" s="18" t="s">
        <v>38</v>
      </c>
    </row>
    <row r="120" spans="1:22">
      <c r="A120" s="15" t="s">
        <v>682</v>
      </c>
      <c r="B120" s="15" t="s">
        <v>71</v>
      </c>
      <c r="C120" s="15" t="s">
        <v>72</v>
      </c>
      <c r="D120" s="15" t="s">
        <v>683</v>
      </c>
      <c r="E120" s="15" t="s">
        <v>684</v>
      </c>
      <c r="F120" s="15" t="s">
        <v>217</v>
      </c>
      <c r="G120" s="15" t="s">
        <v>76</v>
      </c>
      <c r="H120" s="15" t="s">
        <v>685</v>
      </c>
      <c r="I120" s="15" t="s">
        <v>138</v>
      </c>
      <c r="J120" s="15" t="s">
        <v>106</v>
      </c>
      <c r="K120" s="15" t="s">
        <v>46</v>
      </c>
      <c r="L120" s="15" t="s">
        <v>78</v>
      </c>
      <c r="M120" s="15" t="s">
        <v>686</v>
      </c>
      <c r="N120" s="15">
        <v>1200</v>
      </c>
      <c r="O120" s="15">
        <v>15</v>
      </c>
      <c r="P120" s="15">
        <v>7140</v>
      </c>
      <c r="Q120" s="15">
        <v>4</v>
      </c>
      <c r="R120" s="15" t="s">
        <v>88</v>
      </c>
      <c r="S120" s="15" t="s">
        <v>151</v>
      </c>
      <c r="T120" s="15" t="s">
        <v>80</v>
      </c>
      <c r="U120" s="17" t="s">
        <v>687</v>
      </c>
      <c r="V120" s="15" t="s">
        <v>64</v>
      </c>
    </row>
    <row r="121" spans="1:22">
      <c r="A121" s="18" t="s">
        <v>688</v>
      </c>
      <c r="B121" s="18" t="s">
        <v>100</v>
      </c>
      <c r="C121" s="18" t="s">
        <v>40</v>
      </c>
      <c r="D121" s="18" t="s">
        <v>376</v>
      </c>
      <c r="E121" s="18" t="s">
        <v>469</v>
      </c>
      <c r="F121" s="18" t="s">
        <v>103</v>
      </c>
      <c r="G121" s="18" t="s">
        <v>28</v>
      </c>
      <c r="H121" s="18" t="s">
        <v>689</v>
      </c>
      <c r="I121" s="18" t="s">
        <v>212</v>
      </c>
      <c r="J121" s="18" t="s">
        <v>45</v>
      </c>
      <c r="K121" s="18" t="s">
        <v>46</v>
      </c>
      <c r="L121" s="18" t="s">
        <v>47</v>
      </c>
      <c r="M121" s="18">
        <v>14</v>
      </c>
      <c r="N121" s="18">
        <v>12000</v>
      </c>
      <c r="O121" s="18">
        <v>15</v>
      </c>
      <c r="P121" s="18">
        <v>142800</v>
      </c>
      <c r="Q121" s="18">
        <v>2</v>
      </c>
      <c r="R121" s="18" t="s">
        <v>48</v>
      </c>
      <c r="S121" s="18" t="s">
        <v>61</v>
      </c>
      <c r="T121" s="18" t="s">
        <v>144</v>
      </c>
      <c r="U121" s="19" t="s">
        <v>690</v>
      </c>
      <c r="V121" s="18" t="s">
        <v>64</v>
      </c>
    </row>
    <row r="122" spans="1:22">
      <c r="A122" s="15" t="s">
        <v>691</v>
      </c>
      <c r="B122" s="15" t="s">
        <v>127</v>
      </c>
      <c r="C122" s="15" t="s">
        <v>169</v>
      </c>
      <c r="D122" s="15" t="s">
        <v>454</v>
      </c>
      <c r="E122" s="15" t="s">
        <v>692</v>
      </c>
      <c r="F122" s="15" t="s">
        <v>200</v>
      </c>
      <c r="G122" s="15" t="s">
        <v>76</v>
      </c>
      <c r="H122" s="15" t="s">
        <v>693</v>
      </c>
      <c r="I122" s="15" t="s">
        <v>114</v>
      </c>
      <c r="J122" s="15" t="s">
        <v>106</v>
      </c>
      <c r="K122" s="15" t="s">
        <v>32</v>
      </c>
      <c r="L122" s="15" t="s">
        <v>174</v>
      </c>
      <c r="M122" s="15">
        <v>8</v>
      </c>
      <c r="N122" s="15">
        <v>8500</v>
      </c>
      <c r="O122" s="15">
        <v>20</v>
      </c>
      <c r="P122" s="15">
        <v>54400</v>
      </c>
      <c r="Q122" s="15">
        <v>3</v>
      </c>
      <c r="R122" s="15" t="s">
        <v>79</v>
      </c>
      <c r="S122" s="15" t="s">
        <v>49</v>
      </c>
      <c r="T122" s="15" t="s">
        <v>132</v>
      </c>
      <c r="U122" s="17" t="s">
        <v>694</v>
      </c>
      <c r="V122" s="15" t="s">
        <v>38</v>
      </c>
    </row>
    <row r="123" spans="1:22">
      <c r="A123" s="18" t="s">
        <v>695</v>
      </c>
      <c r="B123" s="18" t="s">
        <v>83</v>
      </c>
      <c r="C123" s="18" t="s">
        <v>259</v>
      </c>
      <c r="D123" s="18" t="s">
        <v>110</v>
      </c>
      <c r="E123" s="18" t="s">
        <v>313</v>
      </c>
      <c r="F123" s="18" t="s">
        <v>180</v>
      </c>
      <c r="G123" s="18" t="s">
        <v>76</v>
      </c>
      <c r="H123" s="18" t="s">
        <v>696</v>
      </c>
      <c r="I123" s="18" t="s">
        <v>59</v>
      </c>
      <c r="J123" s="18" t="s">
        <v>31</v>
      </c>
      <c r="K123" s="18" t="s">
        <v>122</v>
      </c>
      <c r="L123" s="18" t="s">
        <v>263</v>
      </c>
      <c r="M123" s="18">
        <v>3</v>
      </c>
      <c r="N123" s="18">
        <v>45</v>
      </c>
      <c r="O123" s="18">
        <v>0</v>
      </c>
      <c r="P123" s="18">
        <v>135</v>
      </c>
      <c r="Q123" s="18">
        <v>4</v>
      </c>
      <c r="R123" s="18" t="s">
        <v>88</v>
      </c>
      <c r="S123" s="18" t="s">
        <v>61</v>
      </c>
      <c r="T123" s="18" t="s">
        <v>89</v>
      </c>
      <c r="U123" s="19" t="s">
        <v>697</v>
      </c>
      <c r="V123" s="18" t="s">
        <v>69</v>
      </c>
    </row>
    <row r="124" spans="1:22">
      <c r="A124" s="15" t="s">
        <v>698</v>
      </c>
      <c r="B124" s="15" t="s">
        <v>327</v>
      </c>
      <c r="C124" s="15" t="s">
        <v>184</v>
      </c>
      <c r="D124" s="15" t="s">
        <v>464</v>
      </c>
      <c r="E124" s="15" t="s">
        <v>84</v>
      </c>
      <c r="F124" s="15" t="s">
        <v>394</v>
      </c>
      <c r="G124" s="15" t="s">
        <v>76</v>
      </c>
      <c r="H124" s="15" t="s">
        <v>699</v>
      </c>
      <c r="I124" s="15" t="s">
        <v>212</v>
      </c>
      <c r="J124" s="15" t="s">
        <v>45</v>
      </c>
      <c r="K124" s="15" t="s">
        <v>46</v>
      </c>
      <c r="L124" s="15" t="s">
        <v>189</v>
      </c>
      <c r="M124" s="15">
        <v>13</v>
      </c>
      <c r="N124" s="15">
        <v>700</v>
      </c>
      <c r="O124" s="15">
        <v>5</v>
      </c>
      <c r="P124" s="15">
        <v>8645</v>
      </c>
      <c r="Q124" s="15">
        <v>3</v>
      </c>
      <c r="R124" s="15" t="s">
        <v>79</v>
      </c>
      <c r="S124" s="15" t="s">
        <v>115</v>
      </c>
      <c r="T124" s="15" t="s">
        <v>332</v>
      </c>
      <c r="U124" s="17" t="s">
        <v>700</v>
      </c>
      <c r="V124" s="15" t="s">
        <v>64</v>
      </c>
    </row>
    <row r="125" spans="1:22">
      <c r="A125" s="18" t="s">
        <v>701</v>
      </c>
      <c r="B125" s="18" t="s">
        <v>168</v>
      </c>
      <c r="C125" s="18" t="s">
        <v>72</v>
      </c>
      <c r="D125" s="18" t="s">
        <v>702</v>
      </c>
      <c r="E125" s="18" t="s">
        <v>703</v>
      </c>
      <c r="F125" s="18" t="s">
        <v>361</v>
      </c>
      <c r="G125" s="18" t="s">
        <v>28</v>
      </c>
      <c r="H125" s="18" t="s">
        <v>704</v>
      </c>
      <c r="I125" s="18" t="s">
        <v>105</v>
      </c>
      <c r="J125" s="18" t="s">
        <v>106</v>
      </c>
      <c r="K125" s="18" t="s">
        <v>46</v>
      </c>
      <c r="L125" s="18" t="s">
        <v>78</v>
      </c>
      <c r="M125" s="18">
        <v>14</v>
      </c>
      <c r="N125" s="18">
        <v>1200</v>
      </c>
      <c r="O125" s="18">
        <v>20</v>
      </c>
      <c r="P125" s="18">
        <v>13440</v>
      </c>
      <c r="Q125" s="18">
        <v>5</v>
      </c>
      <c r="R125" s="18" t="s">
        <v>48</v>
      </c>
      <c r="S125" s="18" t="s">
        <v>61</v>
      </c>
      <c r="T125" s="18" t="s">
        <v>175</v>
      </c>
      <c r="U125" s="19" t="s">
        <v>705</v>
      </c>
      <c r="V125" s="18" t="s">
        <v>38</v>
      </c>
    </row>
    <row r="126" spans="1:22">
      <c r="A126" s="15" t="s">
        <v>706</v>
      </c>
      <c r="B126" s="15" t="s">
        <v>100</v>
      </c>
      <c r="C126" s="15" t="s">
        <v>259</v>
      </c>
      <c r="D126" s="15" t="s">
        <v>597</v>
      </c>
      <c r="E126" s="15" t="s">
        <v>707</v>
      </c>
      <c r="F126" s="15" t="s">
        <v>103</v>
      </c>
      <c r="G126" s="15" t="s">
        <v>28</v>
      </c>
      <c r="H126" s="15" t="s">
        <v>708</v>
      </c>
      <c r="I126" s="15" t="s">
        <v>44</v>
      </c>
      <c r="J126" s="15" t="s">
        <v>45</v>
      </c>
      <c r="K126" s="15" t="s">
        <v>122</v>
      </c>
      <c r="L126" s="15" t="s">
        <v>263</v>
      </c>
      <c r="M126" s="15">
        <v>2</v>
      </c>
      <c r="N126" s="15">
        <v>45</v>
      </c>
      <c r="O126" s="15">
        <v>5</v>
      </c>
      <c r="P126" s="15">
        <v>85.5</v>
      </c>
      <c r="Q126" s="15">
        <v>3</v>
      </c>
      <c r="R126" s="15" t="s">
        <v>88</v>
      </c>
      <c r="S126" s="15" t="s">
        <v>35</v>
      </c>
      <c r="T126" s="15" t="s">
        <v>144</v>
      </c>
      <c r="U126" s="17" t="s">
        <v>709</v>
      </c>
      <c r="V126" s="15" t="s">
        <v>69</v>
      </c>
    </row>
    <row r="127" spans="1:22">
      <c r="A127" s="18" t="s">
        <v>710</v>
      </c>
      <c r="B127" s="18" t="s">
        <v>168</v>
      </c>
      <c r="C127" s="18" t="s">
        <v>72</v>
      </c>
      <c r="D127" s="18" t="s">
        <v>711</v>
      </c>
      <c r="E127" s="18" t="s">
        <v>712</v>
      </c>
      <c r="F127" s="18" t="s">
        <v>361</v>
      </c>
      <c r="G127" s="18" t="s">
        <v>28</v>
      </c>
      <c r="H127" s="18" t="s">
        <v>713</v>
      </c>
      <c r="I127" s="18" t="s">
        <v>59</v>
      </c>
      <c r="J127" s="18" t="s">
        <v>31</v>
      </c>
      <c r="K127" s="18" t="s">
        <v>46</v>
      </c>
      <c r="L127" s="18" t="s">
        <v>78</v>
      </c>
      <c r="M127" s="18">
        <v>2</v>
      </c>
      <c r="N127" s="18">
        <v>1200</v>
      </c>
      <c r="O127" s="18">
        <v>20</v>
      </c>
      <c r="P127" s="18">
        <v>1920</v>
      </c>
      <c r="Q127" s="18">
        <v>3</v>
      </c>
      <c r="R127" s="18" t="s">
        <v>79</v>
      </c>
      <c r="S127" s="18" t="s">
        <v>115</v>
      </c>
      <c r="T127" s="18" t="s">
        <v>175</v>
      </c>
      <c r="U127" s="19" t="s">
        <v>714</v>
      </c>
      <c r="V127" s="18" t="s">
        <v>38</v>
      </c>
    </row>
    <row r="128" spans="1:22">
      <c r="A128" s="15" t="s">
        <v>715</v>
      </c>
      <c r="B128" s="15" t="s">
        <v>127</v>
      </c>
      <c r="C128" s="15" t="s">
        <v>54</v>
      </c>
      <c r="D128" s="15" t="s">
        <v>224</v>
      </c>
      <c r="E128" s="15" t="s">
        <v>716</v>
      </c>
      <c r="F128" s="15" t="s">
        <v>200</v>
      </c>
      <c r="G128" s="15" t="s">
        <v>76</v>
      </c>
      <c r="H128" s="15" t="s">
        <v>717</v>
      </c>
      <c r="I128" s="15" t="s">
        <v>59</v>
      </c>
      <c r="J128" s="15" t="s">
        <v>31</v>
      </c>
      <c r="K128" s="15" t="s">
        <v>46</v>
      </c>
      <c r="L128" s="15" t="s">
        <v>60</v>
      </c>
      <c r="M128" s="15">
        <v>10</v>
      </c>
      <c r="N128" s="15">
        <v>55000</v>
      </c>
      <c r="O128" s="15">
        <v>5</v>
      </c>
      <c r="P128" s="15">
        <v>522500</v>
      </c>
      <c r="Q128" s="15">
        <v>5</v>
      </c>
      <c r="R128" s="15" t="s">
        <v>88</v>
      </c>
      <c r="S128" s="15" t="s">
        <v>61</v>
      </c>
      <c r="T128" s="15" t="s">
        <v>132</v>
      </c>
      <c r="U128" s="17" t="s">
        <v>718</v>
      </c>
      <c r="V128" s="15" t="s">
        <v>64</v>
      </c>
    </row>
    <row r="129" spans="1:22">
      <c r="A129" s="18" t="s">
        <v>719</v>
      </c>
      <c r="B129" s="18" t="s">
        <v>251</v>
      </c>
      <c r="C129" s="18" t="s">
        <v>92</v>
      </c>
      <c r="D129" s="18" t="s">
        <v>720</v>
      </c>
      <c r="E129" s="18" t="s">
        <v>382</v>
      </c>
      <c r="F129" s="18" t="s">
        <v>254</v>
      </c>
      <c r="G129" s="18" t="s">
        <v>28</v>
      </c>
      <c r="H129" s="18" t="s">
        <v>721</v>
      </c>
      <c r="I129" s="18" t="s">
        <v>212</v>
      </c>
      <c r="J129" s="18" t="s">
        <v>45</v>
      </c>
      <c r="K129" s="18" t="s">
        <v>32</v>
      </c>
      <c r="L129" s="18" t="s">
        <v>97</v>
      </c>
      <c r="M129" s="18">
        <v>15</v>
      </c>
      <c r="N129" s="18">
        <v>3500</v>
      </c>
      <c r="O129" s="18">
        <v>10</v>
      </c>
      <c r="P129" s="18">
        <v>47250</v>
      </c>
      <c r="Q129" s="18">
        <v>3</v>
      </c>
      <c r="R129" s="18" t="s">
        <v>48</v>
      </c>
      <c r="S129" s="18" t="s">
        <v>115</v>
      </c>
      <c r="T129" s="18" t="s">
        <v>256</v>
      </c>
      <c r="U129" s="19" t="s">
        <v>722</v>
      </c>
      <c r="V129" s="18" t="s">
        <v>38</v>
      </c>
    </row>
    <row r="130" spans="1:22">
      <c r="A130" s="15" t="s">
        <v>723</v>
      </c>
      <c r="B130" s="15" t="s">
        <v>100</v>
      </c>
      <c r="C130" s="15" t="s">
        <v>24</v>
      </c>
      <c r="D130" s="15" t="s">
        <v>562</v>
      </c>
      <c r="E130" s="15" t="s">
        <v>724</v>
      </c>
      <c r="F130" s="15" t="s">
        <v>103</v>
      </c>
      <c r="G130" s="15" t="s">
        <v>28</v>
      </c>
      <c r="H130" s="15" t="s">
        <v>725</v>
      </c>
      <c r="I130" s="15" t="s">
        <v>59</v>
      </c>
      <c r="J130" s="15" t="s">
        <v>31</v>
      </c>
      <c r="K130" s="15" t="s">
        <v>32</v>
      </c>
      <c r="L130" s="15" t="s">
        <v>33</v>
      </c>
      <c r="M130" s="15">
        <v>10</v>
      </c>
      <c r="N130" s="15">
        <v>2200</v>
      </c>
      <c r="O130" s="15">
        <v>15</v>
      </c>
      <c r="P130" s="15">
        <v>18700</v>
      </c>
      <c r="Q130" s="15">
        <v>4</v>
      </c>
      <c r="R130" s="15" t="s">
        <v>79</v>
      </c>
      <c r="S130" s="15" t="s">
        <v>49</v>
      </c>
      <c r="T130" s="15" t="s">
        <v>144</v>
      </c>
      <c r="U130" s="17" t="s">
        <v>726</v>
      </c>
      <c r="V130" s="15" t="s">
        <v>64</v>
      </c>
    </row>
    <row r="131" spans="1:22">
      <c r="A131" s="18" t="s">
        <v>727</v>
      </c>
      <c r="B131" s="18" t="s">
        <v>251</v>
      </c>
      <c r="C131" s="18" t="s">
        <v>92</v>
      </c>
      <c r="D131" s="18" t="s">
        <v>260</v>
      </c>
      <c r="E131" s="18" t="s">
        <v>231</v>
      </c>
      <c r="F131" s="18" t="s">
        <v>254</v>
      </c>
      <c r="G131" s="18" t="s">
        <v>28</v>
      </c>
      <c r="H131" s="18" t="s">
        <v>728</v>
      </c>
      <c r="I131" s="18" t="s">
        <v>114</v>
      </c>
      <c r="J131" s="18" t="s">
        <v>106</v>
      </c>
      <c r="K131" s="18" t="s">
        <v>32</v>
      </c>
      <c r="L131" s="18" t="s">
        <v>97</v>
      </c>
      <c r="M131" s="18">
        <v>11</v>
      </c>
      <c r="N131" s="18">
        <v>3500</v>
      </c>
      <c r="O131" s="18">
        <v>5</v>
      </c>
      <c r="P131" s="18">
        <v>36575</v>
      </c>
      <c r="Q131" s="18">
        <v>5</v>
      </c>
      <c r="R131" s="18" t="s">
        <v>34</v>
      </c>
      <c r="S131" s="18" t="s">
        <v>35</v>
      </c>
      <c r="T131" s="18" t="s">
        <v>256</v>
      </c>
      <c r="U131" s="19" t="s">
        <v>729</v>
      </c>
      <c r="V131" s="18" t="s">
        <v>69</v>
      </c>
    </row>
    <row r="132" spans="1:22">
      <c r="A132" s="15" t="s">
        <v>730</v>
      </c>
      <c r="B132" s="15" t="s">
        <v>168</v>
      </c>
      <c r="C132" s="15" t="s">
        <v>72</v>
      </c>
      <c r="D132" s="15" t="s">
        <v>731</v>
      </c>
      <c r="E132" s="15" t="s">
        <v>732</v>
      </c>
      <c r="F132" s="15" t="s">
        <v>361</v>
      </c>
      <c r="G132" s="15" t="s">
        <v>28</v>
      </c>
      <c r="H132" s="15" t="s">
        <v>733</v>
      </c>
      <c r="I132" s="15" t="s">
        <v>59</v>
      </c>
      <c r="J132" s="15" t="s">
        <v>31</v>
      </c>
      <c r="K132" s="15" t="s">
        <v>46</v>
      </c>
      <c r="L132" s="15" t="s">
        <v>78</v>
      </c>
      <c r="M132" s="15">
        <v>14</v>
      </c>
      <c r="N132" s="15">
        <v>1200</v>
      </c>
      <c r="O132" s="15">
        <v>0</v>
      </c>
      <c r="P132" s="15">
        <v>16800</v>
      </c>
      <c r="Q132" s="15">
        <v>5</v>
      </c>
      <c r="R132" s="15" t="s">
        <v>34</v>
      </c>
      <c r="S132" s="15" t="s">
        <v>49</v>
      </c>
      <c r="T132" s="15" t="s">
        <v>175</v>
      </c>
      <c r="U132" s="17" t="s">
        <v>734</v>
      </c>
      <c r="V132" s="15" t="s">
        <v>69</v>
      </c>
    </row>
    <row r="133" spans="1:22">
      <c r="A133" s="18" t="s">
        <v>735</v>
      </c>
      <c r="B133" s="18" t="s">
        <v>100</v>
      </c>
      <c r="C133" s="18" t="s">
        <v>222</v>
      </c>
      <c r="D133" s="18" t="s">
        <v>736</v>
      </c>
      <c r="E133" s="18" t="s">
        <v>170</v>
      </c>
      <c r="F133" s="18" t="s">
        <v>103</v>
      </c>
      <c r="G133" s="18" t="s">
        <v>28</v>
      </c>
      <c r="H133" s="18" t="s">
        <v>737</v>
      </c>
      <c r="I133" s="18" t="s">
        <v>44</v>
      </c>
      <c r="J133" s="18" t="s">
        <v>45</v>
      </c>
      <c r="K133" s="18" t="s">
        <v>122</v>
      </c>
      <c r="L133" s="18" t="s">
        <v>227</v>
      </c>
      <c r="M133" s="18">
        <v>11</v>
      </c>
      <c r="N133" s="18">
        <v>20</v>
      </c>
      <c r="O133" s="18">
        <v>20</v>
      </c>
      <c r="P133" s="18">
        <v>176</v>
      </c>
      <c r="Q133" s="18">
        <v>4</v>
      </c>
      <c r="R133" s="18" t="s">
        <v>48</v>
      </c>
      <c r="S133" s="18" t="s">
        <v>35</v>
      </c>
      <c r="T133" s="18" t="s">
        <v>144</v>
      </c>
      <c r="U133" s="19" t="s">
        <v>738</v>
      </c>
      <c r="V133" s="18" t="s">
        <v>38</v>
      </c>
    </row>
    <row r="134" spans="1:22">
      <c r="A134" s="15" t="s">
        <v>739</v>
      </c>
      <c r="B134" s="15" t="s">
        <v>71</v>
      </c>
      <c r="C134" s="15" t="s">
        <v>40</v>
      </c>
      <c r="D134" s="15" t="s">
        <v>740</v>
      </c>
      <c r="E134" s="15" t="s">
        <v>657</v>
      </c>
      <c r="F134" s="15" t="s">
        <v>217</v>
      </c>
      <c r="G134" s="15" t="s">
        <v>76</v>
      </c>
      <c r="H134" s="15" t="s">
        <v>741</v>
      </c>
      <c r="I134" s="15" t="s">
        <v>114</v>
      </c>
      <c r="J134" s="15" t="s">
        <v>106</v>
      </c>
      <c r="K134" s="15" t="s">
        <v>46</v>
      </c>
      <c r="L134" s="15" t="s">
        <v>47</v>
      </c>
      <c r="M134" s="15">
        <v>6</v>
      </c>
      <c r="N134" s="15">
        <v>12000</v>
      </c>
      <c r="O134" s="15">
        <v>10</v>
      </c>
      <c r="P134" s="15">
        <v>64800</v>
      </c>
      <c r="Q134" s="15">
        <v>5</v>
      </c>
      <c r="R134" s="15" t="s">
        <v>88</v>
      </c>
      <c r="S134" s="15" t="s">
        <v>151</v>
      </c>
      <c r="T134" s="15" t="s">
        <v>80</v>
      </c>
      <c r="U134" s="17" t="s">
        <v>742</v>
      </c>
      <c r="V134" s="15" t="s">
        <v>38</v>
      </c>
    </row>
    <row r="135" spans="1:22">
      <c r="A135" s="18" t="s">
        <v>743</v>
      </c>
      <c r="B135" s="18" t="s">
        <v>71</v>
      </c>
      <c r="C135" s="18" t="s">
        <v>24</v>
      </c>
      <c r="D135" s="18" t="s">
        <v>652</v>
      </c>
      <c r="E135" s="18" t="s">
        <v>539</v>
      </c>
      <c r="F135" s="18" t="s">
        <v>217</v>
      </c>
      <c r="G135" s="18" t="s">
        <v>76</v>
      </c>
      <c r="H135" s="18" t="s">
        <v>744</v>
      </c>
      <c r="I135" s="18" t="s">
        <v>30</v>
      </c>
      <c r="J135" s="18" t="s">
        <v>31</v>
      </c>
      <c r="K135" s="18" t="s">
        <v>32</v>
      </c>
      <c r="L135" s="18" t="s">
        <v>33</v>
      </c>
      <c r="M135" s="18">
        <v>6</v>
      </c>
      <c r="N135" s="18">
        <v>2200</v>
      </c>
      <c r="O135" s="18">
        <v>5</v>
      </c>
      <c r="P135" s="18">
        <v>12540</v>
      </c>
      <c r="Q135" s="18">
        <v>4</v>
      </c>
      <c r="R135" s="18" t="s">
        <v>34</v>
      </c>
      <c r="S135" s="18" t="s">
        <v>49</v>
      </c>
      <c r="T135" s="18" t="s">
        <v>80</v>
      </c>
      <c r="U135" s="19" t="s">
        <v>745</v>
      </c>
      <c r="V135" s="18" t="s">
        <v>38</v>
      </c>
    </row>
    <row r="136" spans="1:22">
      <c r="A136" s="15" t="s">
        <v>746</v>
      </c>
      <c r="B136" s="15" t="s">
        <v>53</v>
      </c>
      <c r="C136" s="15" t="s">
        <v>92</v>
      </c>
      <c r="D136" s="15" t="s">
        <v>408</v>
      </c>
      <c r="E136" s="15" t="s">
        <v>488</v>
      </c>
      <c r="F136" s="15" t="s">
        <v>163</v>
      </c>
      <c r="G136" s="15" t="s">
        <v>28</v>
      </c>
      <c r="H136" s="15" t="s">
        <v>747</v>
      </c>
      <c r="I136" s="15" t="s">
        <v>44</v>
      </c>
      <c r="J136" s="15" t="s">
        <v>45</v>
      </c>
      <c r="K136" s="15" t="s">
        <v>32</v>
      </c>
      <c r="L136" s="15" t="s">
        <v>97</v>
      </c>
      <c r="M136" s="15">
        <v>3</v>
      </c>
      <c r="N136" s="15">
        <v>3500</v>
      </c>
      <c r="O136" s="15">
        <v>5</v>
      </c>
      <c r="P136" s="15">
        <v>9975</v>
      </c>
      <c r="Q136" s="15">
        <v>4</v>
      </c>
      <c r="R136" s="15" t="s">
        <v>48</v>
      </c>
      <c r="S136" s="15" t="s">
        <v>49</v>
      </c>
      <c r="T136" s="15" t="s">
        <v>62</v>
      </c>
      <c r="U136" s="17" t="s">
        <v>748</v>
      </c>
      <c r="V136" s="15" t="s">
        <v>64</v>
      </c>
    </row>
    <row r="137" spans="1:22">
      <c r="A137" s="18" t="s">
        <v>749</v>
      </c>
      <c r="B137" s="18" t="s">
        <v>71</v>
      </c>
      <c r="C137" s="18" t="s">
        <v>169</v>
      </c>
      <c r="D137" s="18" t="s">
        <v>750</v>
      </c>
      <c r="E137" s="18" t="s">
        <v>751</v>
      </c>
      <c r="F137" s="18" t="s">
        <v>217</v>
      </c>
      <c r="G137" s="18" t="s">
        <v>76</v>
      </c>
      <c r="H137" s="18" t="s">
        <v>752</v>
      </c>
      <c r="I137" s="18" t="s">
        <v>30</v>
      </c>
      <c r="J137" s="18" t="s">
        <v>31</v>
      </c>
      <c r="K137" s="18" t="s">
        <v>32</v>
      </c>
      <c r="L137" s="18" t="s">
        <v>174</v>
      </c>
      <c r="M137" s="18">
        <v>5</v>
      </c>
      <c r="N137" s="18">
        <v>8500</v>
      </c>
      <c r="O137" s="18">
        <v>20</v>
      </c>
      <c r="P137" s="18">
        <v>34000</v>
      </c>
      <c r="Q137" s="18">
        <v>5</v>
      </c>
      <c r="R137" s="18" t="s">
        <v>34</v>
      </c>
      <c r="S137" s="18" t="s">
        <v>61</v>
      </c>
      <c r="T137" s="18" t="s">
        <v>80</v>
      </c>
      <c r="U137" s="19" t="s">
        <v>753</v>
      </c>
      <c r="V137" s="18" t="s">
        <v>64</v>
      </c>
    </row>
    <row r="138" spans="1:22">
      <c r="A138" s="15" t="s">
        <v>754</v>
      </c>
      <c r="B138" s="15" t="s">
        <v>23</v>
      </c>
      <c r="C138" s="15" t="s">
        <v>92</v>
      </c>
      <c r="D138" s="15" t="s">
        <v>755</v>
      </c>
      <c r="E138" s="15" t="s">
        <v>756</v>
      </c>
      <c r="F138" s="15" t="s">
        <v>27</v>
      </c>
      <c r="G138" s="15" t="s">
        <v>28</v>
      </c>
      <c r="H138" s="15" t="s">
        <v>757</v>
      </c>
      <c r="I138" s="15" t="s">
        <v>59</v>
      </c>
      <c r="J138" s="15" t="s">
        <v>31</v>
      </c>
      <c r="K138" s="15" t="s">
        <v>32</v>
      </c>
      <c r="L138" s="15" t="s">
        <v>97</v>
      </c>
      <c r="M138" s="15">
        <v>14</v>
      </c>
      <c r="N138" s="15">
        <v>3500</v>
      </c>
      <c r="O138" s="15">
        <v>10</v>
      </c>
      <c r="P138" s="15">
        <v>44100</v>
      </c>
      <c r="Q138" s="15">
        <v>4</v>
      </c>
      <c r="R138" s="15" t="s">
        <v>88</v>
      </c>
      <c r="S138" s="15" t="s">
        <v>35</v>
      </c>
      <c r="T138" s="15" t="s">
        <v>50</v>
      </c>
      <c r="U138" s="17" t="s">
        <v>758</v>
      </c>
      <c r="V138" s="15" t="s">
        <v>69</v>
      </c>
    </row>
    <row r="139" spans="1:22">
      <c r="A139" s="18" t="s">
        <v>759</v>
      </c>
      <c r="B139" s="18" t="s">
        <v>327</v>
      </c>
      <c r="C139" s="18" t="s">
        <v>259</v>
      </c>
      <c r="D139" s="18" t="s">
        <v>760</v>
      </c>
      <c r="E139" s="18" t="s">
        <v>761</v>
      </c>
      <c r="F139" s="18" t="s">
        <v>394</v>
      </c>
      <c r="G139" s="18" t="s">
        <v>76</v>
      </c>
      <c r="H139" s="18" t="s">
        <v>762</v>
      </c>
      <c r="I139" s="18" t="s">
        <v>138</v>
      </c>
      <c r="J139" s="18" t="s">
        <v>106</v>
      </c>
      <c r="K139" s="18" t="s">
        <v>122</v>
      </c>
      <c r="L139" s="18" t="s">
        <v>263</v>
      </c>
      <c r="M139" s="18">
        <v>8</v>
      </c>
      <c r="N139" s="18">
        <v>45</v>
      </c>
      <c r="O139" s="18">
        <v>0</v>
      </c>
      <c r="P139" s="18">
        <v>360</v>
      </c>
      <c r="Q139" s="18">
        <v>1</v>
      </c>
      <c r="R139" s="18" t="s">
        <v>79</v>
      </c>
      <c r="S139" s="18" t="s">
        <v>151</v>
      </c>
      <c r="T139" s="18" t="s">
        <v>332</v>
      </c>
      <c r="U139" s="19" t="s">
        <v>763</v>
      </c>
      <c r="V139" s="18" t="s">
        <v>69</v>
      </c>
    </row>
    <row r="140" spans="1:22">
      <c r="A140" s="15" t="s">
        <v>764</v>
      </c>
      <c r="B140" s="15" t="s">
        <v>221</v>
      </c>
      <c r="C140" s="15" t="s">
        <v>259</v>
      </c>
      <c r="D140" s="15" t="s">
        <v>765</v>
      </c>
      <c r="E140" s="15" t="s">
        <v>766</v>
      </c>
      <c r="F140" s="15" t="s">
        <v>225</v>
      </c>
      <c r="G140" s="15" t="s">
        <v>76</v>
      </c>
      <c r="H140" s="15" t="s">
        <v>767</v>
      </c>
      <c r="I140" s="15" t="s">
        <v>44</v>
      </c>
      <c r="J140" s="15" t="s">
        <v>45</v>
      </c>
      <c r="K140" s="15" t="s">
        <v>122</v>
      </c>
      <c r="L140" s="15" t="s">
        <v>263</v>
      </c>
      <c r="M140" s="15">
        <v>11</v>
      </c>
      <c r="N140" s="15">
        <v>45</v>
      </c>
      <c r="O140" s="15">
        <v>5</v>
      </c>
      <c r="P140" s="15">
        <v>470.25</v>
      </c>
      <c r="Q140" s="15">
        <v>3</v>
      </c>
      <c r="R140" s="15" t="s">
        <v>79</v>
      </c>
      <c r="S140" s="15" t="s">
        <v>49</v>
      </c>
      <c r="T140" s="15" t="s">
        <v>228</v>
      </c>
      <c r="U140" s="17" t="s">
        <v>768</v>
      </c>
      <c r="V140" s="15" t="s">
        <v>38</v>
      </c>
    </row>
    <row r="141" spans="1:22">
      <c r="A141" s="18" t="s">
        <v>769</v>
      </c>
      <c r="B141" s="18" t="s">
        <v>83</v>
      </c>
      <c r="C141" s="18" t="s">
        <v>54</v>
      </c>
      <c r="D141" s="18" t="s">
        <v>770</v>
      </c>
      <c r="E141" s="18" t="s">
        <v>771</v>
      </c>
      <c r="F141" s="18" t="s">
        <v>180</v>
      </c>
      <c r="G141" s="18" t="s">
        <v>76</v>
      </c>
      <c r="H141" s="18" t="s">
        <v>772</v>
      </c>
      <c r="I141" s="18" t="s">
        <v>138</v>
      </c>
      <c r="J141" s="18" t="s">
        <v>106</v>
      </c>
      <c r="K141" s="18" t="s">
        <v>46</v>
      </c>
      <c r="L141" s="18" t="s">
        <v>60</v>
      </c>
      <c r="M141" s="18">
        <v>19</v>
      </c>
      <c r="N141" s="18">
        <v>55000</v>
      </c>
      <c r="O141" s="18">
        <v>0</v>
      </c>
      <c r="P141" s="18">
        <v>1045000</v>
      </c>
      <c r="Q141" s="18">
        <v>2</v>
      </c>
      <c r="R141" s="18" t="s">
        <v>79</v>
      </c>
      <c r="S141" s="18" t="s">
        <v>35</v>
      </c>
      <c r="T141" s="18" t="s">
        <v>89</v>
      </c>
      <c r="U141" s="19" t="s">
        <v>773</v>
      </c>
      <c r="V141" s="18" t="s">
        <v>69</v>
      </c>
    </row>
    <row r="142" spans="1:22">
      <c r="A142" s="15" t="s">
        <v>774</v>
      </c>
      <c r="B142" s="15" t="s">
        <v>53</v>
      </c>
      <c r="C142" s="15" t="s">
        <v>92</v>
      </c>
      <c r="D142" s="15" t="s">
        <v>775</v>
      </c>
      <c r="E142" s="15" t="s">
        <v>539</v>
      </c>
      <c r="F142" s="15" t="s">
        <v>163</v>
      </c>
      <c r="G142" s="15" t="s">
        <v>28</v>
      </c>
      <c r="H142" s="15" t="s">
        <v>776</v>
      </c>
      <c r="I142" s="15" t="s">
        <v>114</v>
      </c>
      <c r="J142" s="15" t="s">
        <v>106</v>
      </c>
      <c r="K142" s="15" t="s">
        <v>32</v>
      </c>
      <c r="L142" s="15" t="s">
        <v>97</v>
      </c>
      <c r="M142" s="15">
        <v>20</v>
      </c>
      <c r="N142" s="15">
        <v>3500</v>
      </c>
      <c r="O142" s="15">
        <v>20</v>
      </c>
      <c r="P142" s="15">
        <v>56000</v>
      </c>
      <c r="Q142" s="15">
        <v>4</v>
      </c>
      <c r="R142" s="15" t="s">
        <v>48</v>
      </c>
      <c r="S142" s="15" t="s">
        <v>49</v>
      </c>
      <c r="T142" s="15" t="s">
        <v>62</v>
      </c>
      <c r="U142" s="17" t="s">
        <v>777</v>
      </c>
      <c r="V142" s="15" t="s">
        <v>38</v>
      </c>
    </row>
    <row r="143" spans="1:22">
      <c r="A143" s="18" t="s">
        <v>778</v>
      </c>
      <c r="B143" s="18" t="s">
        <v>83</v>
      </c>
      <c r="C143" s="18" t="s">
        <v>24</v>
      </c>
      <c r="D143" s="18" t="s">
        <v>276</v>
      </c>
      <c r="E143" s="18" t="s">
        <v>779</v>
      </c>
      <c r="F143" s="18" t="s">
        <v>180</v>
      </c>
      <c r="G143" s="18" t="s">
        <v>76</v>
      </c>
      <c r="H143" s="18" t="s">
        <v>780</v>
      </c>
      <c r="I143" s="18" t="s">
        <v>114</v>
      </c>
      <c r="J143" s="18" t="s">
        <v>106</v>
      </c>
      <c r="K143" s="18" t="s">
        <v>32</v>
      </c>
      <c r="L143" s="18" t="s">
        <v>33</v>
      </c>
      <c r="M143" s="18">
        <v>17</v>
      </c>
      <c r="N143" s="18">
        <v>2200</v>
      </c>
      <c r="O143" s="18">
        <v>0</v>
      </c>
      <c r="P143" s="18">
        <v>37400</v>
      </c>
      <c r="Q143" s="18">
        <v>5</v>
      </c>
      <c r="R143" s="18" t="s">
        <v>48</v>
      </c>
      <c r="S143" s="18" t="s">
        <v>35</v>
      </c>
      <c r="T143" s="18" t="s">
        <v>89</v>
      </c>
      <c r="U143" s="19" t="s">
        <v>781</v>
      </c>
      <c r="V143" s="18" t="s">
        <v>64</v>
      </c>
    </row>
    <row r="144" spans="1:22">
      <c r="A144" s="15" t="s">
        <v>782</v>
      </c>
      <c r="B144" s="15" t="s">
        <v>83</v>
      </c>
      <c r="C144" s="15" t="s">
        <v>72</v>
      </c>
      <c r="D144" s="15" t="s">
        <v>770</v>
      </c>
      <c r="E144" s="15" t="s">
        <v>783</v>
      </c>
      <c r="F144" s="15" t="s">
        <v>180</v>
      </c>
      <c r="G144" s="15" t="s">
        <v>76</v>
      </c>
      <c r="H144" s="15" t="s">
        <v>784</v>
      </c>
      <c r="I144" s="15" t="s">
        <v>114</v>
      </c>
      <c r="J144" s="15" t="s">
        <v>106</v>
      </c>
      <c r="K144" s="15" t="s">
        <v>46</v>
      </c>
      <c r="L144" s="15" t="s">
        <v>78</v>
      </c>
      <c r="M144" s="15">
        <v>10</v>
      </c>
      <c r="N144" s="15">
        <v>1200</v>
      </c>
      <c r="O144" s="15">
        <v>5</v>
      </c>
      <c r="P144" s="15">
        <v>11400</v>
      </c>
      <c r="Q144" s="15">
        <v>2</v>
      </c>
      <c r="R144" s="15" t="s">
        <v>34</v>
      </c>
      <c r="S144" s="15" t="s">
        <v>49</v>
      </c>
      <c r="T144" s="15" t="s">
        <v>89</v>
      </c>
      <c r="U144" s="17" t="s">
        <v>785</v>
      </c>
      <c r="V144" s="15" t="s">
        <v>69</v>
      </c>
    </row>
    <row r="145" spans="1:22">
      <c r="A145" s="18" t="s">
        <v>786</v>
      </c>
      <c r="B145" s="18" t="s">
        <v>221</v>
      </c>
      <c r="C145" s="18" t="s">
        <v>118</v>
      </c>
      <c r="D145" s="18" t="s">
        <v>787</v>
      </c>
      <c r="E145" s="18" t="s">
        <v>788</v>
      </c>
      <c r="F145" s="18" t="s">
        <v>225</v>
      </c>
      <c r="G145" s="18" t="s">
        <v>76</v>
      </c>
      <c r="H145" s="18" t="s">
        <v>789</v>
      </c>
      <c r="I145" s="18" t="s">
        <v>30</v>
      </c>
      <c r="J145" s="18" t="s">
        <v>31</v>
      </c>
      <c r="K145" s="18" t="s">
        <v>122</v>
      </c>
      <c r="L145" s="18" t="s">
        <v>123</v>
      </c>
      <c r="M145" s="18">
        <v>3</v>
      </c>
      <c r="N145" s="18">
        <v>60</v>
      </c>
      <c r="O145" s="18">
        <v>0</v>
      </c>
      <c r="P145" s="18">
        <v>180</v>
      </c>
      <c r="Q145" s="18">
        <v>4</v>
      </c>
      <c r="R145" s="18" t="s">
        <v>48</v>
      </c>
      <c r="S145" s="18" t="s">
        <v>151</v>
      </c>
      <c r="T145" s="18" t="s">
        <v>228</v>
      </c>
      <c r="U145" s="19" t="s">
        <v>790</v>
      </c>
      <c r="V145" s="18" t="s">
        <v>38</v>
      </c>
    </row>
    <row r="146" spans="1:22">
      <c r="A146" s="15" t="s">
        <v>791</v>
      </c>
      <c r="B146" s="15" t="s">
        <v>53</v>
      </c>
      <c r="C146" s="15" t="s">
        <v>24</v>
      </c>
      <c r="D146" s="15" t="s">
        <v>792</v>
      </c>
      <c r="E146" s="15" t="s">
        <v>793</v>
      </c>
      <c r="F146" s="15" t="s">
        <v>163</v>
      </c>
      <c r="G146" s="15" t="s">
        <v>28</v>
      </c>
      <c r="H146" s="15" t="s">
        <v>794</v>
      </c>
      <c r="I146" s="15" t="s">
        <v>105</v>
      </c>
      <c r="J146" s="15" t="s">
        <v>106</v>
      </c>
      <c r="K146" s="15" t="s">
        <v>32</v>
      </c>
      <c r="L146" s="15" t="s">
        <v>33</v>
      </c>
      <c r="M146" s="15">
        <v>18</v>
      </c>
      <c r="N146" s="15">
        <v>2200</v>
      </c>
      <c r="O146" s="15">
        <v>10</v>
      </c>
      <c r="P146" s="15">
        <v>35640</v>
      </c>
      <c r="Q146" s="15">
        <v>1</v>
      </c>
      <c r="R146" s="15" t="s">
        <v>79</v>
      </c>
      <c r="S146" s="15" t="s">
        <v>151</v>
      </c>
      <c r="T146" s="15" t="s">
        <v>62</v>
      </c>
      <c r="U146" s="17" t="s">
        <v>795</v>
      </c>
      <c r="V146" s="15" t="s">
        <v>69</v>
      </c>
    </row>
    <row r="147" spans="1:22">
      <c r="A147" s="18" t="s">
        <v>796</v>
      </c>
      <c r="B147" s="18" t="s">
        <v>71</v>
      </c>
      <c r="C147" s="18" t="s">
        <v>118</v>
      </c>
      <c r="D147" s="18" t="s">
        <v>797</v>
      </c>
      <c r="E147" s="18" t="s">
        <v>798</v>
      </c>
      <c r="F147" s="18" t="s">
        <v>217</v>
      </c>
      <c r="G147" s="18" t="s">
        <v>76</v>
      </c>
      <c r="H147" s="18" t="s">
        <v>799</v>
      </c>
      <c r="I147" s="18" t="s">
        <v>44</v>
      </c>
      <c r="J147" s="18" t="s">
        <v>45</v>
      </c>
      <c r="K147" s="18" t="s">
        <v>122</v>
      </c>
      <c r="L147" s="18" t="s">
        <v>123</v>
      </c>
      <c r="M147" s="18">
        <v>18</v>
      </c>
      <c r="N147" s="18">
        <v>60</v>
      </c>
      <c r="O147" s="18">
        <v>5</v>
      </c>
      <c r="P147" s="18">
        <v>1026</v>
      </c>
      <c r="Q147" s="18">
        <v>3</v>
      </c>
      <c r="R147" s="18" t="s">
        <v>79</v>
      </c>
      <c r="S147" s="18" t="s">
        <v>49</v>
      </c>
      <c r="T147" s="18" t="s">
        <v>80</v>
      </c>
      <c r="U147" s="19" t="s">
        <v>800</v>
      </c>
      <c r="V147" s="18" t="s">
        <v>64</v>
      </c>
    </row>
    <row r="148" spans="1:22">
      <c r="A148" s="15" t="s">
        <v>801</v>
      </c>
      <c r="B148" s="15" t="s">
        <v>127</v>
      </c>
      <c r="C148" s="15" t="s">
        <v>54</v>
      </c>
      <c r="D148" s="15" t="s">
        <v>422</v>
      </c>
      <c r="E148" s="15" t="s">
        <v>377</v>
      </c>
      <c r="F148" s="15" t="s">
        <v>200</v>
      </c>
      <c r="G148" s="15" t="s">
        <v>76</v>
      </c>
      <c r="H148" s="15" t="s">
        <v>802</v>
      </c>
      <c r="I148" s="15" t="s">
        <v>114</v>
      </c>
      <c r="J148" s="15" t="s">
        <v>106</v>
      </c>
      <c r="K148" s="15" t="s">
        <v>46</v>
      </c>
      <c r="L148" s="15" t="s">
        <v>60</v>
      </c>
      <c r="M148" s="15">
        <v>11</v>
      </c>
      <c r="N148" s="15">
        <v>55000</v>
      </c>
      <c r="O148" s="15">
        <v>15</v>
      </c>
      <c r="P148" s="15">
        <v>514250</v>
      </c>
      <c r="Q148" s="15">
        <v>4</v>
      </c>
      <c r="R148" s="15" t="s">
        <v>88</v>
      </c>
      <c r="S148" s="15" t="s">
        <v>115</v>
      </c>
      <c r="T148" s="15" t="s">
        <v>132</v>
      </c>
      <c r="U148" s="17" t="s">
        <v>803</v>
      </c>
      <c r="V148" s="15" t="s">
        <v>69</v>
      </c>
    </row>
    <row r="149" spans="1:22">
      <c r="A149" s="18" t="s">
        <v>804</v>
      </c>
      <c r="B149" s="18" t="s">
        <v>251</v>
      </c>
      <c r="C149" s="18" t="s">
        <v>169</v>
      </c>
      <c r="D149" s="18" t="s">
        <v>474</v>
      </c>
      <c r="E149" s="18" t="s">
        <v>464</v>
      </c>
      <c r="F149" s="18" t="s">
        <v>254</v>
      </c>
      <c r="G149" s="18" t="s">
        <v>28</v>
      </c>
      <c r="H149" s="18" t="s">
        <v>805</v>
      </c>
      <c r="I149" s="18" t="s">
        <v>294</v>
      </c>
      <c r="J149" s="18" t="s">
        <v>295</v>
      </c>
      <c r="K149" s="18" t="s">
        <v>32</v>
      </c>
      <c r="L149" s="18" t="s">
        <v>174</v>
      </c>
      <c r="M149" s="18">
        <v>5</v>
      </c>
      <c r="N149" s="18">
        <v>8500</v>
      </c>
      <c r="O149" s="18">
        <v>5</v>
      </c>
      <c r="P149" s="18">
        <v>40375</v>
      </c>
      <c r="Q149" s="18">
        <v>4</v>
      </c>
      <c r="R149" s="18" t="s">
        <v>34</v>
      </c>
      <c r="S149" s="18" t="s">
        <v>151</v>
      </c>
      <c r="T149" s="18" t="s">
        <v>256</v>
      </c>
      <c r="U149" s="19" t="s">
        <v>806</v>
      </c>
      <c r="V149" s="18" t="s">
        <v>38</v>
      </c>
    </row>
    <row r="150" spans="1:22">
      <c r="A150" s="15" t="s">
        <v>192</v>
      </c>
      <c r="B150" s="15" t="s">
        <v>100</v>
      </c>
      <c r="C150" s="15" t="s">
        <v>184</v>
      </c>
      <c r="D150" s="15" t="s">
        <v>246</v>
      </c>
      <c r="E150" s="15" t="s">
        <v>128</v>
      </c>
      <c r="F150" s="15" t="s">
        <v>103</v>
      </c>
      <c r="G150" s="15" t="s">
        <v>28</v>
      </c>
      <c r="H150" s="15" t="s">
        <v>807</v>
      </c>
      <c r="I150" s="15" t="s">
        <v>212</v>
      </c>
      <c r="J150" s="15" t="s">
        <v>45</v>
      </c>
      <c r="K150" s="15" t="s">
        <v>46</v>
      </c>
      <c r="L150" s="15" t="s">
        <v>189</v>
      </c>
      <c r="M150" s="15">
        <v>16</v>
      </c>
      <c r="N150" s="15">
        <v>700</v>
      </c>
      <c r="O150" s="15">
        <v>15</v>
      </c>
      <c r="P150" s="15">
        <v>9520</v>
      </c>
      <c r="Q150" s="15">
        <v>4</v>
      </c>
      <c r="R150" s="15" t="s">
        <v>79</v>
      </c>
      <c r="S150" s="15" t="s">
        <v>61</v>
      </c>
      <c r="T150" s="15" t="s">
        <v>144</v>
      </c>
      <c r="U150" s="17" t="s">
        <v>808</v>
      </c>
      <c r="V150" s="15" t="s">
        <v>38</v>
      </c>
    </row>
    <row r="151" spans="1:22">
      <c r="A151" s="18" t="s">
        <v>809</v>
      </c>
      <c r="B151" s="18" t="s">
        <v>127</v>
      </c>
      <c r="C151" s="18" t="s">
        <v>184</v>
      </c>
      <c r="D151" s="18" t="s">
        <v>489</v>
      </c>
      <c r="E151" s="18" t="s">
        <v>267</v>
      </c>
      <c r="F151" s="18" t="s">
        <v>200</v>
      </c>
      <c r="G151" s="18" t="s">
        <v>76</v>
      </c>
      <c r="H151" s="18" t="s">
        <v>810</v>
      </c>
      <c r="I151" s="18" t="s">
        <v>114</v>
      </c>
      <c r="J151" s="18" t="s">
        <v>106</v>
      </c>
      <c r="K151" s="18" t="s">
        <v>46</v>
      </c>
      <c r="L151" s="18" t="s">
        <v>189</v>
      </c>
      <c r="M151" s="18">
        <v>6</v>
      </c>
      <c r="N151" s="18">
        <v>700</v>
      </c>
      <c r="O151" s="18">
        <v>10</v>
      </c>
      <c r="P151" s="18">
        <v>3780</v>
      </c>
      <c r="Q151" s="18">
        <v>4</v>
      </c>
      <c r="R151" s="18" t="s">
        <v>34</v>
      </c>
      <c r="S151" s="18" t="s">
        <v>49</v>
      </c>
      <c r="T151" s="18" t="s">
        <v>132</v>
      </c>
      <c r="U151" s="19" t="s">
        <v>811</v>
      </c>
      <c r="V151" s="18" t="s">
        <v>69</v>
      </c>
    </row>
    <row r="152" spans="1:22">
      <c r="A152" s="15" t="s">
        <v>812</v>
      </c>
      <c r="B152" s="15" t="s">
        <v>53</v>
      </c>
      <c r="C152" s="15" t="s">
        <v>92</v>
      </c>
      <c r="D152" s="15" t="s">
        <v>518</v>
      </c>
      <c r="E152" s="15" t="s">
        <v>615</v>
      </c>
      <c r="F152" s="15" t="s">
        <v>163</v>
      </c>
      <c r="G152" s="15" t="s">
        <v>28</v>
      </c>
      <c r="H152" s="15" t="s">
        <v>813</v>
      </c>
      <c r="I152" s="15" t="s">
        <v>44</v>
      </c>
      <c r="J152" s="15" t="s">
        <v>45</v>
      </c>
      <c r="K152" s="15" t="s">
        <v>32</v>
      </c>
      <c r="L152" s="15" t="s">
        <v>97</v>
      </c>
      <c r="M152" s="15">
        <v>20</v>
      </c>
      <c r="N152" s="15">
        <v>3500</v>
      </c>
      <c r="O152" s="15">
        <v>10</v>
      </c>
      <c r="P152" s="15">
        <v>63000</v>
      </c>
      <c r="Q152" s="15">
        <v>4</v>
      </c>
      <c r="R152" s="15" t="s">
        <v>88</v>
      </c>
      <c r="S152" s="15" t="s">
        <v>49</v>
      </c>
      <c r="T152" s="15" t="s">
        <v>62</v>
      </c>
      <c r="U152" s="17" t="s">
        <v>814</v>
      </c>
      <c r="V152" s="15" t="s">
        <v>64</v>
      </c>
    </row>
    <row r="153" spans="1:22">
      <c r="A153" s="18" t="s">
        <v>815</v>
      </c>
      <c r="B153" s="18" t="s">
        <v>23</v>
      </c>
      <c r="C153" s="18" t="s">
        <v>222</v>
      </c>
      <c r="D153" s="18" t="s">
        <v>816</v>
      </c>
      <c r="E153" s="18" t="s">
        <v>817</v>
      </c>
      <c r="F153" s="18" t="s">
        <v>27</v>
      </c>
      <c r="G153" s="18" t="s">
        <v>28</v>
      </c>
      <c r="H153" s="18" t="s">
        <v>818</v>
      </c>
      <c r="I153" s="18" t="s">
        <v>59</v>
      </c>
      <c r="J153" s="18" t="s">
        <v>31</v>
      </c>
      <c r="K153" s="18" t="s">
        <v>122</v>
      </c>
      <c r="L153" s="18" t="s">
        <v>227</v>
      </c>
      <c r="M153" s="18">
        <v>2</v>
      </c>
      <c r="N153" s="18">
        <v>20</v>
      </c>
      <c r="O153" s="18">
        <v>10</v>
      </c>
      <c r="P153" s="18">
        <v>36</v>
      </c>
      <c r="Q153" s="18">
        <v>1</v>
      </c>
      <c r="R153" s="18" t="s">
        <v>48</v>
      </c>
      <c r="S153" s="18" t="s">
        <v>115</v>
      </c>
      <c r="T153" s="18" t="s">
        <v>50</v>
      </c>
      <c r="U153" s="19" t="s">
        <v>819</v>
      </c>
      <c r="V153" s="18" t="s">
        <v>64</v>
      </c>
    </row>
    <row r="154" spans="1:22">
      <c r="A154" s="15" t="s">
        <v>820</v>
      </c>
      <c r="B154" s="15" t="s">
        <v>100</v>
      </c>
      <c r="C154" s="15" t="s">
        <v>24</v>
      </c>
      <c r="D154" s="15" t="s">
        <v>779</v>
      </c>
      <c r="E154" s="15" t="s">
        <v>821</v>
      </c>
      <c r="F154" s="15" t="s">
        <v>103</v>
      </c>
      <c r="G154" s="15" t="s">
        <v>28</v>
      </c>
      <c r="H154" s="15" t="s">
        <v>822</v>
      </c>
      <c r="I154" s="15" t="s">
        <v>114</v>
      </c>
      <c r="J154" s="15" t="s">
        <v>106</v>
      </c>
      <c r="K154" s="15" t="s">
        <v>32</v>
      </c>
      <c r="L154" s="15" t="s">
        <v>33</v>
      </c>
      <c r="M154" s="15">
        <v>16</v>
      </c>
      <c r="N154" s="15">
        <v>2200</v>
      </c>
      <c r="O154" s="15">
        <v>20</v>
      </c>
      <c r="P154" s="15">
        <v>28160</v>
      </c>
      <c r="Q154" s="15">
        <v>2</v>
      </c>
      <c r="R154" s="15" t="s">
        <v>88</v>
      </c>
      <c r="S154" s="15" t="s">
        <v>151</v>
      </c>
      <c r="T154" s="15" t="s">
        <v>144</v>
      </c>
      <c r="U154" s="17" t="s">
        <v>823</v>
      </c>
      <c r="V154" s="15" t="s">
        <v>64</v>
      </c>
    </row>
    <row r="155" spans="1:22">
      <c r="A155" s="18" t="s">
        <v>824</v>
      </c>
      <c r="B155" s="18" t="s">
        <v>221</v>
      </c>
      <c r="C155" s="18" t="s">
        <v>40</v>
      </c>
      <c r="D155" s="18" t="s">
        <v>148</v>
      </c>
      <c r="E155" s="18" t="s">
        <v>825</v>
      </c>
      <c r="F155" s="18" t="s">
        <v>225</v>
      </c>
      <c r="G155" s="18" t="s">
        <v>76</v>
      </c>
      <c r="H155" s="18" t="s">
        <v>826</v>
      </c>
      <c r="I155" s="18" t="s">
        <v>114</v>
      </c>
      <c r="J155" s="18" t="s">
        <v>106</v>
      </c>
      <c r="K155" s="18" t="s">
        <v>46</v>
      </c>
      <c r="L155" s="18" t="s">
        <v>47</v>
      </c>
      <c r="M155" s="18">
        <v>15</v>
      </c>
      <c r="N155" s="18">
        <v>12000</v>
      </c>
      <c r="O155" s="18">
        <v>0</v>
      </c>
      <c r="P155" s="18">
        <v>180000</v>
      </c>
      <c r="Q155" s="18">
        <v>1</v>
      </c>
      <c r="R155" s="18" t="s">
        <v>79</v>
      </c>
      <c r="S155" s="18" t="s">
        <v>61</v>
      </c>
      <c r="T155" s="18" t="s">
        <v>228</v>
      </c>
      <c r="U155" s="19" t="s">
        <v>827</v>
      </c>
      <c r="V155" s="18" t="s">
        <v>64</v>
      </c>
    </row>
    <row r="156" spans="1:22">
      <c r="A156" s="15" t="s">
        <v>828</v>
      </c>
      <c r="B156" s="15" t="s">
        <v>23</v>
      </c>
      <c r="C156" s="15" t="s">
        <v>118</v>
      </c>
      <c r="D156" s="15" t="s">
        <v>829</v>
      </c>
      <c r="E156" s="15" t="s">
        <v>830</v>
      </c>
      <c r="F156" s="15" t="s">
        <v>27</v>
      </c>
      <c r="G156" s="15" t="s">
        <v>28</v>
      </c>
      <c r="H156" s="15" t="s">
        <v>831</v>
      </c>
      <c r="I156" s="15" t="s">
        <v>44</v>
      </c>
      <c r="J156" s="15" t="s">
        <v>45</v>
      </c>
      <c r="K156" s="15" t="s">
        <v>122</v>
      </c>
      <c r="L156" s="15" t="s">
        <v>123</v>
      </c>
      <c r="M156" s="15">
        <v>14</v>
      </c>
      <c r="N156" s="15">
        <v>60</v>
      </c>
      <c r="O156" s="15">
        <v>15</v>
      </c>
      <c r="P156" s="15">
        <v>714</v>
      </c>
      <c r="Q156" s="15">
        <v>4</v>
      </c>
      <c r="R156" s="15" t="s">
        <v>88</v>
      </c>
      <c r="S156" s="15" t="s">
        <v>49</v>
      </c>
      <c r="T156" s="15" t="s">
        <v>50</v>
      </c>
      <c r="U156" s="17" t="s">
        <v>832</v>
      </c>
      <c r="V156" s="15" t="s">
        <v>38</v>
      </c>
    </row>
    <row r="157" spans="1:22">
      <c r="A157" s="18" t="s">
        <v>833</v>
      </c>
      <c r="B157" s="18" t="s">
        <v>53</v>
      </c>
      <c r="C157" s="18" t="s">
        <v>72</v>
      </c>
      <c r="D157" s="18" t="s">
        <v>834</v>
      </c>
      <c r="E157" s="18" t="s">
        <v>835</v>
      </c>
      <c r="F157" s="18" t="s">
        <v>163</v>
      </c>
      <c r="G157" s="18" t="s">
        <v>28</v>
      </c>
      <c r="H157" s="18" t="s">
        <v>836</v>
      </c>
      <c r="I157" s="18" t="s">
        <v>30</v>
      </c>
      <c r="J157" s="18" t="s">
        <v>31</v>
      </c>
      <c r="K157" s="18" t="s">
        <v>46</v>
      </c>
      <c r="L157" s="18" t="s">
        <v>78</v>
      </c>
      <c r="M157" s="18">
        <v>9</v>
      </c>
      <c r="N157" s="18">
        <v>1200</v>
      </c>
      <c r="O157" s="18">
        <v>5</v>
      </c>
      <c r="P157" s="18">
        <v>10260</v>
      </c>
      <c r="Q157" s="18">
        <v>5</v>
      </c>
      <c r="R157" s="18" t="s">
        <v>48</v>
      </c>
      <c r="S157" s="18" t="s">
        <v>61</v>
      </c>
      <c r="T157" s="18" t="s">
        <v>62</v>
      </c>
      <c r="U157" s="19" t="s">
        <v>837</v>
      </c>
      <c r="V157" s="18" t="s">
        <v>64</v>
      </c>
    </row>
    <row r="158" spans="1:22">
      <c r="A158" s="15" t="s">
        <v>838</v>
      </c>
      <c r="B158" s="15" t="s">
        <v>221</v>
      </c>
      <c r="C158" s="15" t="s">
        <v>72</v>
      </c>
      <c r="D158" s="15" t="s">
        <v>821</v>
      </c>
      <c r="E158" s="15" t="s">
        <v>839</v>
      </c>
      <c r="F158" s="15" t="s">
        <v>225</v>
      </c>
      <c r="G158" s="15" t="s">
        <v>76</v>
      </c>
      <c r="H158" s="15" t="s">
        <v>840</v>
      </c>
      <c r="I158" s="15" t="s">
        <v>294</v>
      </c>
      <c r="J158" s="15" t="s">
        <v>295</v>
      </c>
      <c r="K158" s="15" t="s">
        <v>46</v>
      </c>
      <c r="L158" s="15" t="s">
        <v>78</v>
      </c>
      <c r="M158" s="15">
        <v>3</v>
      </c>
      <c r="N158" s="15">
        <v>1200</v>
      </c>
      <c r="O158" s="15">
        <v>10</v>
      </c>
      <c r="P158" s="15">
        <v>3240</v>
      </c>
      <c r="Q158" s="15">
        <v>2</v>
      </c>
      <c r="R158" s="15" t="s">
        <v>79</v>
      </c>
      <c r="S158" s="15" t="s">
        <v>151</v>
      </c>
      <c r="T158" s="15" t="s">
        <v>228</v>
      </c>
      <c r="U158" s="17" t="s">
        <v>841</v>
      </c>
      <c r="V158" s="15" t="s">
        <v>69</v>
      </c>
    </row>
    <row r="159" spans="1:22">
      <c r="A159" s="18" t="s">
        <v>842</v>
      </c>
      <c r="B159" s="18" t="s">
        <v>327</v>
      </c>
      <c r="C159" s="18" t="s">
        <v>118</v>
      </c>
      <c r="D159" s="18" t="s">
        <v>459</v>
      </c>
      <c r="E159" s="18" t="s">
        <v>577</v>
      </c>
      <c r="F159" s="18" t="s">
        <v>394</v>
      </c>
      <c r="G159" s="18" t="s">
        <v>76</v>
      </c>
      <c r="H159" s="18" t="s">
        <v>843</v>
      </c>
      <c r="I159" s="18" t="s">
        <v>30</v>
      </c>
      <c r="J159" s="18" t="s">
        <v>31</v>
      </c>
      <c r="K159" s="18" t="s">
        <v>122</v>
      </c>
      <c r="L159" s="18" t="s">
        <v>123</v>
      </c>
      <c r="M159" s="18">
        <v>2</v>
      </c>
      <c r="N159" s="18">
        <v>60</v>
      </c>
      <c r="O159" s="18">
        <v>10</v>
      </c>
      <c r="P159" s="18">
        <v>108</v>
      </c>
      <c r="Q159" s="18">
        <v>2</v>
      </c>
      <c r="R159" s="18" t="s">
        <v>88</v>
      </c>
      <c r="S159" s="18" t="s">
        <v>61</v>
      </c>
      <c r="T159" s="18" t="s">
        <v>332</v>
      </c>
      <c r="U159" s="19" t="s">
        <v>844</v>
      </c>
      <c r="V159" s="18" t="s">
        <v>38</v>
      </c>
    </row>
    <row r="160" spans="1:22">
      <c r="A160" s="15" t="s">
        <v>845</v>
      </c>
      <c r="B160" s="15" t="s">
        <v>71</v>
      </c>
      <c r="C160" s="15" t="s">
        <v>92</v>
      </c>
      <c r="D160" s="15" t="s">
        <v>426</v>
      </c>
      <c r="E160" s="15" t="s">
        <v>846</v>
      </c>
      <c r="F160" s="15" t="s">
        <v>217</v>
      </c>
      <c r="G160" s="15" t="s">
        <v>76</v>
      </c>
      <c r="H160" s="15" t="s">
        <v>847</v>
      </c>
      <c r="I160" s="15" t="s">
        <v>44</v>
      </c>
      <c r="J160" s="15" t="s">
        <v>45</v>
      </c>
      <c r="K160" s="15" t="s">
        <v>32</v>
      </c>
      <c r="L160" s="15" t="s">
        <v>97</v>
      </c>
      <c r="M160" s="15">
        <v>9</v>
      </c>
      <c r="N160" s="15">
        <v>3500</v>
      </c>
      <c r="O160" s="15">
        <v>20</v>
      </c>
      <c r="P160" s="15">
        <v>25200</v>
      </c>
      <c r="Q160" s="15">
        <v>1</v>
      </c>
      <c r="R160" s="15" t="s">
        <v>48</v>
      </c>
      <c r="S160" s="15" t="s">
        <v>35</v>
      </c>
      <c r="T160" s="15" t="s">
        <v>80</v>
      </c>
      <c r="U160" s="17" t="s">
        <v>848</v>
      </c>
      <c r="V160" s="15" t="s">
        <v>38</v>
      </c>
    </row>
    <row r="161" spans="1:22">
      <c r="A161" s="18" t="s">
        <v>849</v>
      </c>
      <c r="B161" s="18" t="s">
        <v>221</v>
      </c>
      <c r="C161" s="18" t="s">
        <v>54</v>
      </c>
      <c r="D161" s="18" t="s">
        <v>241</v>
      </c>
      <c r="E161" s="18" t="s">
        <v>543</v>
      </c>
      <c r="F161" s="18" t="s">
        <v>225</v>
      </c>
      <c r="G161" s="18" t="s">
        <v>76</v>
      </c>
      <c r="H161" s="18" t="s">
        <v>850</v>
      </c>
      <c r="I161" s="18" t="s">
        <v>212</v>
      </c>
      <c r="J161" s="18" t="s">
        <v>45</v>
      </c>
      <c r="K161" s="18" t="s">
        <v>46</v>
      </c>
      <c r="L161" s="18" t="s">
        <v>60</v>
      </c>
      <c r="M161" s="18">
        <v>4</v>
      </c>
      <c r="N161" s="18">
        <v>55000</v>
      </c>
      <c r="O161" s="18">
        <v>5</v>
      </c>
      <c r="P161" s="18">
        <v>209000</v>
      </c>
      <c r="Q161" s="18">
        <v>2</v>
      </c>
      <c r="R161" s="18" t="s">
        <v>34</v>
      </c>
      <c r="S161" s="18" t="s">
        <v>151</v>
      </c>
      <c r="T161" s="18" t="s">
        <v>228</v>
      </c>
      <c r="U161" s="19" t="s">
        <v>851</v>
      </c>
      <c r="V161" s="18" t="s">
        <v>64</v>
      </c>
    </row>
    <row r="162" spans="1:22">
      <c r="A162" s="15" t="s">
        <v>852</v>
      </c>
      <c r="B162" s="15" t="s">
        <v>327</v>
      </c>
      <c r="C162" s="15" t="s">
        <v>184</v>
      </c>
      <c r="D162" s="15" t="s">
        <v>488</v>
      </c>
      <c r="E162" s="15" t="s">
        <v>266</v>
      </c>
      <c r="F162" s="15" t="s">
        <v>853</v>
      </c>
      <c r="G162" s="15" t="s">
        <v>76</v>
      </c>
      <c r="H162" s="15" t="s">
        <v>854</v>
      </c>
      <c r="I162" s="15" t="s">
        <v>44</v>
      </c>
      <c r="J162" s="15" t="s">
        <v>45</v>
      </c>
      <c r="K162" s="15" t="s">
        <v>46</v>
      </c>
      <c r="L162" s="15" t="s">
        <v>189</v>
      </c>
      <c r="M162" s="15">
        <v>11</v>
      </c>
      <c r="N162" s="15">
        <v>700</v>
      </c>
      <c r="O162" s="15">
        <v>20</v>
      </c>
      <c r="P162" s="15">
        <v>6160</v>
      </c>
      <c r="Q162" s="15">
        <v>4</v>
      </c>
      <c r="R162" s="15" t="s">
        <v>34</v>
      </c>
      <c r="S162" s="15" t="s">
        <v>151</v>
      </c>
      <c r="T162" s="15" t="s">
        <v>332</v>
      </c>
      <c r="U162" s="17" t="s">
        <v>855</v>
      </c>
      <c r="V162" s="15" t="s">
        <v>69</v>
      </c>
    </row>
    <row r="163" spans="1:22">
      <c r="A163" s="18" t="s">
        <v>856</v>
      </c>
      <c r="B163" s="18" t="s">
        <v>168</v>
      </c>
      <c r="C163" s="18" t="s">
        <v>72</v>
      </c>
      <c r="D163" s="18" t="s">
        <v>286</v>
      </c>
      <c r="E163" s="18" t="s">
        <v>816</v>
      </c>
      <c r="F163" s="18" t="s">
        <v>361</v>
      </c>
      <c r="G163" s="18" t="s">
        <v>28</v>
      </c>
      <c r="H163" s="18" t="s">
        <v>857</v>
      </c>
      <c r="I163" s="18" t="s">
        <v>294</v>
      </c>
      <c r="J163" s="18" t="s">
        <v>295</v>
      </c>
      <c r="K163" s="18" t="s">
        <v>46</v>
      </c>
      <c r="L163" s="18" t="s">
        <v>78</v>
      </c>
      <c r="M163" s="18">
        <v>16</v>
      </c>
      <c r="N163" s="18">
        <v>1200</v>
      </c>
      <c r="O163" s="18">
        <v>5</v>
      </c>
      <c r="P163" s="18">
        <v>18240</v>
      </c>
      <c r="Q163" s="18">
        <v>1</v>
      </c>
      <c r="R163" s="18" t="s">
        <v>79</v>
      </c>
      <c r="S163" s="18" t="s">
        <v>35</v>
      </c>
      <c r="T163" s="18" t="s">
        <v>175</v>
      </c>
      <c r="U163" s="19" t="s">
        <v>858</v>
      </c>
      <c r="V163" s="18" t="s">
        <v>64</v>
      </c>
    </row>
    <row r="164" spans="1:22">
      <c r="A164" s="15" t="s">
        <v>859</v>
      </c>
      <c r="B164" s="15" t="s">
        <v>168</v>
      </c>
      <c r="C164" s="15" t="s">
        <v>72</v>
      </c>
      <c r="D164" s="15" t="s">
        <v>548</v>
      </c>
      <c r="E164" s="15" t="s">
        <v>860</v>
      </c>
      <c r="F164" s="15" t="s">
        <v>361</v>
      </c>
      <c r="G164" s="15" t="s">
        <v>28</v>
      </c>
      <c r="H164" s="15" t="s">
        <v>861</v>
      </c>
      <c r="I164" s="15" t="s">
        <v>114</v>
      </c>
      <c r="J164" s="15" t="s">
        <v>106</v>
      </c>
      <c r="K164" s="15" t="s">
        <v>46</v>
      </c>
      <c r="L164" s="15" t="s">
        <v>78</v>
      </c>
      <c r="M164" s="15">
        <v>1</v>
      </c>
      <c r="N164" s="15">
        <v>1200</v>
      </c>
      <c r="O164" s="15">
        <v>5</v>
      </c>
      <c r="P164" s="15">
        <v>1140</v>
      </c>
      <c r="Q164" s="15">
        <v>4</v>
      </c>
      <c r="R164" s="15" t="s">
        <v>79</v>
      </c>
      <c r="S164" s="15" t="s">
        <v>35</v>
      </c>
      <c r="T164" s="15" t="s">
        <v>175</v>
      </c>
      <c r="U164" s="17" t="s">
        <v>862</v>
      </c>
      <c r="V164" s="15" t="s">
        <v>38</v>
      </c>
    </row>
    <row r="165" spans="1:22">
      <c r="A165" s="18" t="s">
        <v>863</v>
      </c>
      <c r="B165" s="18" t="s">
        <v>327</v>
      </c>
      <c r="C165" s="18" t="s">
        <v>118</v>
      </c>
      <c r="D165" s="18" t="s">
        <v>864</v>
      </c>
      <c r="E165" s="18" t="s">
        <v>865</v>
      </c>
      <c r="F165" s="18" t="s">
        <v>853</v>
      </c>
      <c r="G165" s="18" t="s">
        <v>76</v>
      </c>
      <c r="H165" s="18" t="s">
        <v>866</v>
      </c>
      <c r="I165" s="18" t="s">
        <v>212</v>
      </c>
      <c r="J165" s="18" t="s">
        <v>45</v>
      </c>
      <c r="K165" s="18" t="s">
        <v>122</v>
      </c>
      <c r="L165" s="18" t="s">
        <v>123</v>
      </c>
      <c r="M165" s="18">
        <v>7</v>
      </c>
      <c r="N165" s="18">
        <v>60</v>
      </c>
      <c r="O165" s="18">
        <v>0</v>
      </c>
      <c r="P165" s="18">
        <v>420</v>
      </c>
      <c r="Q165" s="18">
        <v>2</v>
      </c>
      <c r="R165" s="18" t="s">
        <v>88</v>
      </c>
      <c r="S165" s="18" t="s">
        <v>151</v>
      </c>
      <c r="T165" s="18" t="s">
        <v>332</v>
      </c>
      <c r="U165" s="19" t="s">
        <v>867</v>
      </c>
      <c r="V165" s="18" t="s">
        <v>38</v>
      </c>
    </row>
    <row r="166" spans="1:22">
      <c r="A166" s="15" t="s">
        <v>868</v>
      </c>
      <c r="B166" s="15" t="s">
        <v>168</v>
      </c>
      <c r="C166" s="15" t="s">
        <v>24</v>
      </c>
      <c r="D166" s="15" t="s">
        <v>205</v>
      </c>
      <c r="E166" s="15" t="s">
        <v>513</v>
      </c>
      <c r="F166" s="15" t="s">
        <v>361</v>
      </c>
      <c r="G166" s="15" t="s">
        <v>28</v>
      </c>
      <c r="H166" s="15" t="s">
        <v>869</v>
      </c>
      <c r="I166" s="15" t="s">
        <v>114</v>
      </c>
      <c r="J166" s="15" t="s">
        <v>106</v>
      </c>
      <c r="K166" s="15" t="s">
        <v>32</v>
      </c>
      <c r="L166" s="15" t="s">
        <v>33</v>
      </c>
      <c r="M166" s="15">
        <v>14</v>
      </c>
      <c r="N166" s="15">
        <v>2200</v>
      </c>
      <c r="O166" s="15">
        <v>0</v>
      </c>
      <c r="P166" s="15">
        <v>30800</v>
      </c>
      <c r="Q166" s="15">
        <v>2</v>
      </c>
      <c r="R166" s="15" t="s">
        <v>88</v>
      </c>
      <c r="S166" s="15" t="s">
        <v>35</v>
      </c>
      <c r="T166" s="15" t="s">
        <v>175</v>
      </c>
      <c r="U166" s="17" t="s">
        <v>870</v>
      </c>
      <c r="V166" s="15" t="s">
        <v>69</v>
      </c>
    </row>
    <row r="167" spans="1:22">
      <c r="A167" s="18" t="s">
        <v>871</v>
      </c>
      <c r="B167" s="18" t="s">
        <v>168</v>
      </c>
      <c r="C167" s="18" t="s">
        <v>92</v>
      </c>
      <c r="D167" s="18" t="s">
        <v>872</v>
      </c>
      <c r="E167" s="18" t="s">
        <v>488</v>
      </c>
      <c r="F167" s="18" t="s">
        <v>361</v>
      </c>
      <c r="G167" s="18" t="s">
        <v>28</v>
      </c>
      <c r="H167" s="18" t="s">
        <v>873</v>
      </c>
      <c r="I167" s="18" t="s">
        <v>138</v>
      </c>
      <c r="J167" s="18" t="s">
        <v>106</v>
      </c>
      <c r="K167" s="18" t="s">
        <v>32</v>
      </c>
      <c r="L167" s="18" t="s">
        <v>97</v>
      </c>
      <c r="M167" s="18">
        <v>15</v>
      </c>
      <c r="N167" s="18">
        <v>3500</v>
      </c>
      <c r="O167" s="18">
        <v>15</v>
      </c>
      <c r="P167" s="18">
        <v>44625</v>
      </c>
      <c r="Q167" s="18">
        <v>2</v>
      </c>
      <c r="R167" s="18" t="s">
        <v>88</v>
      </c>
      <c r="S167" s="18" t="s">
        <v>61</v>
      </c>
      <c r="T167" s="18" t="s">
        <v>175</v>
      </c>
      <c r="U167" s="19" t="s">
        <v>874</v>
      </c>
      <c r="V167" s="18" t="s">
        <v>64</v>
      </c>
    </row>
    <row r="168" spans="1:22">
      <c r="A168" s="15" t="s">
        <v>875</v>
      </c>
      <c r="B168" s="15" t="s">
        <v>127</v>
      </c>
      <c r="C168" s="15" t="s">
        <v>92</v>
      </c>
      <c r="D168" s="15" t="s">
        <v>876</v>
      </c>
      <c r="E168" s="15" t="s">
        <v>877</v>
      </c>
      <c r="F168" s="15" t="s">
        <v>200</v>
      </c>
      <c r="G168" s="15" t="s">
        <v>76</v>
      </c>
      <c r="H168" s="15" t="s">
        <v>878</v>
      </c>
      <c r="I168" s="15" t="s">
        <v>294</v>
      </c>
      <c r="J168" s="15" t="s">
        <v>295</v>
      </c>
      <c r="K168" s="15" t="s">
        <v>32</v>
      </c>
      <c r="L168" s="15" t="s">
        <v>97</v>
      </c>
      <c r="M168" s="15">
        <v>19</v>
      </c>
      <c r="N168" s="15">
        <v>3500</v>
      </c>
      <c r="O168" s="15">
        <v>5</v>
      </c>
      <c r="P168" s="15">
        <v>63175</v>
      </c>
      <c r="Q168" s="15">
        <v>2</v>
      </c>
      <c r="R168" s="15" t="s">
        <v>34</v>
      </c>
      <c r="S168" s="15" t="s">
        <v>115</v>
      </c>
      <c r="T168" s="15" t="s">
        <v>132</v>
      </c>
      <c r="U168" s="17" t="s">
        <v>879</v>
      </c>
      <c r="V168" s="15" t="s">
        <v>69</v>
      </c>
    </row>
    <row r="169" spans="1:22">
      <c r="A169" s="18" t="s">
        <v>880</v>
      </c>
      <c r="B169" s="18" t="s">
        <v>327</v>
      </c>
      <c r="C169" s="18" t="s">
        <v>54</v>
      </c>
      <c r="D169" s="18" t="s">
        <v>881</v>
      </c>
      <c r="E169" s="18" t="s">
        <v>640</v>
      </c>
      <c r="F169" s="18" t="s">
        <v>394</v>
      </c>
      <c r="G169" s="18" t="s">
        <v>76</v>
      </c>
      <c r="H169" s="18" t="s">
        <v>882</v>
      </c>
      <c r="I169" s="18" t="s">
        <v>59</v>
      </c>
      <c r="J169" s="18" t="s">
        <v>31</v>
      </c>
      <c r="K169" s="18" t="s">
        <v>46</v>
      </c>
      <c r="L169" s="18" t="s">
        <v>60</v>
      </c>
      <c r="M169" s="18">
        <v>12</v>
      </c>
      <c r="N169" s="18">
        <v>55000</v>
      </c>
      <c r="O169" s="18">
        <v>5</v>
      </c>
      <c r="P169" s="18">
        <v>627000</v>
      </c>
      <c r="Q169" s="18">
        <v>4</v>
      </c>
      <c r="R169" s="18" t="s">
        <v>79</v>
      </c>
      <c r="S169" s="18" t="s">
        <v>61</v>
      </c>
      <c r="T169" s="18" t="s">
        <v>332</v>
      </c>
      <c r="U169" s="19" t="s">
        <v>883</v>
      </c>
      <c r="V169" s="18" t="s">
        <v>69</v>
      </c>
    </row>
    <row r="170" spans="1:22">
      <c r="A170" s="15" t="s">
        <v>884</v>
      </c>
      <c r="B170" s="15" t="s">
        <v>53</v>
      </c>
      <c r="C170" s="15" t="s">
        <v>72</v>
      </c>
      <c r="D170" s="15" t="s">
        <v>587</v>
      </c>
      <c r="E170" s="15" t="s">
        <v>483</v>
      </c>
      <c r="F170" s="15" t="s">
        <v>163</v>
      </c>
      <c r="G170" s="15" t="s">
        <v>28</v>
      </c>
      <c r="H170" s="15" t="s">
        <v>885</v>
      </c>
      <c r="I170" s="15" t="s">
        <v>105</v>
      </c>
      <c r="J170" s="15" t="s">
        <v>106</v>
      </c>
      <c r="K170" s="15" t="s">
        <v>46</v>
      </c>
      <c r="L170" s="15" t="s">
        <v>78</v>
      </c>
      <c r="M170" s="15">
        <v>6</v>
      </c>
      <c r="N170" s="15">
        <v>1200</v>
      </c>
      <c r="O170" s="15">
        <v>10</v>
      </c>
      <c r="P170" s="15">
        <v>6480</v>
      </c>
      <c r="Q170" s="15">
        <v>5</v>
      </c>
      <c r="R170" s="15" t="s">
        <v>48</v>
      </c>
      <c r="S170" s="15" t="s">
        <v>115</v>
      </c>
      <c r="T170" s="15" t="s">
        <v>62</v>
      </c>
      <c r="U170" s="17" t="s">
        <v>886</v>
      </c>
      <c r="V170" s="15" t="s">
        <v>69</v>
      </c>
    </row>
    <row r="171" spans="1:22">
      <c r="A171" s="18" t="s">
        <v>887</v>
      </c>
      <c r="B171" s="18" t="s">
        <v>251</v>
      </c>
      <c r="C171" s="18" t="s">
        <v>169</v>
      </c>
      <c r="D171" s="18" t="s">
        <v>128</v>
      </c>
      <c r="E171" s="18" t="s">
        <v>247</v>
      </c>
      <c r="F171" s="18" t="s">
        <v>254</v>
      </c>
      <c r="G171" s="18" t="s">
        <v>28</v>
      </c>
      <c r="H171" s="18" t="s">
        <v>888</v>
      </c>
      <c r="I171" s="18" t="s">
        <v>30</v>
      </c>
      <c r="J171" s="18" t="s">
        <v>31</v>
      </c>
      <c r="K171" s="18" t="s">
        <v>32</v>
      </c>
      <c r="L171" s="18" t="s">
        <v>174</v>
      </c>
      <c r="M171" s="18">
        <v>1</v>
      </c>
      <c r="N171" s="18">
        <v>8500</v>
      </c>
      <c r="O171" s="18">
        <v>0</v>
      </c>
      <c r="P171" s="18">
        <v>8500</v>
      </c>
      <c r="Q171" s="18">
        <v>1</v>
      </c>
      <c r="R171" s="18" t="s">
        <v>88</v>
      </c>
      <c r="S171" s="18" t="s">
        <v>151</v>
      </c>
      <c r="T171" s="18" t="s">
        <v>256</v>
      </c>
      <c r="U171" s="19" t="s">
        <v>889</v>
      </c>
      <c r="V171" s="18" t="s">
        <v>69</v>
      </c>
    </row>
    <row r="172" spans="1:22">
      <c r="A172" s="15" t="s">
        <v>890</v>
      </c>
      <c r="B172" s="15" t="s">
        <v>127</v>
      </c>
      <c r="C172" s="15" t="s">
        <v>54</v>
      </c>
      <c r="D172" s="15" t="s">
        <v>891</v>
      </c>
      <c r="E172" s="15" t="s">
        <v>892</v>
      </c>
      <c r="F172" s="15" t="s">
        <v>200</v>
      </c>
      <c r="G172" s="15" t="s">
        <v>76</v>
      </c>
      <c r="H172" s="15" t="s">
        <v>893</v>
      </c>
      <c r="I172" s="15" t="s">
        <v>138</v>
      </c>
      <c r="J172" s="15" t="s">
        <v>106</v>
      </c>
      <c r="K172" s="15" t="s">
        <v>46</v>
      </c>
      <c r="L172" s="15" t="s">
        <v>60</v>
      </c>
      <c r="M172" s="15">
        <v>20</v>
      </c>
      <c r="N172" s="15">
        <v>55000</v>
      </c>
      <c r="O172" s="15">
        <v>10</v>
      </c>
      <c r="P172" s="15">
        <v>990000</v>
      </c>
      <c r="Q172" s="15">
        <v>5</v>
      </c>
      <c r="R172" s="15" t="s">
        <v>48</v>
      </c>
      <c r="S172" s="15" t="s">
        <v>151</v>
      </c>
      <c r="T172" s="15" t="s">
        <v>132</v>
      </c>
      <c r="U172" s="17" t="s">
        <v>894</v>
      </c>
      <c r="V172" s="15" t="s">
        <v>38</v>
      </c>
    </row>
    <row r="173" spans="1:22">
      <c r="A173" s="18" t="s">
        <v>895</v>
      </c>
      <c r="B173" s="18" t="s">
        <v>221</v>
      </c>
      <c r="C173" s="18" t="s">
        <v>72</v>
      </c>
      <c r="D173" s="18" t="s">
        <v>661</v>
      </c>
      <c r="E173" s="18" t="s">
        <v>896</v>
      </c>
      <c r="F173" s="18" t="s">
        <v>225</v>
      </c>
      <c r="G173" s="18" t="s">
        <v>76</v>
      </c>
      <c r="H173" s="18" t="s">
        <v>897</v>
      </c>
      <c r="I173" s="18" t="s">
        <v>138</v>
      </c>
      <c r="J173" s="18" t="s">
        <v>106</v>
      </c>
      <c r="K173" s="18" t="s">
        <v>46</v>
      </c>
      <c r="L173" s="18" t="s">
        <v>78</v>
      </c>
      <c r="M173" s="18">
        <v>8</v>
      </c>
      <c r="N173" s="18">
        <v>1200</v>
      </c>
      <c r="O173" s="18">
        <v>15</v>
      </c>
      <c r="P173" s="18">
        <v>8160</v>
      </c>
      <c r="Q173" s="18">
        <v>2</v>
      </c>
      <c r="R173" s="18" t="s">
        <v>88</v>
      </c>
      <c r="S173" s="18" t="s">
        <v>115</v>
      </c>
      <c r="T173" s="18" t="s">
        <v>228</v>
      </c>
      <c r="U173" s="19" t="s">
        <v>898</v>
      </c>
      <c r="V173" s="18" t="s">
        <v>69</v>
      </c>
    </row>
    <row r="174" spans="1:22">
      <c r="A174" s="15" t="s">
        <v>899</v>
      </c>
      <c r="B174" s="15" t="s">
        <v>23</v>
      </c>
      <c r="C174" s="15" t="s">
        <v>92</v>
      </c>
      <c r="D174" s="15" t="s">
        <v>900</v>
      </c>
      <c r="E174" s="15" t="s">
        <v>901</v>
      </c>
      <c r="F174" s="15" t="s">
        <v>27</v>
      </c>
      <c r="G174" s="15" t="s">
        <v>28</v>
      </c>
      <c r="H174" s="15" t="s">
        <v>902</v>
      </c>
      <c r="I174" s="15" t="s">
        <v>212</v>
      </c>
      <c r="J174" s="15" t="s">
        <v>45</v>
      </c>
      <c r="K174" s="15" t="s">
        <v>32</v>
      </c>
      <c r="L174" s="15" t="s">
        <v>97</v>
      </c>
      <c r="M174" s="15">
        <v>19</v>
      </c>
      <c r="N174" s="15">
        <v>3500</v>
      </c>
      <c r="O174" s="15">
        <v>5</v>
      </c>
      <c r="P174" s="15">
        <v>63175</v>
      </c>
      <c r="Q174" s="15">
        <v>4</v>
      </c>
      <c r="R174" s="15" t="s">
        <v>88</v>
      </c>
      <c r="S174" s="15" t="s">
        <v>49</v>
      </c>
      <c r="T174" s="15" t="s">
        <v>50</v>
      </c>
      <c r="U174" s="17" t="s">
        <v>903</v>
      </c>
      <c r="V174" s="15" t="s">
        <v>64</v>
      </c>
    </row>
    <row r="175" spans="1:22">
      <c r="A175" s="18" t="s">
        <v>904</v>
      </c>
      <c r="B175" s="18" t="s">
        <v>221</v>
      </c>
      <c r="C175" s="18" t="s">
        <v>259</v>
      </c>
      <c r="D175" s="18" t="s">
        <v>41</v>
      </c>
      <c r="E175" s="18" t="s">
        <v>606</v>
      </c>
      <c r="F175" s="18" t="s">
        <v>905</v>
      </c>
      <c r="G175" s="18" t="s">
        <v>76</v>
      </c>
      <c r="H175" s="18" t="s">
        <v>906</v>
      </c>
      <c r="I175" s="18" t="s">
        <v>212</v>
      </c>
      <c r="J175" s="18" t="s">
        <v>45</v>
      </c>
      <c r="K175" s="18" t="s">
        <v>122</v>
      </c>
      <c r="L175" s="18" t="s">
        <v>263</v>
      </c>
      <c r="M175" s="18">
        <v>6</v>
      </c>
      <c r="N175" s="18">
        <v>45</v>
      </c>
      <c r="O175" s="18">
        <v>20</v>
      </c>
      <c r="P175" s="18">
        <v>216</v>
      </c>
      <c r="Q175" s="18">
        <v>1</v>
      </c>
      <c r="R175" s="18" t="s">
        <v>79</v>
      </c>
      <c r="S175" s="18" t="s">
        <v>49</v>
      </c>
      <c r="T175" s="18" t="s">
        <v>907</v>
      </c>
      <c r="U175" s="19" t="s">
        <v>908</v>
      </c>
      <c r="V175" s="18" t="s">
        <v>64</v>
      </c>
    </row>
    <row r="176" spans="1:22">
      <c r="A176" s="15" t="s">
        <v>909</v>
      </c>
      <c r="B176" s="15" t="s">
        <v>251</v>
      </c>
      <c r="C176" s="15" t="s">
        <v>259</v>
      </c>
      <c r="D176" s="15" t="s">
        <v>910</v>
      </c>
      <c r="E176" s="15" t="s">
        <v>119</v>
      </c>
      <c r="F176" s="15" t="s">
        <v>254</v>
      </c>
      <c r="G176" s="15" t="s">
        <v>28</v>
      </c>
      <c r="H176" s="15" t="s">
        <v>911</v>
      </c>
      <c r="I176" s="15" t="s">
        <v>114</v>
      </c>
      <c r="J176" s="15" t="s">
        <v>106</v>
      </c>
      <c r="K176" s="15" t="s">
        <v>122</v>
      </c>
      <c r="L176" s="15" t="s">
        <v>263</v>
      </c>
      <c r="M176" s="15">
        <v>17</v>
      </c>
      <c r="N176" s="15">
        <v>45</v>
      </c>
      <c r="O176" s="15">
        <v>15</v>
      </c>
      <c r="P176" s="15">
        <v>650.25</v>
      </c>
      <c r="Q176" s="15">
        <v>5</v>
      </c>
      <c r="R176" s="15" t="s">
        <v>34</v>
      </c>
      <c r="S176" s="15" t="s">
        <v>115</v>
      </c>
      <c r="T176" s="15" t="s">
        <v>256</v>
      </c>
      <c r="U176" s="17" t="s">
        <v>912</v>
      </c>
      <c r="V176" s="15" t="s">
        <v>64</v>
      </c>
    </row>
    <row r="177" spans="1:22">
      <c r="A177" s="18" t="s">
        <v>913</v>
      </c>
      <c r="B177" s="18" t="s">
        <v>23</v>
      </c>
      <c r="C177" s="18" t="s">
        <v>222</v>
      </c>
      <c r="D177" s="18" t="s">
        <v>276</v>
      </c>
      <c r="E177" s="18" t="s">
        <v>914</v>
      </c>
      <c r="F177" s="18" t="s">
        <v>27</v>
      </c>
      <c r="G177" s="18" t="s">
        <v>28</v>
      </c>
      <c r="H177" s="18" t="s">
        <v>915</v>
      </c>
      <c r="I177" s="18" t="s">
        <v>114</v>
      </c>
      <c r="J177" s="18" t="s">
        <v>106</v>
      </c>
      <c r="K177" s="18" t="s">
        <v>122</v>
      </c>
      <c r="L177" s="18" t="s">
        <v>227</v>
      </c>
      <c r="M177" s="18">
        <v>19</v>
      </c>
      <c r="N177" s="18">
        <v>20</v>
      </c>
      <c r="O177" s="18">
        <v>5</v>
      </c>
      <c r="P177" s="18">
        <v>361</v>
      </c>
      <c r="Q177" s="18">
        <v>4</v>
      </c>
      <c r="R177" s="18" t="s">
        <v>34</v>
      </c>
      <c r="S177" s="18" t="s">
        <v>35</v>
      </c>
      <c r="T177" s="18" t="s">
        <v>50</v>
      </c>
      <c r="U177" s="19" t="s">
        <v>916</v>
      </c>
      <c r="V177" s="18" t="s">
        <v>64</v>
      </c>
    </row>
    <row r="178" spans="1:22">
      <c r="A178" s="15" t="s">
        <v>917</v>
      </c>
      <c r="B178" s="15" t="s">
        <v>251</v>
      </c>
      <c r="C178" s="15" t="s">
        <v>222</v>
      </c>
      <c r="D178" s="15" t="s">
        <v>918</v>
      </c>
      <c r="E178" s="15" t="s">
        <v>352</v>
      </c>
      <c r="F178" s="15" t="s">
        <v>919</v>
      </c>
      <c r="G178" s="15" t="s">
        <v>28</v>
      </c>
      <c r="H178" s="15" t="s">
        <v>920</v>
      </c>
      <c r="I178" s="15" t="s">
        <v>138</v>
      </c>
      <c r="J178" s="15" t="s">
        <v>106</v>
      </c>
      <c r="K178" s="15" t="s">
        <v>122</v>
      </c>
      <c r="L178" s="15" t="s">
        <v>227</v>
      </c>
      <c r="M178" s="15">
        <v>11</v>
      </c>
      <c r="N178" s="15">
        <v>20</v>
      </c>
      <c r="O178" s="15">
        <v>0</v>
      </c>
      <c r="P178" s="15">
        <v>220</v>
      </c>
      <c r="Q178" s="15">
        <v>3</v>
      </c>
      <c r="R178" s="15" t="s">
        <v>48</v>
      </c>
      <c r="S178" s="15" t="s">
        <v>49</v>
      </c>
      <c r="T178" s="15" t="s">
        <v>256</v>
      </c>
      <c r="U178" s="17" t="s">
        <v>921</v>
      </c>
      <c r="V178" s="15" t="s">
        <v>38</v>
      </c>
    </row>
    <row r="179" spans="1:22">
      <c r="A179" s="18" t="s">
        <v>922</v>
      </c>
      <c r="B179" s="18" t="s">
        <v>168</v>
      </c>
      <c r="C179" s="18" t="s">
        <v>118</v>
      </c>
      <c r="D179" s="18" t="s">
        <v>323</v>
      </c>
      <c r="E179" s="18" t="s">
        <v>923</v>
      </c>
      <c r="F179" s="18" t="s">
        <v>361</v>
      </c>
      <c r="G179" s="18" t="s">
        <v>28</v>
      </c>
      <c r="H179" s="18" t="s">
        <v>924</v>
      </c>
      <c r="I179" s="18" t="s">
        <v>44</v>
      </c>
      <c r="J179" s="18" t="s">
        <v>45</v>
      </c>
      <c r="K179" s="18" t="s">
        <v>122</v>
      </c>
      <c r="L179" s="18" t="s">
        <v>123</v>
      </c>
      <c r="M179" s="18">
        <v>12</v>
      </c>
      <c r="N179" s="18">
        <v>60</v>
      </c>
      <c r="O179" s="18">
        <v>0</v>
      </c>
      <c r="P179" s="18">
        <v>720</v>
      </c>
      <c r="Q179" s="18">
        <v>2</v>
      </c>
      <c r="R179" s="18" t="s">
        <v>48</v>
      </c>
      <c r="S179" s="18" t="s">
        <v>49</v>
      </c>
      <c r="T179" s="18" t="s">
        <v>175</v>
      </c>
      <c r="U179" s="19" t="s">
        <v>925</v>
      </c>
      <c r="V179" s="18" t="s">
        <v>38</v>
      </c>
    </row>
    <row r="180" spans="1:22">
      <c r="A180" s="15" t="s">
        <v>926</v>
      </c>
      <c r="B180" s="15" t="s">
        <v>221</v>
      </c>
      <c r="C180" s="15" t="s">
        <v>259</v>
      </c>
      <c r="D180" s="15" t="s">
        <v>927</v>
      </c>
      <c r="E180" s="15" t="s">
        <v>865</v>
      </c>
      <c r="F180" s="15" t="s">
        <v>928</v>
      </c>
      <c r="G180" s="15" t="s">
        <v>76</v>
      </c>
      <c r="H180" s="15" t="s">
        <v>929</v>
      </c>
      <c r="I180" s="15" t="s">
        <v>294</v>
      </c>
      <c r="J180" s="15" t="s">
        <v>295</v>
      </c>
      <c r="K180" s="15" t="s">
        <v>122</v>
      </c>
      <c r="L180" s="15" t="s">
        <v>263</v>
      </c>
      <c r="M180" s="15">
        <v>14</v>
      </c>
      <c r="N180" s="15">
        <v>45</v>
      </c>
      <c r="O180" s="15">
        <v>15</v>
      </c>
      <c r="P180" s="15">
        <v>535.5</v>
      </c>
      <c r="Q180" s="15">
        <v>5</v>
      </c>
      <c r="R180" s="15" t="s">
        <v>88</v>
      </c>
      <c r="S180" s="15" t="s">
        <v>115</v>
      </c>
      <c r="T180" s="15" t="s">
        <v>228</v>
      </c>
      <c r="U180" s="17" t="s">
        <v>930</v>
      </c>
      <c r="V180" s="15" t="s">
        <v>64</v>
      </c>
    </row>
    <row r="181" spans="1:22">
      <c r="A181" s="18" t="s">
        <v>931</v>
      </c>
      <c r="B181" s="18" t="s">
        <v>23</v>
      </c>
      <c r="C181" s="18" t="s">
        <v>184</v>
      </c>
      <c r="D181" s="18" t="s">
        <v>932</v>
      </c>
      <c r="E181" s="18" t="s">
        <v>303</v>
      </c>
      <c r="F181" s="18" t="s">
        <v>27</v>
      </c>
      <c r="G181" s="18" t="s">
        <v>28</v>
      </c>
      <c r="H181" s="18" t="s">
        <v>933</v>
      </c>
      <c r="I181" s="18" t="s">
        <v>30</v>
      </c>
      <c r="J181" s="18" t="s">
        <v>31</v>
      </c>
      <c r="K181" s="18" t="s">
        <v>46</v>
      </c>
      <c r="L181" s="18" t="s">
        <v>189</v>
      </c>
      <c r="M181" s="18">
        <v>15</v>
      </c>
      <c r="N181" s="18">
        <v>700</v>
      </c>
      <c r="O181" s="18">
        <v>10</v>
      </c>
      <c r="P181" s="18">
        <v>9450</v>
      </c>
      <c r="Q181" s="18">
        <v>3</v>
      </c>
      <c r="R181" s="18" t="s">
        <v>48</v>
      </c>
      <c r="S181" s="18" t="s">
        <v>49</v>
      </c>
      <c r="T181" s="18" t="s">
        <v>50</v>
      </c>
      <c r="U181" s="19" t="s">
        <v>934</v>
      </c>
      <c r="V181" s="18" t="s">
        <v>64</v>
      </c>
    </row>
    <row r="182" spans="1:22">
      <c r="A182" s="15" t="s">
        <v>935</v>
      </c>
      <c r="B182" s="15" t="s">
        <v>100</v>
      </c>
      <c r="C182" s="15" t="s">
        <v>169</v>
      </c>
      <c r="D182" s="15" t="s">
        <v>936</v>
      </c>
      <c r="E182" s="15" t="s">
        <v>683</v>
      </c>
      <c r="F182" s="15" t="s">
        <v>103</v>
      </c>
      <c r="G182" s="15" t="s">
        <v>28</v>
      </c>
      <c r="H182" s="15" t="s">
        <v>937</v>
      </c>
      <c r="I182" s="15" t="s">
        <v>138</v>
      </c>
      <c r="J182" s="15" t="s">
        <v>106</v>
      </c>
      <c r="K182" s="15" t="s">
        <v>32</v>
      </c>
      <c r="L182" s="15" t="s">
        <v>174</v>
      </c>
      <c r="M182" s="15">
        <v>19</v>
      </c>
      <c r="N182" s="15">
        <v>8500</v>
      </c>
      <c r="O182" s="15">
        <v>15</v>
      </c>
      <c r="P182" s="15">
        <v>137275</v>
      </c>
      <c r="Q182" s="15">
        <v>2</v>
      </c>
      <c r="R182" s="15" t="s">
        <v>34</v>
      </c>
      <c r="S182" s="15" t="s">
        <v>35</v>
      </c>
      <c r="T182" s="15" t="s">
        <v>144</v>
      </c>
      <c r="U182" s="17" t="s">
        <v>938</v>
      </c>
      <c r="V182" s="15" t="s">
        <v>69</v>
      </c>
    </row>
    <row r="183" spans="1:22">
      <c r="A183" s="18" t="s">
        <v>939</v>
      </c>
      <c r="B183" s="18" t="s">
        <v>251</v>
      </c>
      <c r="C183" s="18" t="s">
        <v>118</v>
      </c>
      <c r="D183" s="18" t="s">
        <v>940</v>
      </c>
      <c r="E183" s="18" t="s">
        <v>941</v>
      </c>
      <c r="F183" s="18" t="s">
        <v>254</v>
      </c>
      <c r="G183" s="18" t="s">
        <v>28</v>
      </c>
      <c r="H183" s="18" t="s">
        <v>911</v>
      </c>
      <c r="I183" s="18" t="s">
        <v>212</v>
      </c>
      <c r="J183" s="18" t="s">
        <v>45</v>
      </c>
      <c r="K183" s="18" t="s">
        <v>122</v>
      </c>
      <c r="L183" s="18" t="s">
        <v>123</v>
      </c>
      <c r="M183" s="18">
        <v>19</v>
      </c>
      <c r="N183" s="18">
        <v>60</v>
      </c>
      <c r="O183" s="18">
        <v>20</v>
      </c>
      <c r="P183" s="18">
        <v>912</v>
      </c>
      <c r="Q183" s="18">
        <v>4</v>
      </c>
      <c r="R183" s="18" t="s">
        <v>79</v>
      </c>
      <c r="S183" s="18" t="s">
        <v>49</v>
      </c>
      <c r="T183" s="18" t="s">
        <v>256</v>
      </c>
      <c r="U183" s="19" t="s">
        <v>942</v>
      </c>
      <c r="V183" s="18" t="s">
        <v>64</v>
      </c>
    </row>
    <row r="184" spans="1:22">
      <c r="A184" s="15" t="s">
        <v>943</v>
      </c>
      <c r="B184" s="15" t="s">
        <v>100</v>
      </c>
      <c r="C184" s="15" t="s">
        <v>259</v>
      </c>
      <c r="D184" s="15" t="s">
        <v>944</v>
      </c>
      <c r="E184" s="15" t="s">
        <v>936</v>
      </c>
      <c r="F184" s="15" t="s">
        <v>103</v>
      </c>
      <c r="G184" s="15" t="s">
        <v>28</v>
      </c>
      <c r="H184" s="15" t="s">
        <v>945</v>
      </c>
      <c r="I184" s="15" t="s">
        <v>59</v>
      </c>
      <c r="J184" s="15" t="s">
        <v>31</v>
      </c>
      <c r="K184" s="15" t="s">
        <v>122</v>
      </c>
      <c r="L184" s="15" t="s">
        <v>263</v>
      </c>
      <c r="M184" s="15">
        <v>10</v>
      </c>
      <c r="N184" s="15">
        <v>45</v>
      </c>
      <c r="O184" s="15">
        <v>15</v>
      </c>
      <c r="P184" s="15">
        <v>382.5</v>
      </c>
      <c r="Q184" s="15">
        <v>4</v>
      </c>
      <c r="R184" s="15" t="s">
        <v>34</v>
      </c>
      <c r="S184" s="15" t="s">
        <v>151</v>
      </c>
      <c r="T184" s="15" t="s">
        <v>144</v>
      </c>
      <c r="U184" s="17" t="s">
        <v>946</v>
      </c>
      <c r="V184" s="15" t="s">
        <v>38</v>
      </c>
    </row>
    <row r="185" spans="1:22">
      <c r="A185" s="18" t="s">
        <v>947</v>
      </c>
      <c r="B185" s="18" t="s">
        <v>71</v>
      </c>
      <c r="C185" s="18" t="s">
        <v>24</v>
      </c>
      <c r="D185" s="18" t="s">
        <v>948</v>
      </c>
      <c r="E185" s="18" t="s">
        <v>949</v>
      </c>
      <c r="F185" s="18" t="s">
        <v>217</v>
      </c>
      <c r="G185" s="18" t="s">
        <v>76</v>
      </c>
      <c r="H185" s="18" t="s">
        <v>950</v>
      </c>
      <c r="I185" s="18" t="s">
        <v>44</v>
      </c>
      <c r="J185" s="18" t="s">
        <v>45</v>
      </c>
      <c r="K185" s="18" t="s">
        <v>32</v>
      </c>
      <c r="L185" s="18" t="s">
        <v>33</v>
      </c>
      <c r="M185" s="18">
        <v>7</v>
      </c>
      <c r="N185" s="18">
        <v>2200</v>
      </c>
      <c r="O185" s="18">
        <v>20</v>
      </c>
      <c r="P185" s="18">
        <v>12320</v>
      </c>
      <c r="Q185" s="18">
        <v>5</v>
      </c>
      <c r="R185" s="18" t="s">
        <v>88</v>
      </c>
      <c r="S185" s="18" t="s">
        <v>49</v>
      </c>
      <c r="T185" s="18" t="s">
        <v>80</v>
      </c>
      <c r="U185" s="19" t="s">
        <v>951</v>
      </c>
      <c r="V185" s="18" t="s">
        <v>64</v>
      </c>
    </row>
    <row r="186" spans="1:22">
      <c r="A186" s="15" t="s">
        <v>952</v>
      </c>
      <c r="B186" s="15" t="s">
        <v>100</v>
      </c>
      <c r="C186" s="15" t="s">
        <v>169</v>
      </c>
      <c r="D186" s="15" t="s">
        <v>953</v>
      </c>
      <c r="E186" s="15" t="s">
        <v>42</v>
      </c>
      <c r="F186" s="15" t="s">
        <v>103</v>
      </c>
      <c r="G186" s="15" t="s">
        <v>28</v>
      </c>
      <c r="H186" s="15" t="s">
        <v>954</v>
      </c>
      <c r="I186" s="15" t="s">
        <v>294</v>
      </c>
      <c r="J186" s="15" t="s">
        <v>295</v>
      </c>
      <c r="K186" s="15" t="s">
        <v>32</v>
      </c>
      <c r="L186" s="15" t="s">
        <v>174</v>
      </c>
      <c r="M186" s="15">
        <v>20</v>
      </c>
      <c r="N186" s="15">
        <v>8500</v>
      </c>
      <c r="O186" s="15">
        <v>20</v>
      </c>
      <c r="P186" s="15">
        <v>136000</v>
      </c>
      <c r="Q186" s="15">
        <v>4</v>
      </c>
      <c r="R186" s="15" t="s">
        <v>48</v>
      </c>
      <c r="S186" s="15" t="s">
        <v>35</v>
      </c>
      <c r="T186" s="15" t="s">
        <v>144</v>
      </c>
      <c r="U186" s="17" t="s">
        <v>955</v>
      </c>
      <c r="V186" s="15" t="s">
        <v>38</v>
      </c>
    </row>
    <row r="187" spans="1:22">
      <c r="A187" s="18" t="s">
        <v>956</v>
      </c>
      <c r="B187" s="18" t="s">
        <v>251</v>
      </c>
      <c r="C187" s="18" t="s">
        <v>24</v>
      </c>
      <c r="D187" s="18" t="s">
        <v>770</v>
      </c>
      <c r="E187" s="18" t="s">
        <v>957</v>
      </c>
      <c r="F187" s="18" t="s">
        <v>254</v>
      </c>
      <c r="G187" s="18" t="s">
        <v>28</v>
      </c>
      <c r="H187" s="18" t="s">
        <v>958</v>
      </c>
      <c r="I187" s="18" t="s">
        <v>30</v>
      </c>
      <c r="J187" s="18" t="s">
        <v>31</v>
      </c>
      <c r="K187" s="18" t="s">
        <v>32</v>
      </c>
      <c r="L187" s="18" t="s">
        <v>33</v>
      </c>
      <c r="M187" s="18">
        <v>10</v>
      </c>
      <c r="N187" s="18">
        <v>2200</v>
      </c>
      <c r="O187" s="18">
        <v>5</v>
      </c>
      <c r="P187" s="18">
        <v>20900</v>
      </c>
      <c r="Q187" s="18">
        <v>2</v>
      </c>
      <c r="R187" s="18" t="s">
        <v>48</v>
      </c>
      <c r="S187" s="18" t="s">
        <v>49</v>
      </c>
      <c r="T187" s="18" t="s">
        <v>256</v>
      </c>
      <c r="U187" s="19" t="s">
        <v>959</v>
      </c>
      <c r="V187" s="18" t="s">
        <v>38</v>
      </c>
    </row>
    <row r="188" spans="1:22">
      <c r="A188" s="15" t="s">
        <v>960</v>
      </c>
      <c r="B188" s="15" t="s">
        <v>127</v>
      </c>
      <c r="C188" s="15" t="s">
        <v>118</v>
      </c>
      <c r="D188" s="15" t="s">
        <v>692</v>
      </c>
      <c r="E188" s="15" t="s">
        <v>961</v>
      </c>
      <c r="F188" s="15" t="s">
        <v>200</v>
      </c>
      <c r="G188" s="15" t="s">
        <v>76</v>
      </c>
      <c r="H188" s="15" t="s">
        <v>962</v>
      </c>
      <c r="I188" s="15" t="s">
        <v>114</v>
      </c>
      <c r="J188" s="15" t="s">
        <v>106</v>
      </c>
      <c r="K188" s="15" t="s">
        <v>122</v>
      </c>
      <c r="L188" s="15" t="s">
        <v>123</v>
      </c>
      <c r="M188" s="15">
        <v>15</v>
      </c>
      <c r="N188" s="15">
        <v>60</v>
      </c>
      <c r="O188" s="15">
        <v>20</v>
      </c>
      <c r="P188" s="15">
        <v>720</v>
      </c>
      <c r="Q188" s="15">
        <v>1</v>
      </c>
      <c r="R188" s="15" t="s">
        <v>79</v>
      </c>
      <c r="S188" s="15" t="s">
        <v>35</v>
      </c>
      <c r="T188" s="15" t="s">
        <v>132</v>
      </c>
      <c r="U188" s="17" t="s">
        <v>963</v>
      </c>
      <c r="V188" s="15" t="s">
        <v>38</v>
      </c>
    </row>
    <row r="189" spans="1:22">
      <c r="A189" s="18" t="s">
        <v>964</v>
      </c>
      <c r="B189" s="18" t="s">
        <v>221</v>
      </c>
      <c r="C189" s="18" t="s">
        <v>92</v>
      </c>
      <c r="D189" s="18" t="s">
        <v>231</v>
      </c>
      <c r="E189" s="18" t="s">
        <v>965</v>
      </c>
      <c r="F189" s="18" t="s">
        <v>225</v>
      </c>
      <c r="G189" s="18" t="s">
        <v>76</v>
      </c>
      <c r="H189" s="18" t="s">
        <v>966</v>
      </c>
      <c r="I189" s="18" t="s">
        <v>30</v>
      </c>
      <c r="J189" s="18" t="s">
        <v>31</v>
      </c>
      <c r="K189" s="18" t="s">
        <v>32</v>
      </c>
      <c r="L189" s="18" t="s">
        <v>97</v>
      </c>
      <c r="M189" s="18">
        <v>18</v>
      </c>
      <c r="N189" s="18">
        <v>3500</v>
      </c>
      <c r="O189" s="18">
        <v>5</v>
      </c>
      <c r="P189" s="18">
        <v>59850</v>
      </c>
      <c r="Q189" s="18">
        <v>1</v>
      </c>
      <c r="R189" s="18" t="s">
        <v>79</v>
      </c>
      <c r="S189" s="18" t="s">
        <v>49</v>
      </c>
      <c r="T189" s="18" t="s">
        <v>228</v>
      </c>
      <c r="U189" s="19" t="s">
        <v>967</v>
      </c>
      <c r="V189" s="18" t="s">
        <v>69</v>
      </c>
    </row>
    <row r="190" spans="1:22">
      <c r="A190" s="15" t="s">
        <v>968</v>
      </c>
      <c r="B190" s="15" t="s">
        <v>327</v>
      </c>
      <c r="C190" s="15" t="s">
        <v>40</v>
      </c>
      <c r="D190" s="15" t="s">
        <v>969</v>
      </c>
      <c r="E190" s="15" t="s">
        <v>970</v>
      </c>
      <c r="F190" s="15" t="s">
        <v>394</v>
      </c>
      <c r="G190" s="15" t="s">
        <v>76</v>
      </c>
      <c r="H190" s="15" t="s">
        <v>971</v>
      </c>
      <c r="I190" s="15" t="s">
        <v>114</v>
      </c>
      <c r="J190" s="15" t="s">
        <v>106</v>
      </c>
      <c r="K190" s="15" t="s">
        <v>46</v>
      </c>
      <c r="L190" s="15" t="s">
        <v>47</v>
      </c>
      <c r="M190" s="15">
        <v>6</v>
      </c>
      <c r="N190" s="15">
        <v>12000</v>
      </c>
      <c r="O190" s="15">
        <v>5</v>
      </c>
      <c r="P190" s="15">
        <v>68400</v>
      </c>
      <c r="Q190" s="15">
        <v>1</v>
      </c>
      <c r="R190" s="15" t="s">
        <v>48</v>
      </c>
      <c r="S190" s="15" t="s">
        <v>49</v>
      </c>
      <c r="T190" s="15" t="s">
        <v>332</v>
      </c>
      <c r="U190" s="17" t="s">
        <v>972</v>
      </c>
      <c r="V190" s="15" t="s">
        <v>69</v>
      </c>
    </row>
    <row r="191" spans="1:22">
      <c r="A191" s="18" t="s">
        <v>973</v>
      </c>
      <c r="B191" s="18" t="s">
        <v>327</v>
      </c>
      <c r="C191" s="18" t="s">
        <v>222</v>
      </c>
      <c r="D191" s="18" t="s">
        <v>323</v>
      </c>
      <c r="E191" s="18" t="s">
        <v>479</v>
      </c>
      <c r="F191" s="18" t="s">
        <v>394</v>
      </c>
      <c r="G191" s="18" t="s">
        <v>76</v>
      </c>
      <c r="H191" s="18" t="s">
        <v>974</v>
      </c>
      <c r="I191" s="18" t="s">
        <v>59</v>
      </c>
      <c r="J191" s="18" t="s">
        <v>31</v>
      </c>
      <c r="K191" s="18" t="s">
        <v>122</v>
      </c>
      <c r="L191" s="18" t="s">
        <v>227</v>
      </c>
      <c r="M191" s="18">
        <v>19</v>
      </c>
      <c r="N191" s="18">
        <v>20</v>
      </c>
      <c r="O191" s="18">
        <v>10</v>
      </c>
      <c r="P191" s="18">
        <v>342</v>
      </c>
      <c r="Q191" s="18">
        <v>2</v>
      </c>
      <c r="R191" s="18" t="s">
        <v>48</v>
      </c>
      <c r="S191" s="18" t="s">
        <v>35</v>
      </c>
      <c r="T191" s="18" t="s">
        <v>332</v>
      </c>
      <c r="U191" s="19" t="s">
        <v>975</v>
      </c>
      <c r="V191" s="18" t="s">
        <v>64</v>
      </c>
    </row>
    <row r="192" spans="1:22">
      <c r="A192" s="15" t="s">
        <v>976</v>
      </c>
      <c r="B192" s="15" t="s">
        <v>221</v>
      </c>
      <c r="C192" s="15" t="s">
        <v>24</v>
      </c>
      <c r="D192" s="15" t="s">
        <v>426</v>
      </c>
      <c r="E192" s="15" t="s">
        <v>427</v>
      </c>
      <c r="F192" s="15" t="s">
        <v>225</v>
      </c>
      <c r="G192" s="15" t="s">
        <v>76</v>
      </c>
      <c r="H192" s="15" t="s">
        <v>977</v>
      </c>
      <c r="I192" s="15" t="s">
        <v>114</v>
      </c>
      <c r="J192" s="15" t="s">
        <v>106</v>
      </c>
      <c r="K192" s="15" t="s">
        <v>32</v>
      </c>
      <c r="L192" s="15" t="s">
        <v>33</v>
      </c>
      <c r="M192" s="15">
        <v>7</v>
      </c>
      <c r="N192" s="15">
        <v>2200</v>
      </c>
      <c r="O192" s="15">
        <v>0</v>
      </c>
      <c r="P192" s="15">
        <v>15400</v>
      </c>
      <c r="Q192" s="15">
        <v>1</v>
      </c>
      <c r="R192" s="15" t="s">
        <v>79</v>
      </c>
      <c r="S192" s="15" t="s">
        <v>115</v>
      </c>
      <c r="T192" s="15" t="s">
        <v>228</v>
      </c>
      <c r="U192" s="17" t="s">
        <v>978</v>
      </c>
      <c r="V192" s="15" t="s">
        <v>69</v>
      </c>
    </row>
    <row r="193" spans="1:22">
      <c r="A193" s="18" t="s">
        <v>979</v>
      </c>
      <c r="B193" s="18" t="s">
        <v>327</v>
      </c>
      <c r="C193" s="18" t="s">
        <v>40</v>
      </c>
      <c r="D193" s="18" t="s">
        <v>503</v>
      </c>
      <c r="E193" s="18" t="s">
        <v>980</v>
      </c>
      <c r="F193" s="18" t="s">
        <v>394</v>
      </c>
      <c r="G193" s="18" t="s">
        <v>76</v>
      </c>
      <c r="H193" s="18" t="s">
        <v>981</v>
      </c>
      <c r="I193" s="18" t="s">
        <v>212</v>
      </c>
      <c r="J193" s="18" t="s">
        <v>45</v>
      </c>
      <c r="K193" s="18" t="s">
        <v>46</v>
      </c>
      <c r="L193" s="18" t="s">
        <v>47</v>
      </c>
      <c r="M193" s="18">
        <v>3</v>
      </c>
      <c r="N193" s="18">
        <v>12000</v>
      </c>
      <c r="O193" s="18">
        <v>5</v>
      </c>
      <c r="P193" s="18">
        <v>34200</v>
      </c>
      <c r="Q193" s="18">
        <v>3</v>
      </c>
      <c r="R193" s="18" t="s">
        <v>79</v>
      </c>
      <c r="S193" s="18" t="s">
        <v>61</v>
      </c>
      <c r="T193" s="18" t="s">
        <v>332</v>
      </c>
      <c r="U193" s="19" t="s">
        <v>982</v>
      </c>
      <c r="V193" s="18" t="s">
        <v>69</v>
      </c>
    </row>
    <row r="194" spans="1:22">
      <c r="A194" s="15" t="s">
        <v>983</v>
      </c>
      <c r="B194" s="15" t="s">
        <v>168</v>
      </c>
      <c r="C194" s="15" t="s">
        <v>24</v>
      </c>
      <c r="D194" s="15" t="s">
        <v>341</v>
      </c>
      <c r="E194" s="15" t="s">
        <v>864</v>
      </c>
      <c r="F194" s="15" t="s">
        <v>361</v>
      </c>
      <c r="G194" s="15" t="s">
        <v>28</v>
      </c>
      <c r="H194" s="15" t="s">
        <v>984</v>
      </c>
      <c r="I194" s="15" t="s">
        <v>212</v>
      </c>
      <c r="J194" s="15" t="s">
        <v>45</v>
      </c>
      <c r="K194" s="15" t="s">
        <v>32</v>
      </c>
      <c r="L194" s="15" t="s">
        <v>33</v>
      </c>
      <c r="M194" s="15">
        <v>16</v>
      </c>
      <c r="N194" s="15">
        <v>2200</v>
      </c>
      <c r="O194" s="15">
        <v>0</v>
      </c>
      <c r="P194" s="15">
        <v>35200</v>
      </c>
      <c r="Q194" s="15">
        <v>5</v>
      </c>
      <c r="R194" s="15" t="s">
        <v>79</v>
      </c>
      <c r="S194" s="15" t="s">
        <v>35</v>
      </c>
      <c r="T194" s="15" t="s">
        <v>175</v>
      </c>
      <c r="U194" s="17" t="s">
        <v>985</v>
      </c>
      <c r="V194" s="15" t="s">
        <v>64</v>
      </c>
    </row>
    <row r="195" spans="1:22">
      <c r="A195" s="18" t="s">
        <v>986</v>
      </c>
      <c r="B195" s="18" t="s">
        <v>251</v>
      </c>
      <c r="C195" s="18" t="s">
        <v>24</v>
      </c>
      <c r="D195" s="18" t="s">
        <v>987</v>
      </c>
      <c r="E195" s="18" t="s">
        <v>988</v>
      </c>
      <c r="F195" s="18" t="s">
        <v>254</v>
      </c>
      <c r="G195" s="18" t="s">
        <v>28</v>
      </c>
      <c r="H195" s="18" t="s">
        <v>989</v>
      </c>
      <c r="I195" s="18" t="s">
        <v>44</v>
      </c>
      <c r="J195" s="18" t="s">
        <v>45</v>
      </c>
      <c r="K195" s="18" t="s">
        <v>32</v>
      </c>
      <c r="L195" s="18" t="s">
        <v>33</v>
      </c>
      <c r="M195" s="18">
        <v>8</v>
      </c>
      <c r="N195" s="18">
        <v>2200</v>
      </c>
      <c r="O195" s="18">
        <v>5</v>
      </c>
      <c r="P195" s="18">
        <v>16720</v>
      </c>
      <c r="Q195" s="18">
        <v>2</v>
      </c>
      <c r="R195" s="18" t="s">
        <v>88</v>
      </c>
      <c r="S195" s="18" t="s">
        <v>151</v>
      </c>
      <c r="T195" s="18" t="s">
        <v>256</v>
      </c>
      <c r="U195" s="19" t="s">
        <v>990</v>
      </c>
      <c r="V195" s="18" t="s">
        <v>38</v>
      </c>
    </row>
    <row r="196" spans="1:22">
      <c r="A196" s="15" t="s">
        <v>991</v>
      </c>
      <c r="B196" s="15" t="s">
        <v>251</v>
      </c>
      <c r="C196" s="15" t="s">
        <v>24</v>
      </c>
      <c r="D196" s="15" t="s">
        <v>610</v>
      </c>
      <c r="E196" s="15" t="s">
        <v>454</v>
      </c>
      <c r="F196" s="15" t="s">
        <v>254</v>
      </c>
      <c r="G196" s="15" t="s">
        <v>28</v>
      </c>
      <c r="H196" s="15" t="s">
        <v>992</v>
      </c>
      <c r="I196" s="15" t="s">
        <v>138</v>
      </c>
      <c r="J196" s="15" t="s">
        <v>106</v>
      </c>
      <c r="K196" s="15" t="s">
        <v>32</v>
      </c>
      <c r="L196" s="15" t="s">
        <v>33</v>
      </c>
      <c r="M196" s="15">
        <v>10</v>
      </c>
      <c r="N196" s="15">
        <v>2200</v>
      </c>
      <c r="O196" s="15">
        <v>10</v>
      </c>
      <c r="P196" s="15">
        <v>19800</v>
      </c>
      <c r="Q196" s="15">
        <v>5</v>
      </c>
      <c r="R196" s="15" t="s">
        <v>48</v>
      </c>
      <c r="S196" s="15" t="s">
        <v>115</v>
      </c>
      <c r="T196" s="15" t="s">
        <v>256</v>
      </c>
      <c r="U196" s="17" t="s">
        <v>993</v>
      </c>
      <c r="V196" s="15" t="s">
        <v>64</v>
      </c>
    </row>
    <row r="197" spans="1:22">
      <c r="A197" s="18" t="s">
        <v>994</v>
      </c>
      <c r="B197" s="18" t="s">
        <v>83</v>
      </c>
      <c r="C197" s="18" t="s">
        <v>222</v>
      </c>
      <c r="D197" s="18" t="s">
        <v>336</v>
      </c>
      <c r="E197" s="18" t="s">
        <v>596</v>
      </c>
      <c r="F197" s="18" t="s">
        <v>180</v>
      </c>
      <c r="G197" s="18" t="s">
        <v>76</v>
      </c>
      <c r="H197" s="18" t="s">
        <v>995</v>
      </c>
      <c r="I197" s="18" t="s">
        <v>44</v>
      </c>
      <c r="J197" s="18" t="s">
        <v>45</v>
      </c>
      <c r="K197" s="18" t="s">
        <v>122</v>
      </c>
      <c r="L197" s="18" t="s">
        <v>227</v>
      </c>
      <c r="M197" s="18">
        <v>7</v>
      </c>
      <c r="N197" s="18">
        <v>20</v>
      </c>
      <c r="O197" s="18">
        <v>10</v>
      </c>
      <c r="P197" s="18">
        <v>126</v>
      </c>
      <c r="Q197" s="18">
        <v>4</v>
      </c>
      <c r="R197" s="18" t="s">
        <v>79</v>
      </c>
      <c r="S197" s="18" t="s">
        <v>61</v>
      </c>
      <c r="T197" s="18" t="s">
        <v>89</v>
      </c>
      <c r="U197" s="19" t="s">
        <v>996</v>
      </c>
      <c r="V197" s="18" t="s">
        <v>38</v>
      </c>
    </row>
    <row r="198" spans="1:22">
      <c r="A198" s="15" t="s">
        <v>997</v>
      </c>
      <c r="B198" s="15" t="s">
        <v>221</v>
      </c>
      <c r="C198" s="15" t="s">
        <v>169</v>
      </c>
      <c r="D198" s="15" t="s">
        <v>252</v>
      </c>
      <c r="E198" s="15" t="s">
        <v>998</v>
      </c>
      <c r="F198" s="15" t="s">
        <v>225</v>
      </c>
      <c r="G198" s="15" t="s">
        <v>76</v>
      </c>
      <c r="H198" s="15" t="s">
        <v>999</v>
      </c>
      <c r="I198" s="15" t="s">
        <v>30</v>
      </c>
      <c r="J198" s="15" t="s">
        <v>31</v>
      </c>
      <c r="K198" s="15" t="s">
        <v>32</v>
      </c>
      <c r="L198" s="15" t="s">
        <v>174</v>
      </c>
      <c r="M198" s="15">
        <v>19</v>
      </c>
      <c r="N198" s="15">
        <v>8500</v>
      </c>
      <c r="O198" s="15">
        <v>20</v>
      </c>
      <c r="P198" s="15">
        <v>129200</v>
      </c>
      <c r="Q198" s="15">
        <v>3</v>
      </c>
      <c r="R198" s="15" t="s">
        <v>48</v>
      </c>
      <c r="S198" s="15" t="s">
        <v>61</v>
      </c>
      <c r="T198" s="15" t="s">
        <v>228</v>
      </c>
      <c r="U198" s="17" t="s">
        <v>1000</v>
      </c>
      <c r="V198" s="15" t="s">
        <v>64</v>
      </c>
    </row>
    <row r="199" spans="1:22">
      <c r="A199" s="18" t="s">
        <v>1001</v>
      </c>
      <c r="B199" s="18" t="s">
        <v>100</v>
      </c>
      <c r="C199" s="18" t="s">
        <v>118</v>
      </c>
      <c r="D199" s="18" t="s">
        <v>431</v>
      </c>
      <c r="E199" s="18" t="s">
        <v>414</v>
      </c>
      <c r="F199" s="18" t="s">
        <v>103</v>
      </c>
      <c r="G199" s="18" t="s">
        <v>28</v>
      </c>
      <c r="H199" s="18" t="s">
        <v>1002</v>
      </c>
      <c r="I199" s="18" t="s">
        <v>114</v>
      </c>
      <c r="J199" s="18" t="s">
        <v>106</v>
      </c>
      <c r="K199" s="18" t="s">
        <v>122</v>
      </c>
      <c r="L199" s="18" t="s">
        <v>123</v>
      </c>
      <c r="M199" s="18">
        <v>16</v>
      </c>
      <c r="N199" s="18">
        <v>60</v>
      </c>
      <c r="O199" s="18">
        <v>0</v>
      </c>
      <c r="P199" s="18">
        <v>960</v>
      </c>
      <c r="Q199" s="18">
        <v>2</v>
      </c>
      <c r="R199" s="18" t="s">
        <v>48</v>
      </c>
      <c r="S199" s="18" t="s">
        <v>115</v>
      </c>
      <c r="T199" s="18" t="s">
        <v>144</v>
      </c>
      <c r="U199" s="19" t="s">
        <v>1003</v>
      </c>
      <c r="V199" s="18" t="s">
        <v>38</v>
      </c>
    </row>
    <row r="200" spans="1:22">
      <c r="A200" s="15" t="s">
        <v>1004</v>
      </c>
      <c r="B200" s="15" t="s">
        <v>221</v>
      </c>
      <c r="C200" s="15" t="s">
        <v>92</v>
      </c>
      <c r="D200" s="15" t="s">
        <v>1005</v>
      </c>
      <c r="E200" s="15" t="s">
        <v>731</v>
      </c>
      <c r="F200" s="15" t="s">
        <v>225</v>
      </c>
      <c r="G200" s="15" t="s">
        <v>76</v>
      </c>
      <c r="H200" s="15" t="s">
        <v>1006</v>
      </c>
      <c r="I200" s="15" t="s">
        <v>59</v>
      </c>
      <c r="J200" s="15" t="s">
        <v>31</v>
      </c>
      <c r="K200" s="15" t="s">
        <v>1007</v>
      </c>
      <c r="L200" s="15" t="s">
        <v>97</v>
      </c>
      <c r="M200" s="15">
        <v>18</v>
      </c>
      <c r="N200" s="15">
        <v>3500</v>
      </c>
      <c r="O200" s="15">
        <v>5</v>
      </c>
      <c r="P200" s="15">
        <v>59850</v>
      </c>
      <c r="Q200" s="15">
        <v>1</v>
      </c>
      <c r="R200" s="15" t="s">
        <v>88</v>
      </c>
      <c r="S200" s="15" t="s">
        <v>115</v>
      </c>
      <c r="T200" s="15" t="s">
        <v>228</v>
      </c>
      <c r="U200" s="17" t="s">
        <v>1008</v>
      </c>
      <c r="V200" s="15" t="s">
        <v>64</v>
      </c>
    </row>
    <row r="201" spans="1:22">
      <c r="A201" s="18" t="s">
        <v>1009</v>
      </c>
      <c r="B201" s="18" t="s">
        <v>100</v>
      </c>
      <c r="C201" s="18" t="s">
        <v>54</v>
      </c>
      <c r="D201" s="18" t="s">
        <v>1010</v>
      </c>
      <c r="E201" s="18" t="s">
        <v>431</v>
      </c>
      <c r="F201" s="18" t="s">
        <v>103</v>
      </c>
      <c r="G201" s="18" t="s">
        <v>28</v>
      </c>
      <c r="H201" s="18" t="s">
        <v>1011</v>
      </c>
      <c r="I201" s="18" t="s">
        <v>212</v>
      </c>
      <c r="J201" s="18" t="s">
        <v>45</v>
      </c>
      <c r="K201" s="18" t="s">
        <v>46</v>
      </c>
      <c r="L201" s="18" t="s">
        <v>60</v>
      </c>
      <c r="M201" s="18">
        <v>16</v>
      </c>
      <c r="N201" s="18">
        <v>55000</v>
      </c>
      <c r="O201" s="18">
        <v>0</v>
      </c>
      <c r="P201" s="18">
        <v>880000</v>
      </c>
      <c r="Q201" s="18">
        <v>1</v>
      </c>
      <c r="R201" s="18" t="s">
        <v>79</v>
      </c>
      <c r="S201" s="18" t="s">
        <v>61</v>
      </c>
      <c r="T201" s="18" t="s">
        <v>144</v>
      </c>
      <c r="U201" s="19" t="s">
        <v>1012</v>
      </c>
      <c r="V201" s="18" t="s">
        <v>69</v>
      </c>
    </row>
    <row r="202" spans="1:22">
      <c r="A202" s="15" t="s">
        <v>1013</v>
      </c>
      <c r="B202" s="15" t="s">
        <v>221</v>
      </c>
      <c r="C202" s="15" t="s">
        <v>72</v>
      </c>
      <c r="D202" s="15" t="s">
        <v>900</v>
      </c>
      <c r="E202" s="15" t="s">
        <v>435</v>
      </c>
      <c r="F202" s="15" t="s">
        <v>225</v>
      </c>
      <c r="G202" s="15" t="s">
        <v>76</v>
      </c>
      <c r="H202" s="15" t="s">
        <v>1014</v>
      </c>
      <c r="I202" s="15" t="s">
        <v>138</v>
      </c>
      <c r="J202" s="15" t="s">
        <v>106</v>
      </c>
      <c r="K202" s="15" t="s">
        <v>46</v>
      </c>
      <c r="L202" s="15" t="s">
        <v>78</v>
      </c>
      <c r="M202" s="15">
        <v>18</v>
      </c>
      <c r="N202" s="15">
        <v>1200</v>
      </c>
      <c r="O202" s="15">
        <v>15</v>
      </c>
      <c r="P202" s="15">
        <v>18360</v>
      </c>
      <c r="Q202" s="15">
        <v>2</v>
      </c>
      <c r="R202" s="15" t="s">
        <v>48</v>
      </c>
      <c r="S202" s="15" t="s">
        <v>35</v>
      </c>
      <c r="T202" s="15" t="s">
        <v>228</v>
      </c>
      <c r="U202" s="17" t="s">
        <v>1015</v>
      </c>
      <c r="V202" s="15" t="s">
        <v>69</v>
      </c>
    </row>
    <row r="203" spans="1:22">
      <c r="A203" s="18" t="s">
        <v>1016</v>
      </c>
      <c r="B203" s="18" t="s">
        <v>71</v>
      </c>
      <c r="C203" s="18" t="s">
        <v>259</v>
      </c>
      <c r="D203" s="18" t="s">
        <v>1017</v>
      </c>
      <c r="E203" s="18" t="s">
        <v>1018</v>
      </c>
      <c r="F203" s="18" t="s">
        <v>217</v>
      </c>
      <c r="G203" s="18" t="s">
        <v>76</v>
      </c>
      <c r="H203" s="18" t="s">
        <v>1019</v>
      </c>
      <c r="I203" s="18" t="s">
        <v>30</v>
      </c>
      <c r="J203" s="18" t="s">
        <v>31</v>
      </c>
      <c r="K203" s="18" t="s">
        <v>122</v>
      </c>
      <c r="L203" s="18" t="s">
        <v>263</v>
      </c>
      <c r="M203" s="18">
        <v>2</v>
      </c>
      <c r="N203" s="18">
        <v>45</v>
      </c>
      <c r="O203" s="18">
        <v>15</v>
      </c>
      <c r="P203" s="18">
        <v>76.5</v>
      </c>
      <c r="Q203" s="18">
        <v>5</v>
      </c>
      <c r="R203" s="18" t="s">
        <v>34</v>
      </c>
      <c r="S203" s="18" t="s">
        <v>61</v>
      </c>
      <c r="T203" s="18" t="s">
        <v>80</v>
      </c>
      <c r="U203" s="19" t="s">
        <v>1020</v>
      </c>
      <c r="V203" s="18" t="s">
        <v>69</v>
      </c>
    </row>
    <row r="204" spans="1:22">
      <c r="A204" s="15" t="s">
        <v>1021</v>
      </c>
      <c r="B204" s="15" t="s">
        <v>53</v>
      </c>
      <c r="C204" s="15" t="s">
        <v>169</v>
      </c>
      <c r="D204" s="15" t="s">
        <v>712</v>
      </c>
      <c r="E204" s="15" t="s">
        <v>85</v>
      </c>
      <c r="F204" s="15" t="s">
        <v>163</v>
      </c>
      <c r="G204" s="15" t="s">
        <v>28</v>
      </c>
      <c r="H204" s="15" t="s">
        <v>1022</v>
      </c>
      <c r="I204" s="15" t="s">
        <v>59</v>
      </c>
      <c r="J204" s="15" t="s">
        <v>31</v>
      </c>
      <c r="K204" s="15" t="s">
        <v>32</v>
      </c>
      <c r="L204" s="15" t="s">
        <v>174</v>
      </c>
      <c r="M204" s="15">
        <v>20</v>
      </c>
      <c r="N204" s="15">
        <v>8500</v>
      </c>
      <c r="O204" s="15">
        <v>0</v>
      </c>
      <c r="P204" s="15">
        <v>170000</v>
      </c>
      <c r="Q204" s="15">
        <v>4</v>
      </c>
      <c r="R204" s="15" t="s">
        <v>48</v>
      </c>
      <c r="S204" s="15" t="s">
        <v>61</v>
      </c>
      <c r="T204" s="15" t="s">
        <v>62</v>
      </c>
      <c r="U204" s="17" t="s">
        <v>1023</v>
      </c>
      <c r="V204" s="15" t="s">
        <v>69</v>
      </c>
    </row>
    <row r="205" spans="1:22">
      <c r="A205" s="18" t="s">
        <v>1024</v>
      </c>
      <c r="B205" s="18" t="s">
        <v>127</v>
      </c>
      <c r="C205" s="18" t="s">
        <v>92</v>
      </c>
      <c r="D205" s="18" t="s">
        <v>298</v>
      </c>
      <c r="E205" s="18" t="s">
        <v>1025</v>
      </c>
      <c r="F205" s="18" t="s">
        <v>200</v>
      </c>
      <c r="G205" s="18" t="s">
        <v>76</v>
      </c>
      <c r="H205" s="18" t="s">
        <v>494</v>
      </c>
      <c r="I205" s="18" t="s">
        <v>212</v>
      </c>
      <c r="J205" s="18" t="s">
        <v>45</v>
      </c>
      <c r="K205" s="18" t="s">
        <v>32</v>
      </c>
      <c r="L205" s="18" t="s">
        <v>97</v>
      </c>
      <c r="M205" s="18">
        <v>6</v>
      </c>
      <c r="N205" s="18">
        <v>3500</v>
      </c>
      <c r="O205" s="18">
        <v>5</v>
      </c>
      <c r="P205" s="18">
        <v>19950</v>
      </c>
      <c r="Q205" s="18">
        <v>1</v>
      </c>
      <c r="R205" s="18" t="s">
        <v>34</v>
      </c>
      <c r="S205" s="18" t="s">
        <v>151</v>
      </c>
      <c r="T205" s="18" t="s">
        <v>132</v>
      </c>
      <c r="U205" s="19" t="s">
        <v>1026</v>
      </c>
      <c r="V205" s="18" t="s">
        <v>38</v>
      </c>
    </row>
    <row r="206" spans="1:22">
      <c r="A206" s="15" t="s">
        <v>1027</v>
      </c>
      <c r="B206" s="15" t="s">
        <v>168</v>
      </c>
      <c r="C206" s="15" t="s">
        <v>259</v>
      </c>
      <c r="D206" s="15" t="s">
        <v>308</v>
      </c>
      <c r="E206" s="15" t="s">
        <v>281</v>
      </c>
      <c r="F206" s="15" t="s">
        <v>361</v>
      </c>
      <c r="G206" s="15" t="s">
        <v>28</v>
      </c>
      <c r="H206" s="15" t="s">
        <v>1028</v>
      </c>
      <c r="I206" s="15" t="s">
        <v>114</v>
      </c>
      <c r="J206" s="15" t="s">
        <v>106</v>
      </c>
      <c r="K206" s="15" t="s">
        <v>122</v>
      </c>
      <c r="L206" s="15" t="s">
        <v>263</v>
      </c>
      <c r="M206" s="15">
        <v>8</v>
      </c>
      <c r="N206" s="15">
        <v>45</v>
      </c>
      <c r="O206" s="15">
        <v>5</v>
      </c>
      <c r="P206" s="15">
        <v>342</v>
      </c>
      <c r="Q206" s="15">
        <v>2</v>
      </c>
      <c r="R206" s="15" t="s">
        <v>34</v>
      </c>
      <c r="S206" s="15" t="s">
        <v>49</v>
      </c>
      <c r="T206" s="15" t="s">
        <v>175</v>
      </c>
      <c r="U206" s="17" t="s">
        <v>1029</v>
      </c>
      <c r="V206" s="15" t="s">
        <v>64</v>
      </c>
    </row>
    <row r="207" spans="1:22">
      <c r="A207" s="18" t="s">
        <v>1030</v>
      </c>
      <c r="B207" s="18" t="s">
        <v>327</v>
      </c>
      <c r="C207" s="18" t="s">
        <v>24</v>
      </c>
      <c r="D207" s="18" t="s">
        <v>414</v>
      </c>
      <c r="E207" s="18" t="s">
        <v>1031</v>
      </c>
      <c r="F207" s="18" t="s">
        <v>394</v>
      </c>
      <c r="G207" s="18" t="s">
        <v>76</v>
      </c>
      <c r="H207" s="18" t="s">
        <v>1032</v>
      </c>
      <c r="I207" s="18" t="s">
        <v>105</v>
      </c>
      <c r="J207" s="18" t="s">
        <v>106</v>
      </c>
      <c r="K207" s="18" t="s">
        <v>32</v>
      </c>
      <c r="L207" s="18" t="s">
        <v>33</v>
      </c>
      <c r="M207" s="18">
        <v>18</v>
      </c>
      <c r="N207" s="18">
        <v>2200</v>
      </c>
      <c r="O207" s="18">
        <v>15</v>
      </c>
      <c r="P207" s="18">
        <v>33660</v>
      </c>
      <c r="Q207" s="18">
        <v>4</v>
      </c>
      <c r="R207" s="18" t="s">
        <v>79</v>
      </c>
      <c r="S207" s="18" t="s">
        <v>61</v>
      </c>
      <c r="T207" s="18" t="s">
        <v>332</v>
      </c>
      <c r="U207" s="19" t="s">
        <v>1033</v>
      </c>
      <c r="V207" s="18" t="s">
        <v>64</v>
      </c>
    </row>
    <row r="208" spans="1:22">
      <c r="A208" s="15" t="s">
        <v>1034</v>
      </c>
      <c r="B208" s="15" t="s">
        <v>221</v>
      </c>
      <c r="C208" s="15" t="s">
        <v>184</v>
      </c>
      <c r="D208" s="15" t="s">
        <v>1035</v>
      </c>
      <c r="E208" s="15" t="s">
        <v>1005</v>
      </c>
      <c r="F208" s="15" t="s">
        <v>225</v>
      </c>
      <c r="G208" s="15" t="s">
        <v>76</v>
      </c>
      <c r="H208" s="15" t="s">
        <v>1036</v>
      </c>
      <c r="I208" s="15" t="s">
        <v>30</v>
      </c>
      <c r="J208" s="15" t="s">
        <v>31</v>
      </c>
      <c r="K208" s="15" t="s">
        <v>46</v>
      </c>
      <c r="L208" s="15" t="s">
        <v>189</v>
      </c>
      <c r="M208" s="15">
        <v>18</v>
      </c>
      <c r="N208" s="15">
        <v>700</v>
      </c>
      <c r="O208" s="15">
        <v>15</v>
      </c>
      <c r="P208" s="15">
        <v>10710</v>
      </c>
      <c r="Q208" s="15">
        <v>3</v>
      </c>
      <c r="R208" s="15" t="s">
        <v>79</v>
      </c>
      <c r="S208" s="15" t="s">
        <v>151</v>
      </c>
      <c r="T208" s="15" t="s">
        <v>228</v>
      </c>
      <c r="U208" s="17" t="s">
        <v>1037</v>
      </c>
      <c r="V208" s="15" t="s">
        <v>69</v>
      </c>
    </row>
    <row r="209" spans="1:22">
      <c r="A209" s="18" t="s">
        <v>1038</v>
      </c>
      <c r="B209" s="18" t="s">
        <v>327</v>
      </c>
      <c r="C209" s="18" t="s">
        <v>54</v>
      </c>
      <c r="D209" s="18" t="s">
        <v>1039</v>
      </c>
      <c r="E209" s="18" t="s">
        <v>1040</v>
      </c>
      <c r="F209" s="18" t="s">
        <v>394</v>
      </c>
      <c r="G209" s="18" t="s">
        <v>76</v>
      </c>
      <c r="H209" s="18" t="s">
        <v>1041</v>
      </c>
      <c r="I209" s="18" t="s">
        <v>114</v>
      </c>
      <c r="J209" s="18" t="s">
        <v>106</v>
      </c>
      <c r="K209" s="18" t="s">
        <v>46</v>
      </c>
      <c r="L209" s="18" t="s">
        <v>60</v>
      </c>
      <c r="M209" s="18">
        <v>12</v>
      </c>
      <c r="N209" s="18">
        <v>55000</v>
      </c>
      <c r="O209" s="18">
        <v>0</v>
      </c>
      <c r="P209" s="18">
        <v>660000</v>
      </c>
      <c r="Q209" s="18">
        <v>2</v>
      </c>
      <c r="R209" s="18" t="s">
        <v>88</v>
      </c>
      <c r="S209" s="18" t="s">
        <v>49</v>
      </c>
      <c r="T209" s="18" t="s">
        <v>332</v>
      </c>
      <c r="U209" s="19" t="s">
        <v>1042</v>
      </c>
      <c r="V209" s="18" t="s">
        <v>69</v>
      </c>
    </row>
    <row r="210" spans="1:22">
      <c r="A210" s="15" t="s">
        <v>1043</v>
      </c>
      <c r="B210" s="15" t="s">
        <v>23</v>
      </c>
      <c r="C210" s="15" t="s">
        <v>40</v>
      </c>
      <c r="D210" s="15" t="s">
        <v>502</v>
      </c>
      <c r="E210" s="15" t="s">
        <v>1044</v>
      </c>
      <c r="F210" s="15" t="s">
        <v>27</v>
      </c>
      <c r="G210" s="15" t="s">
        <v>28</v>
      </c>
      <c r="H210" s="15" t="s">
        <v>1045</v>
      </c>
      <c r="I210" s="15" t="s">
        <v>105</v>
      </c>
      <c r="J210" s="15" t="s">
        <v>106</v>
      </c>
      <c r="K210" s="15" t="s">
        <v>46</v>
      </c>
      <c r="L210" s="15" t="s">
        <v>47</v>
      </c>
      <c r="M210" s="15">
        <v>7</v>
      </c>
      <c r="N210" s="15">
        <v>12000</v>
      </c>
      <c r="O210" s="15">
        <v>5</v>
      </c>
      <c r="P210" s="15">
        <v>79800</v>
      </c>
      <c r="Q210" s="15">
        <v>3</v>
      </c>
      <c r="R210" s="15" t="s">
        <v>79</v>
      </c>
      <c r="S210" s="15" t="s">
        <v>151</v>
      </c>
      <c r="T210" s="15" t="s">
        <v>50</v>
      </c>
      <c r="U210" s="17" t="s">
        <v>1046</v>
      </c>
      <c r="V210" s="15" t="s">
        <v>64</v>
      </c>
    </row>
    <row r="211" spans="1:22">
      <c r="A211" s="18" t="s">
        <v>1047</v>
      </c>
      <c r="B211" s="18" t="s">
        <v>251</v>
      </c>
      <c r="C211" s="18" t="s">
        <v>40</v>
      </c>
      <c r="D211" s="18" t="s">
        <v>1048</v>
      </c>
      <c r="E211" s="18" t="s">
        <v>129</v>
      </c>
      <c r="F211" s="18" t="s">
        <v>254</v>
      </c>
      <c r="G211" s="18" t="s">
        <v>28</v>
      </c>
      <c r="H211" s="18" t="s">
        <v>1049</v>
      </c>
      <c r="I211" s="18" t="s">
        <v>105</v>
      </c>
      <c r="J211" s="18" t="s">
        <v>106</v>
      </c>
      <c r="K211" s="18" t="s">
        <v>46</v>
      </c>
      <c r="L211" s="18" t="s">
        <v>47</v>
      </c>
      <c r="M211" s="18">
        <v>8</v>
      </c>
      <c r="N211" s="18">
        <v>12000</v>
      </c>
      <c r="O211" s="18">
        <v>15</v>
      </c>
      <c r="P211" s="18">
        <v>81600</v>
      </c>
      <c r="Q211" s="18">
        <v>4</v>
      </c>
      <c r="R211" s="18" t="s">
        <v>79</v>
      </c>
      <c r="S211" s="18" t="s">
        <v>49</v>
      </c>
      <c r="T211" s="18" t="s">
        <v>256</v>
      </c>
      <c r="U211" s="19" t="s">
        <v>1050</v>
      </c>
      <c r="V211" s="18" t="s">
        <v>38</v>
      </c>
    </row>
    <row r="212" spans="1:22">
      <c r="A212" s="15" t="s">
        <v>1051</v>
      </c>
      <c r="B212" s="15" t="s">
        <v>327</v>
      </c>
      <c r="C212" s="15" t="s">
        <v>92</v>
      </c>
      <c r="D212" s="15" t="s">
        <v>788</v>
      </c>
      <c r="E212" s="15" t="s">
        <v>1052</v>
      </c>
      <c r="F212" s="15" t="s">
        <v>394</v>
      </c>
      <c r="G212" s="15" t="s">
        <v>76</v>
      </c>
      <c r="H212" s="15" t="s">
        <v>1053</v>
      </c>
      <c r="I212" s="15" t="s">
        <v>105</v>
      </c>
      <c r="J212" s="15" t="s">
        <v>106</v>
      </c>
      <c r="K212" s="15" t="s">
        <v>32</v>
      </c>
      <c r="L212" s="15" t="s">
        <v>97</v>
      </c>
      <c r="M212" s="15">
        <v>19</v>
      </c>
      <c r="N212" s="15">
        <v>3500</v>
      </c>
      <c r="O212" s="15">
        <v>5</v>
      </c>
      <c r="P212" s="15">
        <v>63175</v>
      </c>
      <c r="Q212" s="15">
        <v>3</v>
      </c>
      <c r="R212" s="15" t="s">
        <v>79</v>
      </c>
      <c r="S212" s="15" t="s">
        <v>61</v>
      </c>
      <c r="T212" s="15" t="s">
        <v>332</v>
      </c>
      <c r="U212" s="17" t="s">
        <v>1054</v>
      </c>
      <c r="V212" s="15" t="s">
        <v>64</v>
      </c>
    </row>
    <row r="213" spans="1:22">
      <c r="A213" s="18" t="s">
        <v>1055</v>
      </c>
      <c r="B213" s="18" t="s">
        <v>251</v>
      </c>
      <c r="C213" s="18" t="s">
        <v>259</v>
      </c>
      <c r="D213" s="18" t="s">
        <v>900</v>
      </c>
      <c r="E213" s="18" t="s">
        <v>987</v>
      </c>
      <c r="F213" s="18" t="s">
        <v>254</v>
      </c>
      <c r="G213" s="18" t="s">
        <v>28</v>
      </c>
      <c r="H213" s="18" t="s">
        <v>1056</v>
      </c>
      <c r="I213" s="18" t="s">
        <v>138</v>
      </c>
      <c r="J213" s="18" t="s">
        <v>106</v>
      </c>
      <c r="K213" s="18" t="s">
        <v>122</v>
      </c>
      <c r="L213" s="18" t="s">
        <v>263</v>
      </c>
      <c r="M213" s="18">
        <v>7</v>
      </c>
      <c r="N213" s="18">
        <v>45</v>
      </c>
      <c r="O213" s="18">
        <v>5</v>
      </c>
      <c r="P213" s="18">
        <v>299.25</v>
      </c>
      <c r="Q213" s="18">
        <v>3</v>
      </c>
      <c r="R213" s="18" t="s">
        <v>79</v>
      </c>
      <c r="S213" s="18" t="s">
        <v>35</v>
      </c>
      <c r="T213" s="18" t="s">
        <v>256</v>
      </c>
      <c r="U213" s="19" t="s">
        <v>1057</v>
      </c>
      <c r="V213" s="18" t="s">
        <v>69</v>
      </c>
    </row>
    <row r="214" spans="1:22">
      <c r="A214" s="15" t="s">
        <v>1058</v>
      </c>
      <c r="B214" s="15" t="s">
        <v>23</v>
      </c>
      <c r="C214" s="15" t="s">
        <v>118</v>
      </c>
      <c r="D214" s="15" t="s">
        <v>684</v>
      </c>
      <c r="E214" s="15" t="s">
        <v>750</v>
      </c>
      <c r="F214" s="15" t="s">
        <v>27</v>
      </c>
      <c r="G214" s="15" t="s">
        <v>28</v>
      </c>
      <c r="H214" s="15" t="s">
        <v>331</v>
      </c>
      <c r="I214" s="15" t="s">
        <v>30</v>
      </c>
      <c r="J214" s="15" t="s">
        <v>31</v>
      </c>
      <c r="K214" s="15" t="s">
        <v>122</v>
      </c>
      <c r="L214" s="15" t="s">
        <v>123</v>
      </c>
      <c r="M214" s="15">
        <v>3</v>
      </c>
      <c r="N214" s="15">
        <v>60</v>
      </c>
      <c r="O214" s="15">
        <v>15</v>
      </c>
      <c r="P214" s="15">
        <v>153</v>
      </c>
      <c r="Q214" s="15">
        <v>3</v>
      </c>
      <c r="R214" s="15" t="s">
        <v>48</v>
      </c>
      <c r="S214" s="15" t="s">
        <v>49</v>
      </c>
      <c r="T214" s="15" t="s">
        <v>50</v>
      </c>
      <c r="U214" s="17" t="s">
        <v>1059</v>
      </c>
      <c r="V214" s="15" t="s">
        <v>69</v>
      </c>
    </row>
    <row r="215" spans="1:22">
      <c r="A215" s="18" t="s">
        <v>1060</v>
      </c>
      <c r="B215" s="18" t="s">
        <v>53</v>
      </c>
      <c r="C215" s="18" t="s">
        <v>259</v>
      </c>
      <c r="D215" s="18" t="s">
        <v>1061</v>
      </c>
      <c r="E215" s="18" t="s">
        <v>582</v>
      </c>
      <c r="F215" s="18" t="s">
        <v>163</v>
      </c>
      <c r="G215" s="18" t="s">
        <v>28</v>
      </c>
      <c r="H215" s="18" t="s">
        <v>1062</v>
      </c>
      <c r="I215" s="18" t="s">
        <v>114</v>
      </c>
      <c r="J215" s="18" t="s">
        <v>106</v>
      </c>
      <c r="K215" s="18" t="s">
        <v>122</v>
      </c>
      <c r="L215" s="18" t="s">
        <v>263</v>
      </c>
      <c r="M215" s="18">
        <v>19</v>
      </c>
      <c r="N215" s="18">
        <v>45</v>
      </c>
      <c r="O215" s="18">
        <v>0</v>
      </c>
      <c r="P215" s="18">
        <v>855</v>
      </c>
      <c r="Q215" s="18">
        <v>2</v>
      </c>
      <c r="R215" s="18" t="s">
        <v>34</v>
      </c>
      <c r="S215" s="18" t="s">
        <v>61</v>
      </c>
      <c r="T215" s="18" t="s">
        <v>62</v>
      </c>
      <c r="U215" s="19" t="s">
        <v>1063</v>
      </c>
      <c r="V215" s="18" t="s">
        <v>38</v>
      </c>
    </row>
    <row r="216" spans="1:22">
      <c r="A216" s="15" t="s">
        <v>1064</v>
      </c>
      <c r="B216" s="15" t="s">
        <v>100</v>
      </c>
      <c r="C216" s="15" t="s">
        <v>40</v>
      </c>
      <c r="D216" s="15" t="s">
        <v>1065</v>
      </c>
      <c r="E216" s="15" t="s">
        <v>543</v>
      </c>
      <c r="F216" s="15" t="s">
        <v>103</v>
      </c>
      <c r="G216" s="15" t="s">
        <v>28</v>
      </c>
      <c r="H216" s="15" t="s">
        <v>1066</v>
      </c>
      <c r="I216" s="15" t="s">
        <v>59</v>
      </c>
      <c r="J216" s="15" t="s">
        <v>31</v>
      </c>
      <c r="K216" s="15" t="s">
        <v>46</v>
      </c>
      <c r="L216" s="15" t="s">
        <v>47</v>
      </c>
      <c r="M216" s="15">
        <v>10</v>
      </c>
      <c r="N216" s="15">
        <v>12000</v>
      </c>
      <c r="O216" s="15">
        <v>5</v>
      </c>
      <c r="P216" s="15">
        <v>114000</v>
      </c>
      <c r="Q216" s="15">
        <v>1</v>
      </c>
      <c r="R216" s="15" t="s">
        <v>79</v>
      </c>
      <c r="S216" s="15" t="s">
        <v>115</v>
      </c>
      <c r="T216" s="15" t="s">
        <v>144</v>
      </c>
      <c r="U216" s="17" t="s">
        <v>1067</v>
      </c>
      <c r="V216" s="15" t="s">
        <v>69</v>
      </c>
    </row>
    <row r="217" spans="1:22">
      <c r="A217" s="18" t="s">
        <v>1068</v>
      </c>
      <c r="B217" s="18" t="s">
        <v>23</v>
      </c>
      <c r="C217" s="18" t="s">
        <v>72</v>
      </c>
      <c r="D217" s="18" t="s">
        <v>1069</v>
      </c>
      <c r="E217" s="18" t="s">
        <v>1031</v>
      </c>
      <c r="F217" s="18" t="s">
        <v>27</v>
      </c>
      <c r="G217" s="18" t="s">
        <v>28</v>
      </c>
      <c r="H217" s="18" t="s">
        <v>1070</v>
      </c>
      <c r="I217" s="18" t="s">
        <v>294</v>
      </c>
      <c r="J217" s="18" t="s">
        <v>295</v>
      </c>
      <c r="K217" s="18" t="s">
        <v>46</v>
      </c>
      <c r="L217" s="18" t="s">
        <v>78</v>
      </c>
      <c r="M217" s="18">
        <v>4</v>
      </c>
      <c r="N217" s="18">
        <v>1200</v>
      </c>
      <c r="O217" s="18">
        <v>0</v>
      </c>
      <c r="P217" s="18">
        <v>4800</v>
      </c>
      <c r="Q217" s="18">
        <v>4</v>
      </c>
      <c r="R217" s="18" t="s">
        <v>34</v>
      </c>
      <c r="S217" s="18" t="s">
        <v>61</v>
      </c>
      <c r="T217" s="18" t="s">
        <v>50</v>
      </c>
      <c r="U217" s="19" t="s">
        <v>1071</v>
      </c>
      <c r="V217" s="18" t="s">
        <v>38</v>
      </c>
    </row>
    <row r="218" spans="1:22">
      <c r="A218" s="15" t="s">
        <v>1072</v>
      </c>
      <c r="B218" s="15" t="s">
        <v>221</v>
      </c>
      <c r="C218" s="15" t="s">
        <v>169</v>
      </c>
      <c r="D218" s="15" t="s">
        <v>531</v>
      </c>
      <c r="E218" s="15" t="s">
        <v>1073</v>
      </c>
      <c r="F218" s="15" t="s">
        <v>225</v>
      </c>
      <c r="G218" s="15" t="s">
        <v>76</v>
      </c>
      <c r="H218" s="15" t="s">
        <v>1074</v>
      </c>
      <c r="I218" s="15" t="s">
        <v>59</v>
      </c>
      <c r="J218" s="15" t="s">
        <v>31</v>
      </c>
      <c r="K218" s="15" t="s">
        <v>32</v>
      </c>
      <c r="L218" s="15" t="s">
        <v>174</v>
      </c>
      <c r="M218" s="15">
        <v>2</v>
      </c>
      <c r="N218" s="15">
        <v>8500</v>
      </c>
      <c r="O218" s="15">
        <v>20</v>
      </c>
      <c r="P218" s="15">
        <v>13600</v>
      </c>
      <c r="Q218" s="15">
        <v>3</v>
      </c>
      <c r="R218" s="15" t="s">
        <v>79</v>
      </c>
      <c r="S218" s="15" t="s">
        <v>151</v>
      </c>
      <c r="T218" s="15" t="s">
        <v>228</v>
      </c>
      <c r="U218" s="17" t="s">
        <v>1075</v>
      </c>
      <c r="V218" s="15" t="s">
        <v>38</v>
      </c>
    </row>
    <row r="219" spans="1:22">
      <c r="A219" s="18" t="s">
        <v>1076</v>
      </c>
      <c r="B219" s="18" t="s">
        <v>83</v>
      </c>
      <c r="C219" s="18" t="s">
        <v>184</v>
      </c>
      <c r="D219" s="18" t="s">
        <v>1077</v>
      </c>
      <c r="E219" s="18" t="s">
        <v>322</v>
      </c>
      <c r="F219" s="18" t="s">
        <v>180</v>
      </c>
      <c r="G219" s="18" t="s">
        <v>76</v>
      </c>
      <c r="H219" s="18" t="s">
        <v>1078</v>
      </c>
      <c r="I219" s="18" t="s">
        <v>294</v>
      </c>
      <c r="J219" s="18" t="s">
        <v>295</v>
      </c>
      <c r="K219" s="18" t="s">
        <v>46</v>
      </c>
      <c r="L219" s="18" t="s">
        <v>189</v>
      </c>
      <c r="M219" s="18">
        <v>7</v>
      </c>
      <c r="N219" s="18">
        <v>700</v>
      </c>
      <c r="O219" s="18">
        <v>20</v>
      </c>
      <c r="P219" s="18">
        <v>3920</v>
      </c>
      <c r="Q219" s="18">
        <v>2</v>
      </c>
      <c r="R219" s="18" t="s">
        <v>79</v>
      </c>
      <c r="S219" s="18" t="s">
        <v>151</v>
      </c>
      <c r="T219" s="18" t="s">
        <v>89</v>
      </c>
      <c r="U219" s="19" t="s">
        <v>1079</v>
      </c>
      <c r="V219" s="18" t="s">
        <v>64</v>
      </c>
    </row>
    <row r="220" spans="1:22">
      <c r="A220" s="15" t="s">
        <v>1080</v>
      </c>
      <c r="B220" s="15" t="s">
        <v>53</v>
      </c>
      <c r="C220" s="15" t="s">
        <v>222</v>
      </c>
      <c r="D220" s="15" t="s">
        <v>1081</v>
      </c>
      <c r="E220" s="15" t="s">
        <v>518</v>
      </c>
      <c r="F220" s="15" t="s">
        <v>163</v>
      </c>
      <c r="G220" s="15" t="s">
        <v>28</v>
      </c>
      <c r="H220" s="15" t="s">
        <v>1082</v>
      </c>
      <c r="I220" s="15" t="s">
        <v>114</v>
      </c>
      <c r="J220" s="15" t="s">
        <v>106</v>
      </c>
      <c r="K220" s="15" t="s">
        <v>122</v>
      </c>
      <c r="L220" s="15" t="s">
        <v>227</v>
      </c>
      <c r="M220" s="15">
        <v>9</v>
      </c>
      <c r="N220" s="15">
        <v>20</v>
      </c>
      <c r="O220" s="15">
        <v>15</v>
      </c>
      <c r="P220" s="15">
        <v>153</v>
      </c>
      <c r="Q220" s="15">
        <v>3</v>
      </c>
      <c r="R220" s="15" t="s">
        <v>48</v>
      </c>
      <c r="S220" s="15" t="s">
        <v>115</v>
      </c>
      <c r="T220" s="15" t="s">
        <v>62</v>
      </c>
      <c r="U220" s="17" t="s">
        <v>1083</v>
      </c>
      <c r="V220" s="15" t="s">
        <v>38</v>
      </c>
    </row>
    <row r="221" spans="1:22">
      <c r="A221" s="18" t="s">
        <v>1084</v>
      </c>
      <c r="B221" s="18" t="s">
        <v>100</v>
      </c>
      <c r="C221" s="18" t="s">
        <v>169</v>
      </c>
      <c r="D221" s="18" t="s">
        <v>1085</v>
      </c>
      <c r="E221" s="18" t="s">
        <v>1086</v>
      </c>
      <c r="F221" s="18" t="s">
        <v>103</v>
      </c>
      <c r="G221" s="18" t="s">
        <v>28</v>
      </c>
      <c r="H221" s="18" t="s">
        <v>1087</v>
      </c>
      <c r="I221" s="18" t="s">
        <v>294</v>
      </c>
      <c r="J221" s="18" t="s">
        <v>295</v>
      </c>
      <c r="K221" s="18" t="s">
        <v>32</v>
      </c>
      <c r="L221" s="18" t="s">
        <v>174</v>
      </c>
      <c r="M221" s="18">
        <v>16</v>
      </c>
      <c r="N221" s="18">
        <v>8500</v>
      </c>
      <c r="O221" s="18">
        <v>0</v>
      </c>
      <c r="P221" s="18">
        <v>136000</v>
      </c>
      <c r="Q221" s="18">
        <v>4</v>
      </c>
      <c r="R221" s="18" t="s">
        <v>48</v>
      </c>
      <c r="S221" s="18" t="s">
        <v>35</v>
      </c>
      <c r="T221" s="18" t="s">
        <v>144</v>
      </c>
      <c r="U221" s="19" t="s">
        <v>1088</v>
      </c>
      <c r="V221" s="18" t="s">
        <v>38</v>
      </c>
    </row>
    <row r="222" spans="1:22">
      <c r="A222" s="15" t="s">
        <v>1089</v>
      </c>
      <c r="B222" s="15" t="s">
        <v>251</v>
      </c>
      <c r="C222" s="15" t="s">
        <v>92</v>
      </c>
      <c r="D222" s="15" t="s">
        <v>544</v>
      </c>
      <c r="E222" s="15" t="s">
        <v>1090</v>
      </c>
      <c r="F222" s="15" t="s">
        <v>254</v>
      </c>
      <c r="G222" s="15" t="s">
        <v>28</v>
      </c>
      <c r="H222" s="15" t="s">
        <v>1091</v>
      </c>
      <c r="I222" s="15" t="s">
        <v>44</v>
      </c>
      <c r="J222" s="15" t="s">
        <v>45</v>
      </c>
      <c r="K222" s="15" t="s">
        <v>32</v>
      </c>
      <c r="L222" s="15" t="s">
        <v>97</v>
      </c>
      <c r="M222" s="15">
        <v>10</v>
      </c>
      <c r="N222" s="15">
        <v>3500</v>
      </c>
      <c r="O222" s="15">
        <v>5</v>
      </c>
      <c r="P222" s="15">
        <v>33250</v>
      </c>
      <c r="Q222" s="15">
        <v>3</v>
      </c>
      <c r="R222" s="15" t="s">
        <v>48</v>
      </c>
      <c r="S222" s="15" t="s">
        <v>115</v>
      </c>
      <c r="T222" s="15" t="s">
        <v>256</v>
      </c>
      <c r="U222" s="17" t="s">
        <v>1092</v>
      </c>
      <c r="V222" s="15" t="s">
        <v>38</v>
      </c>
    </row>
    <row r="223" spans="1:22">
      <c r="A223" s="18" t="s">
        <v>1093</v>
      </c>
      <c r="B223" s="18" t="s">
        <v>53</v>
      </c>
      <c r="C223" s="18" t="s">
        <v>40</v>
      </c>
      <c r="D223" s="18" t="s">
        <v>1094</v>
      </c>
      <c r="E223" s="18" t="s">
        <v>588</v>
      </c>
      <c r="F223" s="18" t="s">
        <v>163</v>
      </c>
      <c r="G223" s="18" t="s">
        <v>28</v>
      </c>
      <c r="H223" s="18" t="s">
        <v>1095</v>
      </c>
      <c r="I223" s="18" t="s">
        <v>294</v>
      </c>
      <c r="J223" s="18" t="s">
        <v>295</v>
      </c>
      <c r="K223" s="18" t="s">
        <v>46</v>
      </c>
      <c r="L223" s="18" t="s">
        <v>47</v>
      </c>
      <c r="M223" s="18">
        <v>1</v>
      </c>
      <c r="N223" s="18">
        <v>12000</v>
      </c>
      <c r="O223" s="18">
        <v>0</v>
      </c>
      <c r="P223" s="18">
        <v>12000</v>
      </c>
      <c r="Q223" s="18">
        <v>5</v>
      </c>
      <c r="R223" s="18" t="s">
        <v>88</v>
      </c>
      <c r="S223" s="18" t="s">
        <v>115</v>
      </c>
      <c r="T223" s="18" t="s">
        <v>62</v>
      </c>
      <c r="U223" s="19" t="s">
        <v>1096</v>
      </c>
      <c r="V223" s="18" t="s">
        <v>64</v>
      </c>
    </row>
    <row r="224" spans="1:22">
      <c r="A224" s="15" t="s">
        <v>1097</v>
      </c>
      <c r="B224" s="15" t="s">
        <v>327</v>
      </c>
      <c r="C224" s="15" t="s">
        <v>259</v>
      </c>
      <c r="D224" s="15" t="s">
        <v>1098</v>
      </c>
      <c r="E224" s="15" t="s">
        <v>601</v>
      </c>
      <c r="F224" s="15" t="s">
        <v>394</v>
      </c>
      <c r="G224" s="15" t="s">
        <v>76</v>
      </c>
      <c r="H224" s="15" t="s">
        <v>1099</v>
      </c>
      <c r="I224" s="15" t="s">
        <v>294</v>
      </c>
      <c r="J224" s="15" t="s">
        <v>295</v>
      </c>
      <c r="K224" s="15" t="s">
        <v>122</v>
      </c>
      <c r="L224" s="15" t="s">
        <v>263</v>
      </c>
      <c r="M224" s="15">
        <v>19</v>
      </c>
      <c r="N224" s="15">
        <v>45</v>
      </c>
      <c r="O224" s="15">
        <v>15</v>
      </c>
      <c r="P224" s="15">
        <v>726.75</v>
      </c>
      <c r="Q224" s="15">
        <v>2</v>
      </c>
      <c r="R224" s="15" t="s">
        <v>88</v>
      </c>
      <c r="S224" s="15" t="s">
        <v>151</v>
      </c>
      <c r="T224" s="15" t="s">
        <v>332</v>
      </c>
      <c r="U224" s="17" t="s">
        <v>1100</v>
      </c>
      <c r="V224" s="15" t="s">
        <v>64</v>
      </c>
    </row>
    <row r="225" spans="1:22">
      <c r="A225" s="18" t="s">
        <v>1101</v>
      </c>
      <c r="B225" s="18" t="s">
        <v>23</v>
      </c>
      <c r="C225" s="18" t="s">
        <v>54</v>
      </c>
      <c r="D225" s="18" t="s">
        <v>531</v>
      </c>
      <c r="E225" s="18" t="s">
        <v>1102</v>
      </c>
      <c r="F225" s="18" t="s">
        <v>27</v>
      </c>
      <c r="G225" s="18" t="s">
        <v>28</v>
      </c>
      <c r="H225" s="18" t="s">
        <v>1103</v>
      </c>
      <c r="I225" s="18" t="s">
        <v>44</v>
      </c>
      <c r="J225" s="18" t="s">
        <v>45</v>
      </c>
      <c r="K225" s="18" t="s">
        <v>46</v>
      </c>
      <c r="L225" s="18" t="s">
        <v>60</v>
      </c>
      <c r="M225" s="18">
        <v>13</v>
      </c>
      <c r="N225" s="18">
        <v>55000</v>
      </c>
      <c r="O225" s="18">
        <v>5</v>
      </c>
      <c r="P225" s="18">
        <v>679250</v>
      </c>
      <c r="Q225" s="18">
        <v>4</v>
      </c>
      <c r="R225" s="18" t="s">
        <v>79</v>
      </c>
      <c r="S225" s="18" t="s">
        <v>49</v>
      </c>
      <c r="T225" s="18" t="s">
        <v>50</v>
      </c>
      <c r="U225" s="19" t="s">
        <v>1104</v>
      </c>
      <c r="V225" s="18" t="s">
        <v>69</v>
      </c>
    </row>
    <row r="226" spans="1:22">
      <c r="A226" s="15" t="s">
        <v>1105</v>
      </c>
      <c r="B226" s="15" t="s">
        <v>83</v>
      </c>
      <c r="C226" s="15" t="s">
        <v>259</v>
      </c>
      <c r="D226" s="15" t="s">
        <v>1106</v>
      </c>
      <c r="E226" s="15" t="s">
        <v>155</v>
      </c>
      <c r="F226" s="15" t="s">
        <v>180</v>
      </c>
      <c r="G226" s="15" t="s">
        <v>76</v>
      </c>
      <c r="H226" s="15" t="s">
        <v>1107</v>
      </c>
      <c r="I226" s="15" t="s">
        <v>105</v>
      </c>
      <c r="J226" s="15" t="s">
        <v>106</v>
      </c>
      <c r="K226" s="15" t="s">
        <v>122</v>
      </c>
      <c r="L226" s="15" t="s">
        <v>263</v>
      </c>
      <c r="M226" s="15">
        <v>2</v>
      </c>
      <c r="N226" s="15">
        <v>45</v>
      </c>
      <c r="O226" s="15">
        <v>15</v>
      </c>
      <c r="P226" s="15">
        <v>76.5</v>
      </c>
      <c r="Q226" s="15">
        <v>1</v>
      </c>
      <c r="R226" s="15" t="s">
        <v>48</v>
      </c>
      <c r="S226" s="15" t="s">
        <v>115</v>
      </c>
      <c r="T226" s="15" t="s">
        <v>89</v>
      </c>
      <c r="U226" s="17" t="s">
        <v>1108</v>
      </c>
      <c r="V226" s="15" t="s">
        <v>38</v>
      </c>
    </row>
    <row r="227" spans="1:22">
      <c r="A227" s="18" t="s">
        <v>1109</v>
      </c>
      <c r="B227" s="18" t="s">
        <v>100</v>
      </c>
      <c r="C227" s="18" t="s">
        <v>222</v>
      </c>
      <c r="D227" s="18" t="s">
        <v>303</v>
      </c>
      <c r="E227" s="18" t="s">
        <v>1110</v>
      </c>
      <c r="F227" s="18" t="s">
        <v>103</v>
      </c>
      <c r="G227" s="18" t="s">
        <v>28</v>
      </c>
      <c r="H227" s="18" t="s">
        <v>1111</v>
      </c>
      <c r="I227" s="18" t="s">
        <v>30</v>
      </c>
      <c r="J227" s="18" t="s">
        <v>31</v>
      </c>
      <c r="K227" s="18" t="s">
        <v>122</v>
      </c>
      <c r="L227" s="18" t="s">
        <v>227</v>
      </c>
      <c r="M227" s="18">
        <v>8</v>
      </c>
      <c r="N227" s="18">
        <v>20</v>
      </c>
      <c r="O227" s="18">
        <v>15</v>
      </c>
      <c r="P227" s="18">
        <v>136</v>
      </c>
      <c r="Q227" s="18">
        <v>1</v>
      </c>
      <c r="R227" s="18" t="s">
        <v>79</v>
      </c>
      <c r="S227" s="18" t="s">
        <v>35</v>
      </c>
      <c r="T227" s="18" t="s">
        <v>144</v>
      </c>
      <c r="U227" s="19" t="s">
        <v>1112</v>
      </c>
      <c r="V227" s="18" t="s">
        <v>64</v>
      </c>
    </row>
    <row r="228" spans="1:22">
      <c r="A228" s="15" t="s">
        <v>1113</v>
      </c>
      <c r="B228" s="15" t="s">
        <v>168</v>
      </c>
      <c r="C228" s="15" t="s">
        <v>40</v>
      </c>
      <c r="D228" s="15" t="s">
        <v>1114</v>
      </c>
      <c r="E228" s="15" t="s">
        <v>1115</v>
      </c>
      <c r="F228" s="15" t="s">
        <v>361</v>
      </c>
      <c r="G228" s="15" t="s">
        <v>28</v>
      </c>
      <c r="H228" s="15" t="s">
        <v>1116</v>
      </c>
      <c r="I228" s="15" t="s">
        <v>30</v>
      </c>
      <c r="J228" s="15" t="s">
        <v>31</v>
      </c>
      <c r="K228" s="15" t="s">
        <v>46</v>
      </c>
      <c r="L228" s="15" t="s">
        <v>47</v>
      </c>
      <c r="M228" s="15">
        <v>9</v>
      </c>
      <c r="N228" s="15">
        <v>12000</v>
      </c>
      <c r="O228" s="15">
        <v>5</v>
      </c>
      <c r="P228" s="15">
        <v>102600</v>
      </c>
      <c r="Q228" s="15">
        <v>2</v>
      </c>
      <c r="R228" s="15" t="s">
        <v>79</v>
      </c>
      <c r="S228" s="15" t="s">
        <v>35</v>
      </c>
      <c r="T228" s="15" t="s">
        <v>175</v>
      </c>
      <c r="U228" s="17" t="s">
        <v>1117</v>
      </c>
      <c r="V228" s="15" t="s">
        <v>69</v>
      </c>
    </row>
    <row r="229" spans="1:22">
      <c r="A229" s="18" t="s">
        <v>1118</v>
      </c>
      <c r="B229" s="18" t="s">
        <v>71</v>
      </c>
      <c r="C229" s="18" t="s">
        <v>92</v>
      </c>
      <c r="D229" s="18" t="s">
        <v>1119</v>
      </c>
      <c r="E229" s="18" t="s">
        <v>1120</v>
      </c>
      <c r="F229" s="18" t="s">
        <v>217</v>
      </c>
      <c r="G229" s="18" t="s">
        <v>76</v>
      </c>
      <c r="H229" s="18" t="s">
        <v>1121</v>
      </c>
      <c r="I229" s="18" t="s">
        <v>294</v>
      </c>
      <c r="J229" s="18" t="s">
        <v>295</v>
      </c>
      <c r="K229" s="18" t="s">
        <v>32</v>
      </c>
      <c r="L229" s="18" t="s">
        <v>97</v>
      </c>
      <c r="M229" s="18">
        <v>3</v>
      </c>
      <c r="N229" s="18">
        <v>3500</v>
      </c>
      <c r="O229" s="18">
        <v>15</v>
      </c>
      <c r="P229" s="18">
        <v>8925</v>
      </c>
      <c r="Q229" s="18">
        <v>1</v>
      </c>
      <c r="R229" s="18" t="s">
        <v>34</v>
      </c>
      <c r="S229" s="18" t="s">
        <v>49</v>
      </c>
      <c r="T229" s="18" t="s">
        <v>80</v>
      </c>
      <c r="U229" s="19" t="s">
        <v>1122</v>
      </c>
      <c r="V229" s="18" t="s">
        <v>69</v>
      </c>
    </row>
    <row r="230" spans="1:22">
      <c r="A230" s="15" t="s">
        <v>1123</v>
      </c>
      <c r="B230" s="15" t="s">
        <v>100</v>
      </c>
      <c r="C230" s="15" t="s">
        <v>184</v>
      </c>
      <c r="D230" s="15" t="s">
        <v>1086</v>
      </c>
      <c r="E230" s="15" t="s">
        <v>1124</v>
      </c>
      <c r="F230" s="15" t="s">
        <v>103</v>
      </c>
      <c r="G230" s="15" t="s">
        <v>28</v>
      </c>
      <c r="H230" s="15" t="s">
        <v>1125</v>
      </c>
      <c r="I230" s="15" t="s">
        <v>30</v>
      </c>
      <c r="J230" s="15" t="s">
        <v>31</v>
      </c>
      <c r="K230" s="15" t="s">
        <v>46</v>
      </c>
      <c r="L230" s="15" t="s">
        <v>189</v>
      </c>
      <c r="M230" s="15">
        <v>18</v>
      </c>
      <c r="N230" s="15">
        <v>700</v>
      </c>
      <c r="O230" s="15">
        <v>20</v>
      </c>
      <c r="P230" s="15">
        <v>10080</v>
      </c>
      <c r="Q230" s="15">
        <v>1</v>
      </c>
      <c r="R230" s="15" t="s">
        <v>79</v>
      </c>
      <c r="S230" s="15" t="s">
        <v>151</v>
      </c>
      <c r="T230" s="15" t="s">
        <v>144</v>
      </c>
      <c r="U230" s="17" t="s">
        <v>1126</v>
      </c>
      <c r="V230" s="15" t="s">
        <v>38</v>
      </c>
    </row>
    <row r="231" spans="1:22">
      <c r="A231" s="18" t="s">
        <v>1127</v>
      </c>
      <c r="B231" s="18" t="s">
        <v>71</v>
      </c>
      <c r="C231" s="18" t="s">
        <v>92</v>
      </c>
      <c r="D231" s="18" t="s">
        <v>1128</v>
      </c>
      <c r="E231" s="18" t="s">
        <v>110</v>
      </c>
      <c r="F231" s="18" t="s">
        <v>217</v>
      </c>
      <c r="G231" s="18" t="s">
        <v>76</v>
      </c>
      <c r="H231" s="18" t="s">
        <v>1129</v>
      </c>
      <c r="I231" s="18" t="s">
        <v>114</v>
      </c>
      <c r="J231" s="18" t="s">
        <v>106</v>
      </c>
      <c r="K231" s="18" t="s">
        <v>32</v>
      </c>
      <c r="L231" s="18" t="s">
        <v>97</v>
      </c>
      <c r="M231" s="18">
        <v>14</v>
      </c>
      <c r="N231" s="18">
        <v>3500</v>
      </c>
      <c r="O231" s="18">
        <v>5</v>
      </c>
      <c r="P231" s="18">
        <v>46550</v>
      </c>
      <c r="Q231" s="18">
        <v>1</v>
      </c>
      <c r="R231" s="18" t="s">
        <v>34</v>
      </c>
      <c r="S231" s="18" t="s">
        <v>61</v>
      </c>
      <c r="T231" s="18" t="s">
        <v>80</v>
      </c>
      <c r="U231" s="19" t="s">
        <v>1130</v>
      </c>
      <c r="V231" s="18" t="s">
        <v>38</v>
      </c>
    </row>
    <row r="232" spans="1:22">
      <c r="A232" s="15" t="s">
        <v>1131</v>
      </c>
      <c r="B232" s="15" t="s">
        <v>100</v>
      </c>
      <c r="C232" s="15" t="s">
        <v>184</v>
      </c>
      <c r="D232" s="15" t="s">
        <v>684</v>
      </c>
      <c r="E232" s="15" t="s">
        <v>318</v>
      </c>
      <c r="F232" s="15" t="s">
        <v>103</v>
      </c>
      <c r="G232" s="15" t="s">
        <v>28</v>
      </c>
      <c r="H232" s="15" t="s">
        <v>1132</v>
      </c>
      <c r="I232" s="15" t="s">
        <v>294</v>
      </c>
      <c r="J232" s="15" t="s">
        <v>295</v>
      </c>
      <c r="K232" s="15" t="s">
        <v>46</v>
      </c>
      <c r="L232" s="15" t="s">
        <v>189</v>
      </c>
      <c r="M232" s="15">
        <v>6</v>
      </c>
      <c r="N232" s="15">
        <v>700</v>
      </c>
      <c r="O232" s="15">
        <v>5</v>
      </c>
      <c r="P232" s="15">
        <v>3990</v>
      </c>
      <c r="Q232" s="15">
        <v>5</v>
      </c>
      <c r="R232" s="15" t="s">
        <v>34</v>
      </c>
      <c r="S232" s="15" t="s">
        <v>35</v>
      </c>
      <c r="T232" s="15" t="s">
        <v>144</v>
      </c>
      <c r="U232" s="17" t="s">
        <v>1133</v>
      </c>
      <c r="V232" s="15" t="s">
        <v>38</v>
      </c>
    </row>
    <row r="233" spans="1:22">
      <c r="A233" s="18" t="s">
        <v>1134</v>
      </c>
      <c r="B233" s="18" t="s">
        <v>100</v>
      </c>
      <c r="C233" s="18" t="s">
        <v>92</v>
      </c>
      <c r="D233" s="18" t="s">
        <v>679</v>
      </c>
      <c r="E233" s="18" t="s">
        <v>872</v>
      </c>
      <c r="F233" s="18" t="s">
        <v>103</v>
      </c>
      <c r="G233" s="18" t="s">
        <v>28</v>
      </c>
      <c r="H233" s="18" t="s">
        <v>1135</v>
      </c>
      <c r="I233" s="18" t="s">
        <v>105</v>
      </c>
      <c r="J233" s="18" t="s">
        <v>106</v>
      </c>
      <c r="K233" s="18" t="s">
        <v>32</v>
      </c>
      <c r="L233" s="18" t="s">
        <v>97</v>
      </c>
      <c r="M233" s="18">
        <v>17</v>
      </c>
      <c r="N233" s="18">
        <v>3500</v>
      </c>
      <c r="O233" s="18">
        <v>15</v>
      </c>
      <c r="P233" s="18">
        <v>50575</v>
      </c>
      <c r="Q233" s="18">
        <v>3</v>
      </c>
      <c r="R233" s="18" t="s">
        <v>48</v>
      </c>
      <c r="S233" s="18" t="s">
        <v>49</v>
      </c>
      <c r="T233" s="18" t="s">
        <v>144</v>
      </c>
      <c r="U233" s="19" t="s">
        <v>1136</v>
      </c>
      <c r="V233" s="18" t="s">
        <v>64</v>
      </c>
    </row>
    <row r="234" spans="1:22">
      <c r="A234" s="15" t="s">
        <v>1137</v>
      </c>
      <c r="B234" s="15" t="s">
        <v>251</v>
      </c>
      <c r="C234" s="15" t="s">
        <v>222</v>
      </c>
      <c r="D234" s="15" t="s">
        <v>253</v>
      </c>
      <c r="E234" s="15" t="s">
        <v>1128</v>
      </c>
      <c r="F234" s="15" t="s">
        <v>254</v>
      </c>
      <c r="G234" s="15" t="s">
        <v>28</v>
      </c>
      <c r="H234" s="15" t="s">
        <v>1138</v>
      </c>
      <c r="I234" s="15" t="s">
        <v>294</v>
      </c>
      <c r="J234" s="15" t="s">
        <v>295</v>
      </c>
      <c r="K234" s="15" t="s">
        <v>122</v>
      </c>
      <c r="L234" s="15" t="s">
        <v>227</v>
      </c>
      <c r="M234" s="15">
        <v>7</v>
      </c>
      <c r="N234" s="15">
        <v>20</v>
      </c>
      <c r="O234" s="15">
        <v>5</v>
      </c>
      <c r="P234" s="15">
        <v>133</v>
      </c>
      <c r="Q234" s="15">
        <v>2</v>
      </c>
      <c r="R234" s="15" t="s">
        <v>88</v>
      </c>
      <c r="S234" s="15" t="s">
        <v>151</v>
      </c>
      <c r="T234" s="15" t="s">
        <v>256</v>
      </c>
      <c r="U234" s="17" t="s">
        <v>1139</v>
      </c>
      <c r="V234" s="15" t="s">
        <v>38</v>
      </c>
    </row>
    <row r="235" spans="1:22">
      <c r="A235" s="18" t="s">
        <v>1140</v>
      </c>
      <c r="B235" s="18" t="s">
        <v>23</v>
      </c>
      <c r="C235" s="18" t="s">
        <v>24</v>
      </c>
      <c r="D235" s="18" t="s">
        <v>1141</v>
      </c>
      <c r="E235" s="18" t="s">
        <v>1142</v>
      </c>
      <c r="F235" s="18" t="s">
        <v>27</v>
      </c>
      <c r="G235" s="18" t="s">
        <v>28</v>
      </c>
      <c r="H235" s="18" t="s">
        <v>1143</v>
      </c>
      <c r="I235" s="18" t="s">
        <v>59</v>
      </c>
      <c r="J235" s="18" t="s">
        <v>31</v>
      </c>
      <c r="K235" s="18" t="s">
        <v>32</v>
      </c>
      <c r="L235" s="18" t="s">
        <v>33</v>
      </c>
      <c r="M235" s="18">
        <v>15</v>
      </c>
      <c r="N235" s="18">
        <v>2200</v>
      </c>
      <c r="O235" s="18">
        <v>20</v>
      </c>
      <c r="P235" s="18">
        <v>26400</v>
      </c>
      <c r="Q235" s="18">
        <v>2</v>
      </c>
      <c r="R235" s="18" t="s">
        <v>34</v>
      </c>
      <c r="S235" s="18" t="s">
        <v>61</v>
      </c>
      <c r="T235" s="18" t="s">
        <v>50</v>
      </c>
      <c r="U235" s="19" t="s">
        <v>1144</v>
      </c>
      <c r="V235" s="18" t="s">
        <v>38</v>
      </c>
    </row>
    <row r="236" spans="1:22">
      <c r="A236" s="15" t="s">
        <v>1145</v>
      </c>
      <c r="B236" s="15" t="s">
        <v>71</v>
      </c>
      <c r="C236" s="15" t="s">
        <v>222</v>
      </c>
      <c r="D236" s="15" t="s">
        <v>736</v>
      </c>
      <c r="E236" s="15" t="s">
        <v>94</v>
      </c>
      <c r="F236" s="15" t="s">
        <v>217</v>
      </c>
      <c r="G236" s="15" t="s">
        <v>76</v>
      </c>
      <c r="H236" s="15" t="s">
        <v>1146</v>
      </c>
      <c r="I236" s="15" t="s">
        <v>105</v>
      </c>
      <c r="J236" s="15" t="s">
        <v>106</v>
      </c>
      <c r="K236" s="15" t="s">
        <v>122</v>
      </c>
      <c r="L236" s="15" t="s">
        <v>227</v>
      </c>
      <c r="M236" s="15">
        <v>5</v>
      </c>
      <c r="N236" s="15">
        <v>20</v>
      </c>
      <c r="O236" s="15">
        <v>0</v>
      </c>
      <c r="P236" s="15">
        <v>100</v>
      </c>
      <c r="Q236" s="15">
        <v>3</v>
      </c>
      <c r="R236" s="15" t="s">
        <v>34</v>
      </c>
      <c r="S236" s="15" t="s">
        <v>151</v>
      </c>
      <c r="T236" s="15" t="s">
        <v>80</v>
      </c>
      <c r="U236" s="17" t="s">
        <v>1147</v>
      </c>
      <c r="V236" s="15" t="s">
        <v>38</v>
      </c>
    </row>
    <row r="237" spans="1:22">
      <c r="A237" s="18" t="s">
        <v>1148</v>
      </c>
      <c r="B237" s="18" t="s">
        <v>127</v>
      </c>
      <c r="C237" s="18" t="s">
        <v>40</v>
      </c>
      <c r="D237" s="18" t="s">
        <v>1149</v>
      </c>
      <c r="E237" s="18" t="s">
        <v>779</v>
      </c>
      <c r="F237" s="18" t="s">
        <v>200</v>
      </c>
      <c r="G237" s="18" t="s">
        <v>76</v>
      </c>
      <c r="H237" s="18" t="s">
        <v>1150</v>
      </c>
      <c r="I237" s="18" t="s">
        <v>44</v>
      </c>
      <c r="J237" s="18" t="s">
        <v>45</v>
      </c>
      <c r="K237" s="18" t="s">
        <v>46</v>
      </c>
      <c r="L237" s="18" t="s">
        <v>47</v>
      </c>
      <c r="M237" s="18">
        <v>8</v>
      </c>
      <c r="N237" s="18">
        <v>12000</v>
      </c>
      <c r="O237" s="18">
        <v>20</v>
      </c>
      <c r="P237" s="18">
        <v>76800</v>
      </c>
      <c r="Q237" s="18">
        <v>3</v>
      </c>
      <c r="R237" s="18" t="s">
        <v>79</v>
      </c>
      <c r="S237" s="18" t="s">
        <v>61</v>
      </c>
      <c r="T237" s="18" t="s">
        <v>132</v>
      </c>
      <c r="U237" s="19" t="s">
        <v>1151</v>
      </c>
      <c r="V237" s="18" t="s">
        <v>64</v>
      </c>
    </row>
    <row r="238" spans="1:22">
      <c r="A238" s="15" t="s">
        <v>1152</v>
      </c>
      <c r="B238" s="15" t="s">
        <v>127</v>
      </c>
      <c r="C238" s="15" t="s">
        <v>92</v>
      </c>
      <c r="D238" s="15" t="s">
        <v>1153</v>
      </c>
      <c r="E238" s="15" t="s">
        <v>987</v>
      </c>
      <c r="F238" s="15" t="s">
        <v>200</v>
      </c>
      <c r="G238" s="15" t="s">
        <v>76</v>
      </c>
      <c r="H238" s="15" t="s">
        <v>1154</v>
      </c>
      <c r="I238" s="15" t="s">
        <v>105</v>
      </c>
      <c r="J238" s="15" t="s">
        <v>106</v>
      </c>
      <c r="K238" s="15" t="s">
        <v>32</v>
      </c>
      <c r="L238" s="15" t="s">
        <v>97</v>
      </c>
      <c r="M238" s="15">
        <v>4</v>
      </c>
      <c r="N238" s="15">
        <v>3500</v>
      </c>
      <c r="O238" s="15">
        <v>20</v>
      </c>
      <c r="P238" s="15">
        <v>11200</v>
      </c>
      <c r="Q238" s="15">
        <v>1</v>
      </c>
      <c r="R238" s="15" t="s">
        <v>79</v>
      </c>
      <c r="S238" s="15" t="s">
        <v>115</v>
      </c>
      <c r="T238" s="15" t="s">
        <v>132</v>
      </c>
      <c r="U238" s="17" t="s">
        <v>1155</v>
      </c>
      <c r="V238" s="15" t="s">
        <v>38</v>
      </c>
    </row>
    <row r="239" spans="1:22">
      <c r="A239" s="18" t="s">
        <v>1156</v>
      </c>
      <c r="B239" s="18" t="s">
        <v>221</v>
      </c>
      <c r="C239" s="18" t="s">
        <v>259</v>
      </c>
      <c r="D239" s="18" t="s">
        <v>628</v>
      </c>
      <c r="E239" s="18" t="s">
        <v>1157</v>
      </c>
      <c r="F239" s="18" t="s">
        <v>225</v>
      </c>
      <c r="G239" s="18" t="s">
        <v>76</v>
      </c>
      <c r="H239" s="18" t="s">
        <v>1158</v>
      </c>
      <c r="I239" s="18" t="s">
        <v>30</v>
      </c>
      <c r="J239" s="18" t="s">
        <v>31</v>
      </c>
      <c r="K239" s="18" t="s">
        <v>122</v>
      </c>
      <c r="L239" s="18" t="s">
        <v>263</v>
      </c>
      <c r="M239" s="18">
        <v>19</v>
      </c>
      <c r="N239" s="18">
        <v>45</v>
      </c>
      <c r="O239" s="18">
        <v>10</v>
      </c>
      <c r="P239" s="18">
        <v>769.5</v>
      </c>
      <c r="Q239" s="18">
        <v>1</v>
      </c>
      <c r="R239" s="18" t="s">
        <v>34</v>
      </c>
      <c r="S239" s="18" t="s">
        <v>115</v>
      </c>
      <c r="T239" s="18" t="s">
        <v>228</v>
      </c>
      <c r="U239" s="19" t="s">
        <v>1159</v>
      </c>
      <c r="V239" s="18" t="s">
        <v>38</v>
      </c>
    </row>
    <row r="240" spans="1:22">
      <c r="A240" s="15" t="s">
        <v>1160</v>
      </c>
      <c r="B240" s="15" t="s">
        <v>53</v>
      </c>
      <c r="C240" s="15" t="s">
        <v>259</v>
      </c>
      <c r="D240" s="15" t="s">
        <v>588</v>
      </c>
      <c r="E240" s="15" t="s">
        <v>1161</v>
      </c>
      <c r="F240" s="15" t="s">
        <v>163</v>
      </c>
      <c r="G240" s="15" t="s">
        <v>28</v>
      </c>
      <c r="H240" s="15" t="s">
        <v>1162</v>
      </c>
      <c r="I240" s="15" t="s">
        <v>114</v>
      </c>
      <c r="J240" s="15" t="s">
        <v>106</v>
      </c>
      <c r="K240" s="15" t="s">
        <v>122</v>
      </c>
      <c r="L240" s="15" t="s">
        <v>263</v>
      </c>
      <c r="M240" s="15">
        <v>10</v>
      </c>
      <c r="N240" s="15">
        <v>45</v>
      </c>
      <c r="O240" s="15">
        <v>0</v>
      </c>
      <c r="P240" s="15">
        <v>450</v>
      </c>
      <c r="Q240" s="15">
        <v>4</v>
      </c>
      <c r="R240" s="15" t="s">
        <v>88</v>
      </c>
      <c r="S240" s="15" t="s">
        <v>61</v>
      </c>
      <c r="T240" s="15" t="s">
        <v>62</v>
      </c>
      <c r="U240" s="17" t="s">
        <v>1163</v>
      </c>
      <c r="V240" s="15" t="s">
        <v>38</v>
      </c>
    </row>
    <row r="241" spans="1:22">
      <c r="A241" s="18" t="s">
        <v>1164</v>
      </c>
      <c r="B241" s="18" t="s">
        <v>53</v>
      </c>
      <c r="C241" s="18" t="s">
        <v>259</v>
      </c>
      <c r="D241" s="18" t="s">
        <v>1165</v>
      </c>
      <c r="E241" s="18" t="s">
        <v>1039</v>
      </c>
      <c r="F241" s="18" t="s">
        <v>163</v>
      </c>
      <c r="G241" s="18" t="s">
        <v>28</v>
      </c>
      <c r="H241" s="18" t="s">
        <v>1166</v>
      </c>
      <c r="I241" s="18" t="s">
        <v>30</v>
      </c>
      <c r="J241" s="18" t="s">
        <v>31</v>
      </c>
      <c r="K241" s="18" t="s">
        <v>122</v>
      </c>
      <c r="L241" s="18" t="s">
        <v>263</v>
      </c>
      <c r="M241" s="18">
        <v>16</v>
      </c>
      <c r="N241" s="18">
        <v>45</v>
      </c>
      <c r="O241" s="18">
        <v>15</v>
      </c>
      <c r="P241" s="18">
        <v>612</v>
      </c>
      <c r="Q241" s="18">
        <v>3</v>
      </c>
      <c r="R241" s="18" t="s">
        <v>34</v>
      </c>
      <c r="S241" s="18" t="s">
        <v>115</v>
      </c>
      <c r="T241" s="18" t="s">
        <v>62</v>
      </c>
      <c r="U241" s="19" t="s">
        <v>1167</v>
      </c>
      <c r="V241" s="18" t="s">
        <v>69</v>
      </c>
    </row>
    <row r="242" spans="1:22">
      <c r="A242" s="15" t="s">
        <v>1168</v>
      </c>
      <c r="B242" s="15" t="s">
        <v>168</v>
      </c>
      <c r="C242" s="15" t="s">
        <v>169</v>
      </c>
      <c r="D242" s="15" t="s">
        <v>119</v>
      </c>
      <c r="E242" s="15" t="s">
        <v>120</v>
      </c>
      <c r="F242" s="15" t="s">
        <v>361</v>
      </c>
      <c r="G242" s="15" t="s">
        <v>28</v>
      </c>
      <c r="H242" s="15" t="s">
        <v>1169</v>
      </c>
      <c r="I242" s="15" t="s">
        <v>114</v>
      </c>
      <c r="J242" s="15" t="s">
        <v>106</v>
      </c>
      <c r="K242" s="15" t="s">
        <v>32</v>
      </c>
      <c r="L242" s="15" t="s">
        <v>174</v>
      </c>
      <c r="M242" s="15">
        <v>16</v>
      </c>
      <c r="N242" s="15">
        <v>8500</v>
      </c>
      <c r="O242" s="15">
        <v>15</v>
      </c>
      <c r="P242" s="15">
        <v>115600</v>
      </c>
      <c r="Q242" s="15">
        <v>4</v>
      </c>
      <c r="R242" s="15" t="s">
        <v>48</v>
      </c>
      <c r="S242" s="15" t="s">
        <v>35</v>
      </c>
      <c r="T242" s="15" t="s">
        <v>175</v>
      </c>
      <c r="U242" s="17" t="s">
        <v>1170</v>
      </c>
      <c r="V242" s="15" t="s">
        <v>69</v>
      </c>
    </row>
    <row r="243" spans="1:22">
      <c r="A243" s="18" t="s">
        <v>1171</v>
      </c>
      <c r="B243" s="18" t="s">
        <v>168</v>
      </c>
      <c r="C243" s="18" t="s">
        <v>222</v>
      </c>
      <c r="D243" s="18" t="s">
        <v>445</v>
      </c>
      <c r="E243" s="18" t="s">
        <v>1172</v>
      </c>
      <c r="F243" s="18" t="s">
        <v>361</v>
      </c>
      <c r="G243" s="18" t="s">
        <v>28</v>
      </c>
      <c r="H243" s="18" t="s">
        <v>1173</v>
      </c>
      <c r="I243" s="18" t="s">
        <v>294</v>
      </c>
      <c r="J243" s="18" t="s">
        <v>295</v>
      </c>
      <c r="K243" s="18" t="s">
        <v>122</v>
      </c>
      <c r="L243" s="18" t="s">
        <v>227</v>
      </c>
      <c r="M243" s="18">
        <v>15</v>
      </c>
      <c r="N243" s="18">
        <v>20</v>
      </c>
      <c r="O243" s="18">
        <v>20</v>
      </c>
      <c r="P243" s="18">
        <v>240</v>
      </c>
      <c r="Q243" s="18">
        <v>3</v>
      </c>
      <c r="R243" s="18" t="s">
        <v>48</v>
      </c>
      <c r="S243" s="18" t="s">
        <v>49</v>
      </c>
      <c r="T243" s="18" t="s">
        <v>175</v>
      </c>
      <c r="U243" s="19" t="s">
        <v>1174</v>
      </c>
      <c r="V243" s="18" t="s">
        <v>69</v>
      </c>
    </row>
    <row r="244" spans="1:22">
      <c r="A244" s="15" t="s">
        <v>1175</v>
      </c>
      <c r="B244" s="15" t="s">
        <v>83</v>
      </c>
      <c r="C244" s="15" t="s">
        <v>118</v>
      </c>
      <c r="D244" s="15" t="s">
        <v>440</v>
      </c>
      <c r="E244" s="15" t="s">
        <v>1176</v>
      </c>
      <c r="F244" s="15" t="s">
        <v>180</v>
      </c>
      <c r="G244" s="15" t="s">
        <v>76</v>
      </c>
      <c r="H244" s="15" t="s">
        <v>1177</v>
      </c>
      <c r="I244" s="15" t="s">
        <v>59</v>
      </c>
      <c r="J244" s="15" t="s">
        <v>31</v>
      </c>
      <c r="K244" s="15" t="s">
        <v>122</v>
      </c>
      <c r="L244" s="15" t="s">
        <v>123</v>
      </c>
      <c r="M244" s="15">
        <v>14</v>
      </c>
      <c r="N244" s="15">
        <v>60</v>
      </c>
      <c r="O244" s="15">
        <v>5</v>
      </c>
      <c r="P244" s="15">
        <v>798</v>
      </c>
      <c r="Q244" s="15">
        <v>4</v>
      </c>
      <c r="R244" s="15" t="s">
        <v>34</v>
      </c>
      <c r="S244" s="15" t="s">
        <v>49</v>
      </c>
      <c r="T244" s="15" t="s">
        <v>89</v>
      </c>
      <c r="U244" s="17" t="s">
        <v>1178</v>
      </c>
      <c r="V244" s="15" t="s">
        <v>38</v>
      </c>
    </row>
    <row r="245" spans="1:22">
      <c r="A245" s="18" t="s">
        <v>1179</v>
      </c>
      <c r="B245" s="18" t="s">
        <v>53</v>
      </c>
      <c r="C245" s="18" t="s">
        <v>72</v>
      </c>
      <c r="D245" s="18" t="s">
        <v>1180</v>
      </c>
      <c r="E245" s="18" t="s">
        <v>1181</v>
      </c>
      <c r="F245" s="18" t="s">
        <v>163</v>
      </c>
      <c r="G245" s="18" t="s">
        <v>28</v>
      </c>
      <c r="H245" s="18" t="s">
        <v>1182</v>
      </c>
      <c r="I245" s="18" t="s">
        <v>105</v>
      </c>
      <c r="J245" s="18" t="s">
        <v>106</v>
      </c>
      <c r="K245" s="18" t="s">
        <v>46</v>
      </c>
      <c r="L245" s="18" t="s">
        <v>78</v>
      </c>
      <c r="M245" s="18">
        <v>19</v>
      </c>
      <c r="N245" s="18">
        <v>1200</v>
      </c>
      <c r="O245" s="18">
        <v>20</v>
      </c>
      <c r="P245" s="18">
        <v>18240</v>
      </c>
      <c r="Q245" s="18">
        <v>2</v>
      </c>
      <c r="R245" s="18" t="s">
        <v>34</v>
      </c>
      <c r="S245" s="18" t="s">
        <v>115</v>
      </c>
      <c r="T245" s="18" t="s">
        <v>62</v>
      </c>
      <c r="U245" s="19" t="s">
        <v>1183</v>
      </c>
      <c r="V245" s="18" t="s">
        <v>69</v>
      </c>
    </row>
    <row r="246" spans="1:22">
      <c r="A246" s="15" t="s">
        <v>1184</v>
      </c>
      <c r="B246" s="15" t="s">
        <v>23</v>
      </c>
      <c r="C246" s="15" t="s">
        <v>259</v>
      </c>
      <c r="D246" s="15" t="s">
        <v>340</v>
      </c>
      <c r="E246" s="15" t="s">
        <v>346</v>
      </c>
      <c r="F246" s="15" t="s">
        <v>27</v>
      </c>
      <c r="G246" s="15" t="s">
        <v>28</v>
      </c>
      <c r="H246" s="15" t="s">
        <v>1185</v>
      </c>
      <c r="I246" s="15" t="s">
        <v>59</v>
      </c>
      <c r="J246" s="15" t="s">
        <v>31</v>
      </c>
      <c r="K246" s="15" t="s">
        <v>122</v>
      </c>
      <c r="L246" s="15" t="s">
        <v>263</v>
      </c>
      <c r="M246" s="15">
        <v>5</v>
      </c>
      <c r="N246" s="15">
        <v>45</v>
      </c>
      <c r="O246" s="15">
        <v>15</v>
      </c>
      <c r="P246" s="15">
        <v>191.25</v>
      </c>
      <c r="Q246" s="15">
        <v>2</v>
      </c>
      <c r="R246" s="15" t="s">
        <v>34</v>
      </c>
      <c r="S246" s="15" t="s">
        <v>61</v>
      </c>
      <c r="T246" s="15" t="s">
        <v>50</v>
      </c>
      <c r="U246" s="17" t="s">
        <v>1186</v>
      </c>
      <c r="V246" s="15" t="s">
        <v>69</v>
      </c>
    </row>
    <row r="247" spans="1:22">
      <c r="A247" s="18" t="s">
        <v>1187</v>
      </c>
      <c r="B247" s="18" t="s">
        <v>327</v>
      </c>
      <c r="C247" s="18" t="s">
        <v>184</v>
      </c>
      <c r="D247" s="18" t="s">
        <v>237</v>
      </c>
      <c r="E247" s="18" t="s">
        <v>1188</v>
      </c>
      <c r="F247" s="18" t="s">
        <v>394</v>
      </c>
      <c r="G247" s="18" t="s">
        <v>76</v>
      </c>
      <c r="H247" s="18" t="s">
        <v>1189</v>
      </c>
      <c r="I247" s="18" t="s">
        <v>30</v>
      </c>
      <c r="J247" s="18" t="s">
        <v>31</v>
      </c>
      <c r="K247" s="18" t="s">
        <v>46</v>
      </c>
      <c r="L247" s="18" t="s">
        <v>189</v>
      </c>
      <c r="M247" s="18">
        <v>19</v>
      </c>
      <c r="N247" s="18">
        <v>700</v>
      </c>
      <c r="O247" s="18">
        <v>5</v>
      </c>
      <c r="P247" s="18">
        <v>12635</v>
      </c>
      <c r="Q247" s="18">
        <v>5</v>
      </c>
      <c r="R247" s="18" t="s">
        <v>88</v>
      </c>
      <c r="S247" s="18" t="s">
        <v>151</v>
      </c>
      <c r="T247" s="18" t="s">
        <v>332</v>
      </c>
      <c r="U247" s="19" t="s">
        <v>1190</v>
      </c>
      <c r="V247" s="18" t="s">
        <v>38</v>
      </c>
    </row>
    <row r="248" spans="1:22">
      <c r="A248" s="15" t="s">
        <v>1191</v>
      </c>
      <c r="B248" s="15" t="s">
        <v>127</v>
      </c>
      <c r="C248" s="15" t="s">
        <v>118</v>
      </c>
      <c r="D248" s="15" t="s">
        <v>464</v>
      </c>
      <c r="E248" s="15" t="s">
        <v>84</v>
      </c>
      <c r="F248" s="15" t="s">
        <v>200</v>
      </c>
      <c r="G248" s="15" t="s">
        <v>76</v>
      </c>
      <c r="H248" s="15" t="s">
        <v>1192</v>
      </c>
      <c r="I248" s="15" t="s">
        <v>294</v>
      </c>
      <c r="J248" s="15" t="s">
        <v>295</v>
      </c>
      <c r="K248" s="15" t="s">
        <v>122</v>
      </c>
      <c r="L248" s="15" t="s">
        <v>123</v>
      </c>
      <c r="M248" s="15">
        <v>7</v>
      </c>
      <c r="N248" s="15">
        <v>60</v>
      </c>
      <c r="O248" s="15">
        <v>0</v>
      </c>
      <c r="P248" s="15">
        <v>420</v>
      </c>
      <c r="Q248" s="15">
        <v>4</v>
      </c>
      <c r="R248" s="15" t="s">
        <v>34</v>
      </c>
      <c r="S248" s="15" t="s">
        <v>115</v>
      </c>
      <c r="T248" s="15" t="s">
        <v>132</v>
      </c>
      <c r="U248" s="17" t="s">
        <v>1193</v>
      </c>
      <c r="V248" s="15" t="s">
        <v>64</v>
      </c>
    </row>
    <row r="249" spans="1:22">
      <c r="A249" s="18" t="s">
        <v>1194</v>
      </c>
      <c r="B249" s="18" t="s">
        <v>71</v>
      </c>
      <c r="C249" s="18" t="s">
        <v>24</v>
      </c>
      <c r="D249" s="18" t="s">
        <v>215</v>
      </c>
      <c r="E249" s="18" t="s">
        <v>711</v>
      </c>
      <c r="F249" s="18" t="s">
        <v>217</v>
      </c>
      <c r="G249" s="18" t="s">
        <v>76</v>
      </c>
      <c r="H249" s="18" t="s">
        <v>1195</v>
      </c>
      <c r="I249" s="18" t="s">
        <v>105</v>
      </c>
      <c r="J249" s="18" t="s">
        <v>106</v>
      </c>
      <c r="K249" s="18" t="s">
        <v>32</v>
      </c>
      <c r="L249" s="18" t="s">
        <v>33</v>
      </c>
      <c r="M249" s="18">
        <v>13</v>
      </c>
      <c r="N249" s="18">
        <v>2200</v>
      </c>
      <c r="O249" s="18">
        <v>10</v>
      </c>
      <c r="P249" s="18">
        <v>25740</v>
      </c>
      <c r="Q249" s="18">
        <v>1</v>
      </c>
      <c r="R249" s="18" t="s">
        <v>79</v>
      </c>
      <c r="S249" s="18" t="s">
        <v>151</v>
      </c>
      <c r="T249" s="18" t="s">
        <v>80</v>
      </c>
      <c r="U249" s="19" t="s">
        <v>1196</v>
      </c>
      <c r="V249" s="18" t="s">
        <v>38</v>
      </c>
    </row>
    <row r="250" spans="1:22">
      <c r="A250" s="15" t="s">
        <v>1197</v>
      </c>
      <c r="B250" s="15" t="s">
        <v>71</v>
      </c>
      <c r="C250" s="15" t="s">
        <v>24</v>
      </c>
      <c r="D250" s="15" t="s">
        <v>1198</v>
      </c>
      <c r="E250" s="15" t="s">
        <v>1199</v>
      </c>
      <c r="F250" s="15" t="s">
        <v>217</v>
      </c>
      <c r="G250" s="15" t="s">
        <v>76</v>
      </c>
      <c r="H250" s="15" t="s">
        <v>1200</v>
      </c>
      <c r="I250" s="15" t="s">
        <v>59</v>
      </c>
      <c r="J250" s="15" t="s">
        <v>31</v>
      </c>
      <c r="K250" s="15" t="s">
        <v>32</v>
      </c>
      <c r="L250" s="15" t="s">
        <v>33</v>
      </c>
      <c r="M250" s="15">
        <v>9</v>
      </c>
      <c r="N250" s="15">
        <v>2200</v>
      </c>
      <c r="O250" s="15">
        <v>10</v>
      </c>
      <c r="P250" s="15">
        <v>17820</v>
      </c>
      <c r="Q250" s="15">
        <v>2</v>
      </c>
      <c r="R250" s="15" t="s">
        <v>1201</v>
      </c>
      <c r="S250" s="15" t="s">
        <v>61</v>
      </c>
      <c r="T250" s="15" t="s">
        <v>80</v>
      </c>
      <c r="U250" s="17" t="s">
        <v>1202</v>
      </c>
      <c r="V250" s="15" t="s">
        <v>69</v>
      </c>
    </row>
    <row r="251" spans="1:22">
      <c r="A251" s="18" t="s">
        <v>1203</v>
      </c>
      <c r="B251" s="18" t="s">
        <v>327</v>
      </c>
      <c r="C251" s="18" t="s">
        <v>169</v>
      </c>
      <c r="D251" s="18" t="s">
        <v>944</v>
      </c>
      <c r="E251" s="18" t="s">
        <v>1204</v>
      </c>
      <c r="F251" s="18" t="s">
        <v>394</v>
      </c>
      <c r="G251" s="18" t="s">
        <v>76</v>
      </c>
      <c r="H251" s="18" t="s">
        <v>1205</v>
      </c>
      <c r="I251" s="18" t="s">
        <v>59</v>
      </c>
      <c r="J251" s="18" t="s">
        <v>31</v>
      </c>
      <c r="K251" s="18" t="s">
        <v>32</v>
      </c>
      <c r="L251" s="18" t="s">
        <v>174</v>
      </c>
      <c r="M251" s="18">
        <v>6</v>
      </c>
      <c r="N251" s="18">
        <v>8500</v>
      </c>
      <c r="O251" s="18">
        <v>15</v>
      </c>
      <c r="P251" s="18">
        <v>43350</v>
      </c>
      <c r="Q251" s="18">
        <v>2</v>
      </c>
      <c r="R251" s="18" t="s">
        <v>34</v>
      </c>
      <c r="S251" s="18" t="s">
        <v>151</v>
      </c>
      <c r="T251" s="18" t="s">
        <v>332</v>
      </c>
      <c r="U251" s="19" t="s">
        <v>1206</v>
      </c>
      <c r="V251" s="18" t="s">
        <v>69</v>
      </c>
    </row>
    <row r="252" spans="1:22">
      <c r="A252" s="15" t="s">
        <v>1207</v>
      </c>
      <c r="B252" s="15" t="s">
        <v>221</v>
      </c>
      <c r="C252" s="15" t="s">
        <v>24</v>
      </c>
      <c r="D252" s="15" t="s">
        <v>736</v>
      </c>
      <c r="E252" s="15" t="s">
        <v>94</v>
      </c>
      <c r="F252" s="15" t="s">
        <v>225</v>
      </c>
      <c r="G252" s="15" t="s">
        <v>76</v>
      </c>
      <c r="H252" s="15" t="s">
        <v>1208</v>
      </c>
      <c r="I252" s="15" t="s">
        <v>44</v>
      </c>
      <c r="J252" s="15" t="s">
        <v>45</v>
      </c>
      <c r="K252" s="15" t="s">
        <v>32</v>
      </c>
      <c r="L252" s="15" t="s">
        <v>33</v>
      </c>
      <c r="M252" s="15">
        <v>9</v>
      </c>
      <c r="N252" s="15">
        <v>2200</v>
      </c>
      <c r="O252" s="15">
        <v>10</v>
      </c>
      <c r="P252" s="15">
        <v>17820</v>
      </c>
      <c r="Q252" s="15">
        <v>3</v>
      </c>
      <c r="R252" s="15" t="s">
        <v>79</v>
      </c>
      <c r="S252" s="15" t="s">
        <v>35</v>
      </c>
      <c r="T252" s="15" t="s">
        <v>228</v>
      </c>
      <c r="U252" s="17" t="s">
        <v>1209</v>
      </c>
      <c r="V252" s="15" t="s">
        <v>64</v>
      </c>
    </row>
    <row r="253" spans="1:22">
      <c r="A253" s="18" t="s">
        <v>1210</v>
      </c>
      <c r="B253" s="18" t="s">
        <v>23</v>
      </c>
      <c r="C253" s="18" t="s">
        <v>169</v>
      </c>
      <c r="D253" s="18" t="s">
        <v>825</v>
      </c>
      <c r="E253" s="18" t="s">
        <v>876</v>
      </c>
      <c r="F253" s="18" t="s">
        <v>27</v>
      </c>
      <c r="G253" s="18" t="s">
        <v>28</v>
      </c>
      <c r="H253" s="18" t="s">
        <v>1211</v>
      </c>
      <c r="I253" s="18" t="s">
        <v>294</v>
      </c>
      <c r="J253" s="18" t="s">
        <v>295</v>
      </c>
      <c r="K253" s="18" t="s">
        <v>32</v>
      </c>
      <c r="L253" s="18" t="s">
        <v>174</v>
      </c>
      <c r="M253" s="18">
        <v>16</v>
      </c>
      <c r="N253" s="18">
        <v>8500</v>
      </c>
      <c r="O253" s="18">
        <v>0</v>
      </c>
      <c r="P253" s="18">
        <v>136000</v>
      </c>
      <c r="Q253" s="18">
        <v>5</v>
      </c>
      <c r="R253" s="18" t="s">
        <v>88</v>
      </c>
      <c r="S253" s="18" t="s">
        <v>115</v>
      </c>
      <c r="T253" s="18" t="s">
        <v>50</v>
      </c>
      <c r="U253" s="19" t="s">
        <v>1212</v>
      </c>
      <c r="V253" s="18" t="s">
        <v>69</v>
      </c>
    </row>
    <row r="254" spans="1:22">
      <c r="A254" s="15" t="s">
        <v>1213</v>
      </c>
      <c r="B254" s="15" t="s">
        <v>327</v>
      </c>
      <c r="C254" s="15" t="s">
        <v>72</v>
      </c>
      <c r="D254" s="15" t="s">
        <v>1214</v>
      </c>
      <c r="E254" s="15" t="s">
        <v>692</v>
      </c>
      <c r="F254" s="15" t="s">
        <v>394</v>
      </c>
      <c r="G254" s="15" t="s">
        <v>76</v>
      </c>
      <c r="H254" s="15" t="s">
        <v>1215</v>
      </c>
      <c r="I254" s="15" t="s">
        <v>44</v>
      </c>
      <c r="J254" s="15" t="s">
        <v>45</v>
      </c>
      <c r="K254" s="15" t="s">
        <v>46</v>
      </c>
      <c r="L254" s="15" t="s">
        <v>78</v>
      </c>
      <c r="M254" s="15">
        <v>10</v>
      </c>
      <c r="N254" s="15">
        <v>1200</v>
      </c>
      <c r="O254" s="15">
        <v>15</v>
      </c>
      <c r="P254" s="15">
        <v>10200</v>
      </c>
      <c r="Q254" s="15">
        <v>5</v>
      </c>
      <c r="R254" s="15" t="s">
        <v>34</v>
      </c>
      <c r="S254" s="15" t="s">
        <v>49</v>
      </c>
      <c r="T254" s="15" t="s">
        <v>332</v>
      </c>
      <c r="U254" s="17" t="s">
        <v>1216</v>
      </c>
      <c r="V254" s="15" t="s">
        <v>38</v>
      </c>
    </row>
    <row r="255" spans="1:22">
      <c r="A255" s="18" t="s">
        <v>1217</v>
      </c>
      <c r="B255" s="18" t="s">
        <v>127</v>
      </c>
      <c r="C255" s="18" t="s">
        <v>40</v>
      </c>
      <c r="D255" s="18" t="s">
        <v>413</v>
      </c>
      <c r="E255" s="18" t="s">
        <v>136</v>
      </c>
      <c r="F255" s="18" t="s">
        <v>200</v>
      </c>
      <c r="G255" s="18" t="s">
        <v>76</v>
      </c>
      <c r="H255" s="18" t="s">
        <v>1218</v>
      </c>
      <c r="I255" s="18" t="s">
        <v>294</v>
      </c>
      <c r="J255" s="18" t="s">
        <v>295</v>
      </c>
      <c r="K255" s="18" t="s">
        <v>46</v>
      </c>
      <c r="L255" s="18" t="s">
        <v>47</v>
      </c>
      <c r="M255" s="18">
        <v>7</v>
      </c>
      <c r="N255" s="18">
        <v>12000</v>
      </c>
      <c r="O255" s="18">
        <v>0</v>
      </c>
      <c r="P255" s="18">
        <v>84000</v>
      </c>
      <c r="Q255" s="18">
        <v>1</v>
      </c>
      <c r="R255" s="18" t="s">
        <v>88</v>
      </c>
      <c r="S255" s="18" t="s">
        <v>151</v>
      </c>
      <c r="T255" s="18" t="s">
        <v>132</v>
      </c>
      <c r="U255" s="19" t="s">
        <v>1219</v>
      </c>
      <c r="V255" s="18" t="s">
        <v>64</v>
      </c>
    </row>
    <row r="256" spans="1:22">
      <c r="A256" s="15" t="s">
        <v>1220</v>
      </c>
      <c r="B256" s="15" t="s">
        <v>221</v>
      </c>
      <c r="C256" s="15" t="s">
        <v>40</v>
      </c>
      <c r="D256" s="15" t="s">
        <v>128</v>
      </c>
      <c r="E256" s="15" t="s">
        <v>1221</v>
      </c>
      <c r="F256" s="15" t="s">
        <v>225</v>
      </c>
      <c r="G256" s="15" t="s">
        <v>76</v>
      </c>
      <c r="H256" s="15" t="s">
        <v>1222</v>
      </c>
      <c r="I256" s="15" t="s">
        <v>114</v>
      </c>
      <c r="J256" s="15" t="s">
        <v>106</v>
      </c>
      <c r="K256" s="15" t="s">
        <v>46</v>
      </c>
      <c r="L256" s="15" t="s">
        <v>47</v>
      </c>
      <c r="M256" s="15">
        <v>3</v>
      </c>
      <c r="N256" s="15">
        <v>12000</v>
      </c>
      <c r="O256" s="15">
        <v>10</v>
      </c>
      <c r="P256" s="15">
        <v>32400</v>
      </c>
      <c r="Q256" s="15">
        <v>4</v>
      </c>
      <c r="R256" s="15" t="s">
        <v>79</v>
      </c>
      <c r="S256" s="15" t="s">
        <v>151</v>
      </c>
      <c r="T256" s="15" t="s">
        <v>228</v>
      </c>
      <c r="U256" s="17" t="s">
        <v>1223</v>
      </c>
      <c r="V256" s="15" t="s">
        <v>38</v>
      </c>
    </row>
    <row r="257" spans="1:22">
      <c r="A257" s="18" t="s">
        <v>1224</v>
      </c>
      <c r="B257" s="18" t="s">
        <v>221</v>
      </c>
      <c r="C257" s="18" t="s">
        <v>40</v>
      </c>
      <c r="D257" s="18" t="s">
        <v>1225</v>
      </c>
      <c r="E257" s="18" t="s">
        <v>927</v>
      </c>
      <c r="F257" s="18" t="s">
        <v>225</v>
      </c>
      <c r="G257" s="18" t="s">
        <v>76</v>
      </c>
      <c r="H257" s="18" t="s">
        <v>1226</v>
      </c>
      <c r="I257" s="18" t="s">
        <v>30</v>
      </c>
      <c r="J257" s="18" t="s">
        <v>31</v>
      </c>
      <c r="K257" s="18" t="s">
        <v>46</v>
      </c>
      <c r="L257" s="18" t="s">
        <v>47</v>
      </c>
      <c r="M257" s="18">
        <v>4</v>
      </c>
      <c r="N257" s="18">
        <v>12000</v>
      </c>
      <c r="O257" s="18">
        <v>15</v>
      </c>
      <c r="P257" s="18">
        <v>40800</v>
      </c>
      <c r="Q257" s="18">
        <v>3</v>
      </c>
      <c r="R257" s="18" t="s">
        <v>79</v>
      </c>
      <c r="S257" s="18" t="s">
        <v>35</v>
      </c>
      <c r="T257" s="18" t="s">
        <v>228</v>
      </c>
      <c r="U257" s="19" t="s">
        <v>1227</v>
      </c>
      <c r="V257" s="18" t="s">
        <v>64</v>
      </c>
    </row>
    <row r="258" spans="1:22">
      <c r="A258" s="15" t="s">
        <v>1228</v>
      </c>
      <c r="B258" s="15" t="s">
        <v>127</v>
      </c>
      <c r="C258" s="15" t="s">
        <v>40</v>
      </c>
      <c r="D258" s="15" t="s">
        <v>260</v>
      </c>
      <c r="E258" s="15" t="s">
        <v>498</v>
      </c>
      <c r="F258" s="15" t="s">
        <v>200</v>
      </c>
      <c r="G258" s="15" t="s">
        <v>76</v>
      </c>
      <c r="H258" s="15" t="s">
        <v>1229</v>
      </c>
      <c r="I258" s="15" t="s">
        <v>30</v>
      </c>
      <c r="J258" s="15" t="s">
        <v>31</v>
      </c>
      <c r="K258" s="15" t="s">
        <v>46</v>
      </c>
      <c r="L258" s="15" t="s">
        <v>47</v>
      </c>
      <c r="M258" s="15">
        <v>13</v>
      </c>
      <c r="N258" s="15">
        <v>12000</v>
      </c>
      <c r="O258" s="15">
        <v>10</v>
      </c>
      <c r="P258" s="15">
        <v>140400</v>
      </c>
      <c r="Q258" s="15">
        <v>2</v>
      </c>
      <c r="R258" s="15" t="s">
        <v>34</v>
      </c>
      <c r="S258" s="15" t="s">
        <v>151</v>
      </c>
      <c r="T258" s="15" t="s">
        <v>132</v>
      </c>
      <c r="U258" s="17" t="s">
        <v>1230</v>
      </c>
      <c r="V258" s="15" t="s">
        <v>69</v>
      </c>
    </row>
    <row r="259" spans="1:22">
      <c r="A259" s="18" t="s">
        <v>1231</v>
      </c>
      <c r="B259" s="18" t="s">
        <v>23</v>
      </c>
      <c r="C259" s="18" t="s">
        <v>92</v>
      </c>
      <c r="D259" s="18" t="s">
        <v>318</v>
      </c>
      <c r="E259" s="18" t="s">
        <v>679</v>
      </c>
      <c r="F259" s="18" t="s">
        <v>27</v>
      </c>
      <c r="G259" s="18" t="s">
        <v>28</v>
      </c>
      <c r="H259" s="18" t="s">
        <v>1232</v>
      </c>
      <c r="I259" s="18" t="s">
        <v>59</v>
      </c>
      <c r="J259" s="18" t="s">
        <v>31</v>
      </c>
      <c r="K259" s="18" t="s">
        <v>32</v>
      </c>
      <c r="L259" s="18" t="s">
        <v>97</v>
      </c>
      <c r="M259" s="18">
        <v>19</v>
      </c>
      <c r="N259" s="18">
        <v>3500</v>
      </c>
      <c r="O259" s="18">
        <v>20</v>
      </c>
      <c r="P259" s="18">
        <v>53200</v>
      </c>
      <c r="Q259" s="18">
        <v>1</v>
      </c>
      <c r="R259" s="18" t="s">
        <v>34</v>
      </c>
      <c r="S259" s="18" t="s">
        <v>61</v>
      </c>
      <c r="T259" s="18" t="s">
        <v>50</v>
      </c>
      <c r="U259" s="19" t="s">
        <v>1233</v>
      </c>
      <c r="V259" s="18" t="s">
        <v>69</v>
      </c>
    </row>
    <row r="260" spans="1:22">
      <c r="A260" s="15" t="s">
        <v>1234</v>
      </c>
      <c r="B260" s="15" t="s">
        <v>23</v>
      </c>
      <c r="C260" s="15" t="s">
        <v>24</v>
      </c>
      <c r="D260" s="15" t="s">
        <v>932</v>
      </c>
      <c r="E260" s="15" t="s">
        <v>436</v>
      </c>
      <c r="F260" s="15" t="s">
        <v>27</v>
      </c>
      <c r="G260" s="15" t="s">
        <v>28</v>
      </c>
      <c r="H260" s="15" t="s">
        <v>1235</v>
      </c>
      <c r="I260" s="15" t="s">
        <v>105</v>
      </c>
      <c r="J260" s="15" t="s">
        <v>106</v>
      </c>
      <c r="K260" s="15" t="s">
        <v>32</v>
      </c>
      <c r="L260" s="15" t="s">
        <v>33</v>
      </c>
      <c r="M260" s="15">
        <v>7</v>
      </c>
      <c r="N260" s="15">
        <v>2200</v>
      </c>
      <c r="O260" s="15">
        <v>5</v>
      </c>
      <c r="P260" s="15">
        <v>14630</v>
      </c>
      <c r="Q260" s="15">
        <v>3</v>
      </c>
      <c r="R260" s="15" t="s">
        <v>88</v>
      </c>
      <c r="S260" s="15" t="s">
        <v>61</v>
      </c>
      <c r="T260" s="15" t="s">
        <v>50</v>
      </c>
      <c r="U260" s="17" t="s">
        <v>1236</v>
      </c>
      <c r="V260" s="15" t="s">
        <v>69</v>
      </c>
    </row>
    <row r="261" spans="1:22">
      <c r="A261" s="18" t="s">
        <v>1237</v>
      </c>
      <c r="B261" s="18" t="s">
        <v>83</v>
      </c>
      <c r="C261" s="18" t="s">
        <v>184</v>
      </c>
      <c r="D261" s="18" t="s">
        <v>1238</v>
      </c>
      <c r="E261" s="18" t="s">
        <v>426</v>
      </c>
      <c r="F261" s="18" t="s">
        <v>180</v>
      </c>
      <c r="G261" s="18" t="s">
        <v>76</v>
      </c>
      <c r="H261" s="18" t="s">
        <v>1239</v>
      </c>
      <c r="I261" s="18" t="s">
        <v>212</v>
      </c>
      <c r="J261" s="18" t="s">
        <v>45</v>
      </c>
      <c r="K261" s="18" t="s">
        <v>46</v>
      </c>
      <c r="L261" s="18" t="s">
        <v>189</v>
      </c>
      <c r="M261" s="18">
        <v>18</v>
      </c>
      <c r="N261" s="18">
        <v>700</v>
      </c>
      <c r="O261" s="18">
        <v>5</v>
      </c>
      <c r="P261" s="18">
        <v>11970</v>
      </c>
      <c r="Q261" s="18">
        <v>2</v>
      </c>
      <c r="R261" s="18" t="s">
        <v>88</v>
      </c>
      <c r="S261" s="18" t="s">
        <v>61</v>
      </c>
      <c r="T261" s="18" t="s">
        <v>89</v>
      </c>
      <c r="U261" s="19" t="s">
        <v>1240</v>
      </c>
      <c r="V261" s="18" t="s">
        <v>69</v>
      </c>
    </row>
    <row r="262" spans="1:22">
      <c r="A262" s="15" t="s">
        <v>1241</v>
      </c>
      <c r="B262" s="15" t="s">
        <v>23</v>
      </c>
      <c r="C262" s="15" t="s">
        <v>222</v>
      </c>
      <c r="D262" s="15" t="s">
        <v>1106</v>
      </c>
      <c r="E262" s="15" t="s">
        <v>1242</v>
      </c>
      <c r="F262" s="15" t="s">
        <v>27</v>
      </c>
      <c r="G262" s="15" t="s">
        <v>28</v>
      </c>
      <c r="H262" s="15" t="s">
        <v>1243</v>
      </c>
      <c r="I262" s="15" t="s">
        <v>294</v>
      </c>
      <c r="J262" s="15" t="s">
        <v>295</v>
      </c>
      <c r="K262" s="15" t="s">
        <v>122</v>
      </c>
      <c r="L262" s="15" t="s">
        <v>227</v>
      </c>
      <c r="M262" s="15">
        <v>11</v>
      </c>
      <c r="N262" s="15">
        <v>20</v>
      </c>
      <c r="O262" s="15">
        <v>0</v>
      </c>
      <c r="P262" s="15">
        <v>220</v>
      </c>
      <c r="Q262" s="15">
        <v>2</v>
      </c>
      <c r="R262" s="15" t="s">
        <v>48</v>
      </c>
      <c r="S262" s="15" t="s">
        <v>115</v>
      </c>
      <c r="T262" s="15" t="s">
        <v>50</v>
      </c>
      <c r="U262" s="17" t="s">
        <v>1244</v>
      </c>
      <c r="V262" s="15" t="s">
        <v>69</v>
      </c>
    </row>
    <row r="263" spans="1:22">
      <c r="A263" s="18" t="s">
        <v>1245</v>
      </c>
      <c r="B263" s="18" t="s">
        <v>327</v>
      </c>
      <c r="C263" s="18" t="s">
        <v>40</v>
      </c>
      <c r="D263" s="18" t="s">
        <v>1069</v>
      </c>
      <c r="E263" s="18" t="s">
        <v>272</v>
      </c>
      <c r="F263" s="18" t="s">
        <v>394</v>
      </c>
      <c r="G263" s="18" t="s">
        <v>76</v>
      </c>
      <c r="H263" s="18" t="s">
        <v>1246</v>
      </c>
      <c r="I263" s="18" t="s">
        <v>114</v>
      </c>
      <c r="J263" s="18" t="s">
        <v>106</v>
      </c>
      <c r="K263" s="18" t="s">
        <v>46</v>
      </c>
      <c r="L263" s="18" t="s">
        <v>47</v>
      </c>
      <c r="M263" s="18">
        <v>17</v>
      </c>
      <c r="N263" s="18">
        <v>12000</v>
      </c>
      <c r="O263" s="18">
        <v>20</v>
      </c>
      <c r="P263" s="18">
        <v>163200</v>
      </c>
      <c r="Q263" s="18">
        <v>4</v>
      </c>
      <c r="R263" s="18" t="s">
        <v>88</v>
      </c>
      <c r="S263" s="18" t="s">
        <v>151</v>
      </c>
      <c r="T263" s="18" t="s">
        <v>332</v>
      </c>
      <c r="U263" s="19" t="s">
        <v>1247</v>
      </c>
      <c r="V263" s="18" t="s">
        <v>38</v>
      </c>
    </row>
    <row r="264" spans="1:22">
      <c r="A264" s="15" t="s">
        <v>1248</v>
      </c>
      <c r="B264" s="15" t="s">
        <v>251</v>
      </c>
      <c r="C264" s="15" t="s">
        <v>24</v>
      </c>
      <c r="D264" s="15" t="s">
        <v>1249</v>
      </c>
      <c r="E264" s="15" t="s">
        <v>267</v>
      </c>
      <c r="F264" s="15" t="s">
        <v>254</v>
      </c>
      <c r="G264" s="15" t="s">
        <v>28</v>
      </c>
      <c r="H264" s="15" t="s">
        <v>1250</v>
      </c>
      <c r="I264" s="15" t="s">
        <v>294</v>
      </c>
      <c r="J264" s="15" t="s">
        <v>295</v>
      </c>
      <c r="K264" s="15" t="s">
        <v>32</v>
      </c>
      <c r="L264" s="15" t="s">
        <v>33</v>
      </c>
      <c r="M264" s="15">
        <v>4</v>
      </c>
      <c r="N264" s="15">
        <v>2200</v>
      </c>
      <c r="O264" s="15">
        <v>5</v>
      </c>
      <c r="P264" s="15">
        <v>8360</v>
      </c>
      <c r="Q264" s="15">
        <v>2</v>
      </c>
      <c r="R264" s="15" t="s">
        <v>34</v>
      </c>
      <c r="S264" s="15" t="s">
        <v>35</v>
      </c>
      <c r="T264" s="15" t="s">
        <v>256</v>
      </c>
      <c r="U264" s="17" t="s">
        <v>1251</v>
      </c>
      <c r="V264" s="15" t="s">
        <v>38</v>
      </c>
    </row>
    <row r="265" spans="1:22">
      <c r="A265" s="18" t="s">
        <v>1252</v>
      </c>
      <c r="B265" s="18" t="s">
        <v>23</v>
      </c>
      <c r="C265" s="18" t="s">
        <v>54</v>
      </c>
      <c r="D265" s="18" t="s">
        <v>1253</v>
      </c>
      <c r="E265" s="18" t="s">
        <v>455</v>
      </c>
      <c r="F265" s="18" t="s">
        <v>27</v>
      </c>
      <c r="G265" s="18" t="s">
        <v>28</v>
      </c>
      <c r="H265" s="18" t="s">
        <v>1254</v>
      </c>
      <c r="I265" s="18" t="s">
        <v>138</v>
      </c>
      <c r="J265" s="18" t="s">
        <v>106</v>
      </c>
      <c r="K265" s="18" t="s">
        <v>46</v>
      </c>
      <c r="L265" s="18" t="s">
        <v>60</v>
      </c>
      <c r="M265" s="18">
        <v>6</v>
      </c>
      <c r="N265" s="18">
        <v>55000</v>
      </c>
      <c r="O265" s="18">
        <v>20</v>
      </c>
      <c r="P265" s="18">
        <v>264000</v>
      </c>
      <c r="Q265" s="18">
        <v>2</v>
      </c>
      <c r="R265" s="18" t="s">
        <v>88</v>
      </c>
      <c r="S265" s="18" t="s">
        <v>151</v>
      </c>
      <c r="T265" s="18" t="s">
        <v>50</v>
      </c>
      <c r="U265" s="19" t="s">
        <v>1255</v>
      </c>
      <c r="V265" s="18" t="s">
        <v>69</v>
      </c>
    </row>
    <row r="266" spans="1:22">
      <c r="A266" s="15" t="s">
        <v>1256</v>
      </c>
      <c r="B266" s="15" t="s">
        <v>71</v>
      </c>
      <c r="C266" s="15" t="s">
        <v>169</v>
      </c>
      <c r="D266" s="15" t="s">
        <v>84</v>
      </c>
      <c r="E266" s="15" t="s">
        <v>998</v>
      </c>
      <c r="F266" s="15" t="s">
        <v>217</v>
      </c>
      <c r="G266" s="15" t="s">
        <v>76</v>
      </c>
      <c r="H266" s="15" t="s">
        <v>1257</v>
      </c>
      <c r="I266" s="15" t="s">
        <v>44</v>
      </c>
      <c r="J266" s="15" t="s">
        <v>45</v>
      </c>
      <c r="K266" s="15" t="s">
        <v>32</v>
      </c>
      <c r="L266" s="15" t="s">
        <v>174</v>
      </c>
      <c r="M266" s="15">
        <v>6</v>
      </c>
      <c r="N266" s="15">
        <v>8500</v>
      </c>
      <c r="O266" s="15">
        <v>10</v>
      </c>
      <c r="P266" s="15">
        <v>45900</v>
      </c>
      <c r="Q266" s="15">
        <v>5</v>
      </c>
      <c r="R266" s="15" t="s">
        <v>88</v>
      </c>
      <c r="S266" s="15" t="s">
        <v>61</v>
      </c>
      <c r="T266" s="15" t="s">
        <v>80</v>
      </c>
      <c r="U266" s="17" t="s">
        <v>1258</v>
      </c>
      <c r="V266" s="15" t="s">
        <v>38</v>
      </c>
    </row>
    <row r="267" spans="1:22">
      <c r="A267" s="18" t="s">
        <v>1259</v>
      </c>
      <c r="B267" s="18" t="s">
        <v>23</v>
      </c>
      <c r="C267" s="18" t="s">
        <v>222</v>
      </c>
      <c r="D267" s="18" t="s">
        <v>558</v>
      </c>
      <c r="E267" s="18" t="s">
        <v>371</v>
      </c>
      <c r="F267" s="18" t="s">
        <v>27</v>
      </c>
      <c r="G267" s="18" t="s">
        <v>28</v>
      </c>
      <c r="H267" s="18" t="s">
        <v>1260</v>
      </c>
      <c r="I267" s="18" t="s">
        <v>212</v>
      </c>
      <c r="J267" s="18" t="s">
        <v>45</v>
      </c>
      <c r="K267" s="18" t="s">
        <v>122</v>
      </c>
      <c r="L267" s="18" t="s">
        <v>227</v>
      </c>
      <c r="M267" s="18">
        <v>6</v>
      </c>
      <c r="N267" s="18">
        <v>20</v>
      </c>
      <c r="O267" s="18">
        <v>15</v>
      </c>
      <c r="P267" s="18">
        <v>102</v>
      </c>
      <c r="Q267" s="18">
        <v>2</v>
      </c>
      <c r="R267" s="18" t="s">
        <v>88</v>
      </c>
      <c r="S267" s="18" t="s">
        <v>49</v>
      </c>
      <c r="T267" s="18" t="s">
        <v>50</v>
      </c>
      <c r="U267" s="19" t="s">
        <v>1261</v>
      </c>
      <c r="V267" s="18" t="s">
        <v>69</v>
      </c>
    </row>
    <row r="268" spans="1:22">
      <c r="A268" s="15" t="s">
        <v>1262</v>
      </c>
      <c r="B268" s="15" t="s">
        <v>53</v>
      </c>
      <c r="C268" s="15" t="s">
        <v>118</v>
      </c>
      <c r="D268" s="15" t="s">
        <v>1263</v>
      </c>
      <c r="E268" s="15" t="s">
        <v>597</v>
      </c>
      <c r="F268" s="15" t="s">
        <v>163</v>
      </c>
      <c r="G268" s="15" t="s">
        <v>28</v>
      </c>
      <c r="H268" s="15" t="s">
        <v>1264</v>
      </c>
      <c r="I268" s="15" t="s">
        <v>105</v>
      </c>
      <c r="J268" s="15" t="s">
        <v>106</v>
      </c>
      <c r="K268" s="15" t="s">
        <v>122</v>
      </c>
      <c r="L268" s="15" t="s">
        <v>123</v>
      </c>
      <c r="M268" s="15">
        <v>6</v>
      </c>
      <c r="N268" s="15">
        <v>60</v>
      </c>
      <c r="O268" s="15">
        <v>5</v>
      </c>
      <c r="P268" s="15">
        <v>342</v>
      </c>
      <c r="Q268" s="15">
        <v>1</v>
      </c>
      <c r="R268" s="15" t="s">
        <v>48</v>
      </c>
      <c r="S268" s="15" t="s">
        <v>61</v>
      </c>
      <c r="T268" s="15" t="s">
        <v>62</v>
      </c>
      <c r="U268" s="17" t="s">
        <v>1265</v>
      </c>
      <c r="V268" s="15" t="s">
        <v>38</v>
      </c>
    </row>
    <row r="269" spans="1:22">
      <c r="A269" s="18" t="s">
        <v>1266</v>
      </c>
      <c r="B269" s="18" t="s">
        <v>127</v>
      </c>
      <c r="C269" s="18" t="s">
        <v>169</v>
      </c>
      <c r="D269" s="18" t="s">
        <v>1267</v>
      </c>
      <c r="E269" s="18" t="s">
        <v>1268</v>
      </c>
      <c r="F269" s="18" t="s">
        <v>200</v>
      </c>
      <c r="G269" s="18" t="s">
        <v>76</v>
      </c>
      <c r="H269" s="18" t="s">
        <v>1269</v>
      </c>
      <c r="I269" s="18" t="s">
        <v>30</v>
      </c>
      <c r="J269" s="18" t="s">
        <v>31</v>
      </c>
      <c r="K269" s="18" t="s">
        <v>32</v>
      </c>
      <c r="L269" s="18" t="s">
        <v>174</v>
      </c>
      <c r="M269" s="18">
        <v>19</v>
      </c>
      <c r="N269" s="18">
        <v>8500</v>
      </c>
      <c r="O269" s="18">
        <v>0</v>
      </c>
      <c r="P269" s="18">
        <v>161500</v>
      </c>
      <c r="Q269" s="18">
        <v>5</v>
      </c>
      <c r="R269" s="18" t="s">
        <v>88</v>
      </c>
      <c r="S269" s="18" t="s">
        <v>151</v>
      </c>
      <c r="T269" s="18" t="s">
        <v>132</v>
      </c>
      <c r="U269" s="19" t="s">
        <v>1270</v>
      </c>
      <c r="V269" s="18" t="s">
        <v>38</v>
      </c>
    </row>
    <row r="270" spans="1:22">
      <c r="A270" s="15" t="s">
        <v>1271</v>
      </c>
      <c r="B270" s="15" t="s">
        <v>251</v>
      </c>
      <c r="C270" s="15" t="s">
        <v>54</v>
      </c>
      <c r="D270" s="15" t="s">
        <v>445</v>
      </c>
      <c r="E270" s="15" t="s">
        <v>573</v>
      </c>
      <c r="F270" s="15" t="s">
        <v>254</v>
      </c>
      <c r="G270" s="15" t="s">
        <v>28</v>
      </c>
      <c r="H270" s="15" t="s">
        <v>1272</v>
      </c>
      <c r="I270" s="15" t="s">
        <v>212</v>
      </c>
      <c r="J270" s="15" t="s">
        <v>45</v>
      </c>
      <c r="K270" s="15" t="s">
        <v>46</v>
      </c>
      <c r="L270" s="15" t="s">
        <v>60</v>
      </c>
      <c r="M270" s="15">
        <v>8</v>
      </c>
      <c r="N270" s="15">
        <v>55000</v>
      </c>
      <c r="O270" s="15">
        <v>0</v>
      </c>
      <c r="P270" s="15">
        <v>440000</v>
      </c>
      <c r="Q270" s="15">
        <v>3</v>
      </c>
      <c r="R270" s="15" t="s">
        <v>79</v>
      </c>
      <c r="S270" s="15" t="s">
        <v>115</v>
      </c>
      <c r="T270" s="15" t="s">
        <v>256</v>
      </c>
      <c r="U270" s="17" t="s">
        <v>1273</v>
      </c>
      <c r="V270" s="15" t="s">
        <v>64</v>
      </c>
    </row>
    <row r="271" spans="1:22">
      <c r="A271" s="18" t="s">
        <v>1274</v>
      </c>
      <c r="B271" s="18" t="s">
        <v>71</v>
      </c>
      <c r="C271" s="18" t="s">
        <v>40</v>
      </c>
      <c r="D271" s="18" t="s">
        <v>1098</v>
      </c>
      <c r="E271" s="18" t="s">
        <v>583</v>
      </c>
      <c r="F271" s="18" t="s">
        <v>217</v>
      </c>
      <c r="G271" s="18" t="s">
        <v>76</v>
      </c>
      <c r="H271" s="18" t="s">
        <v>1275</v>
      </c>
      <c r="I271" s="18" t="s">
        <v>294</v>
      </c>
      <c r="J271" s="18" t="s">
        <v>295</v>
      </c>
      <c r="K271" s="18" t="s">
        <v>46</v>
      </c>
      <c r="L271" s="18" t="s">
        <v>47</v>
      </c>
      <c r="M271" s="18">
        <v>18</v>
      </c>
      <c r="N271" s="18">
        <v>12000</v>
      </c>
      <c r="O271" s="18">
        <v>20</v>
      </c>
      <c r="P271" s="18">
        <v>172800</v>
      </c>
      <c r="Q271" s="18">
        <v>5</v>
      </c>
      <c r="R271" s="18" t="s">
        <v>88</v>
      </c>
      <c r="S271" s="18" t="s">
        <v>61</v>
      </c>
      <c r="T271" s="18" t="s">
        <v>80</v>
      </c>
      <c r="U271" s="19" t="s">
        <v>1276</v>
      </c>
      <c r="V271" s="18" t="s">
        <v>69</v>
      </c>
    </row>
    <row r="272" spans="1:22">
      <c r="A272" s="15" t="s">
        <v>1277</v>
      </c>
      <c r="B272" s="15" t="s">
        <v>127</v>
      </c>
      <c r="C272" s="15" t="s">
        <v>169</v>
      </c>
      <c r="D272" s="15" t="s">
        <v>1278</v>
      </c>
      <c r="E272" s="15" t="s">
        <v>198</v>
      </c>
      <c r="F272" s="15" t="s">
        <v>200</v>
      </c>
      <c r="G272" s="15" t="s">
        <v>76</v>
      </c>
      <c r="H272" s="15" t="s">
        <v>1279</v>
      </c>
      <c r="I272" s="15" t="s">
        <v>138</v>
      </c>
      <c r="J272" s="15" t="s">
        <v>106</v>
      </c>
      <c r="K272" s="15" t="s">
        <v>32</v>
      </c>
      <c r="L272" s="15" t="s">
        <v>174</v>
      </c>
      <c r="M272" s="15">
        <v>8</v>
      </c>
      <c r="N272" s="15">
        <v>8500</v>
      </c>
      <c r="O272" s="15">
        <v>5</v>
      </c>
      <c r="P272" s="15">
        <v>64600</v>
      </c>
      <c r="Q272" s="15">
        <v>2</v>
      </c>
      <c r="R272" s="15" t="s">
        <v>79</v>
      </c>
      <c r="S272" s="15" t="s">
        <v>61</v>
      </c>
      <c r="T272" s="15" t="s">
        <v>132</v>
      </c>
      <c r="U272" s="17" t="s">
        <v>1280</v>
      </c>
      <c r="V272" s="15" t="s">
        <v>69</v>
      </c>
    </row>
    <row r="273" spans="1:22">
      <c r="A273" s="18" t="s">
        <v>1281</v>
      </c>
      <c r="B273" s="18" t="s">
        <v>23</v>
      </c>
      <c r="C273" s="18" t="s">
        <v>222</v>
      </c>
      <c r="D273" s="18" t="s">
        <v>1282</v>
      </c>
      <c r="E273" s="18" t="s">
        <v>724</v>
      </c>
      <c r="F273" s="18" t="s">
        <v>27</v>
      </c>
      <c r="G273" s="18" t="s">
        <v>28</v>
      </c>
      <c r="H273" s="18" t="s">
        <v>1283</v>
      </c>
      <c r="I273" s="18" t="s">
        <v>105</v>
      </c>
      <c r="J273" s="18" t="s">
        <v>106</v>
      </c>
      <c r="K273" s="18" t="s">
        <v>122</v>
      </c>
      <c r="L273" s="18" t="s">
        <v>227</v>
      </c>
      <c r="M273" s="18">
        <v>13</v>
      </c>
      <c r="N273" s="18">
        <v>20</v>
      </c>
      <c r="O273" s="18">
        <v>5</v>
      </c>
      <c r="P273" s="18">
        <v>247</v>
      </c>
      <c r="Q273" s="18">
        <v>3</v>
      </c>
      <c r="R273" s="18" t="s">
        <v>48</v>
      </c>
      <c r="S273" s="18" t="s">
        <v>115</v>
      </c>
      <c r="T273" s="18" t="s">
        <v>50</v>
      </c>
      <c r="U273" s="19" t="s">
        <v>1284</v>
      </c>
      <c r="V273" s="18" t="s">
        <v>64</v>
      </c>
    </row>
    <row r="274" spans="1:22">
      <c r="A274" s="15" t="s">
        <v>1285</v>
      </c>
      <c r="B274" s="15" t="s">
        <v>83</v>
      </c>
      <c r="C274" s="15" t="s">
        <v>118</v>
      </c>
      <c r="D274" s="15" t="s">
        <v>740</v>
      </c>
      <c r="E274" s="15" t="s">
        <v>1286</v>
      </c>
      <c r="F274" s="15" t="s">
        <v>180</v>
      </c>
      <c r="G274" s="15" t="s">
        <v>76</v>
      </c>
      <c r="H274" s="15" t="s">
        <v>1287</v>
      </c>
      <c r="I274" s="15" t="s">
        <v>212</v>
      </c>
      <c r="J274" s="15" t="s">
        <v>45</v>
      </c>
      <c r="K274" s="15" t="s">
        <v>122</v>
      </c>
      <c r="L274" s="15" t="s">
        <v>123</v>
      </c>
      <c r="M274" s="15">
        <v>1</v>
      </c>
      <c r="N274" s="15">
        <v>60</v>
      </c>
      <c r="O274" s="15">
        <v>15</v>
      </c>
      <c r="P274" s="15">
        <v>51</v>
      </c>
      <c r="Q274" s="15">
        <v>2</v>
      </c>
      <c r="R274" s="15" t="s">
        <v>79</v>
      </c>
      <c r="S274" s="15" t="s">
        <v>61</v>
      </c>
      <c r="T274" s="15" t="s">
        <v>89</v>
      </c>
      <c r="U274" s="17" t="s">
        <v>1288</v>
      </c>
      <c r="V274" s="15" t="s">
        <v>69</v>
      </c>
    </row>
    <row r="275" spans="1:22">
      <c r="A275" s="18" t="s">
        <v>1289</v>
      </c>
      <c r="B275" s="18" t="s">
        <v>53</v>
      </c>
      <c r="C275" s="18" t="s">
        <v>222</v>
      </c>
      <c r="D275" s="18" t="s">
        <v>1290</v>
      </c>
      <c r="E275" s="18" t="s">
        <v>965</v>
      </c>
      <c r="F275" s="18" t="s">
        <v>163</v>
      </c>
      <c r="G275" s="18" t="s">
        <v>28</v>
      </c>
      <c r="H275" s="18" t="s">
        <v>1291</v>
      </c>
      <c r="I275" s="18" t="s">
        <v>114</v>
      </c>
      <c r="J275" s="18" t="s">
        <v>106</v>
      </c>
      <c r="K275" s="18" t="s">
        <v>122</v>
      </c>
      <c r="L275" s="18" t="s">
        <v>227</v>
      </c>
      <c r="M275" s="18">
        <v>5</v>
      </c>
      <c r="N275" s="18">
        <v>20</v>
      </c>
      <c r="O275" s="18">
        <v>5</v>
      </c>
      <c r="P275" s="18">
        <v>95</v>
      </c>
      <c r="Q275" s="18">
        <v>2</v>
      </c>
      <c r="R275" s="18" t="s">
        <v>48</v>
      </c>
      <c r="S275" s="18" t="s">
        <v>49</v>
      </c>
      <c r="T275" s="18" t="s">
        <v>62</v>
      </c>
      <c r="U275" s="19" t="s">
        <v>1292</v>
      </c>
      <c r="V275" s="18" t="s">
        <v>64</v>
      </c>
    </row>
    <row r="276" spans="1:22">
      <c r="A276" s="15" t="s">
        <v>1293</v>
      </c>
      <c r="B276" s="15" t="s">
        <v>221</v>
      </c>
      <c r="C276" s="15" t="s">
        <v>222</v>
      </c>
      <c r="D276" s="15" t="s">
        <v>1294</v>
      </c>
      <c r="E276" s="15" t="s">
        <v>1017</v>
      </c>
      <c r="F276" s="15" t="s">
        <v>225</v>
      </c>
      <c r="G276" s="15" t="s">
        <v>76</v>
      </c>
      <c r="H276" s="15" t="s">
        <v>1295</v>
      </c>
      <c r="I276" s="15" t="s">
        <v>294</v>
      </c>
      <c r="J276" s="15" t="s">
        <v>295</v>
      </c>
      <c r="K276" s="15" t="s">
        <v>122</v>
      </c>
      <c r="L276" s="15" t="s">
        <v>227</v>
      </c>
      <c r="M276" s="15">
        <v>19</v>
      </c>
      <c r="N276" s="15">
        <v>20</v>
      </c>
      <c r="O276" s="15">
        <v>20</v>
      </c>
      <c r="P276" s="15">
        <v>304</v>
      </c>
      <c r="Q276" s="15">
        <v>3</v>
      </c>
      <c r="R276" s="15" t="s">
        <v>34</v>
      </c>
      <c r="S276" s="15" t="s">
        <v>35</v>
      </c>
      <c r="T276" s="15" t="s">
        <v>228</v>
      </c>
      <c r="U276" s="17" t="s">
        <v>1296</v>
      </c>
      <c r="V276" s="15" t="s">
        <v>69</v>
      </c>
    </row>
    <row r="277" spans="1:22">
      <c r="A277" s="18" t="s">
        <v>1297</v>
      </c>
      <c r="B277" s="18" t="s">
        <v>100</v>
      </c>
      <c r="C277" s="18" t="s">
        <v>259</v>
      </c>
      <c r="D277" s="18" t="s">
        <v>1298</v>
      </c>
      <c r="E277" s="18" t="s">
        <v>366</v>
      </c>
      <c r="F277" s="18" t="s">
        <v>103</v>
      </c>
      <c r="G277" s="18" t="s">
        <v>28</v>
      </c>
      <c r="H277" s="18" t="s">
        <v>1299</v>
      </c>
      <c r="I277" s="18" t="s">
        <v>138</v>
      </c>
      <c r="J277" s="18" t="s">
        <v>106</v>
      </c>
      <c r="K277" s="18" t="s">
        <v>122</v>
      </c>
      <c r="L277" s="18" t="s">
        <v>263</v>
      </c>
      <c r="M277" s="18">
        <v>17</v>
      </c>
      <c r="N277" s="18">
        <v>45</v>
      </c>
      <c r="O277" s="18">
        <v>5</v>
      </c>
      <c r="P277" s="18">
        <v>726.75</v>
      </c>
      <c r="Q277" s="18">
        <v>4</v>
      </c>
      <c r="R277" s="18" t="s">
        <v>34</v>
      </c>
      <c r="S277" s="18" t="s">
        <v>115</v>
      </c>
      <c r="T277" s="18" t="s">
        <v>144</v>
      </c>
      <c r="U277" s="19" t="s">
        <v>1300</v>
      </c>
      <c r="V277" s="18" t="s">
        <v>64</v>
      </c>
    </row>
    <row r="278" spans="1:22">
      <c r="A278" s="15" t="s">
        <v>1301</v>
      </c>
      <c r="B278" s="15" t="s">
        <v>83</v>
      </c>
      <c r="C278" s="15" t="s">
        <v>184</v>
      </c>
      <c r="D278" s="15" t="s">
        <v>1302</v>
      </c>
      <c r="E278" s="15" t="s">
        <v>170</v>
      </c>
      <c r="F278" s="15" t="s">
        <v>180</v>
      </c>
      <c r="G278" s="15" t="s">
        <v>76</v>
      </c>
      <c r="H278" s="15" t="s">
        <v>1303</v>
      </c>
      <c r="I278" s="15" t="s">
        <v>59</v>
      </c>
      <c r="J278" s="15" t="s">
        <v>31</v>
      </c>
      <c r="K278" s="15" t="s">
        <v>46</v>
      </c>
      <c r="L278" s="15" t="s">
        <v>189</v>
      </c>
      <c r="M278" s="15">
        <v>8</v>
      </c>
      <c r="N278" s="15">
        <v>700</v>
      </c>
      <c r="O278" s="15">
        <v>15</v>
      </c>
      <c r="P278" s="15">
        <v>4760</v>
      </c>
      <c r="Q278" s="15">
        <v>4</v>
      </c>
      <c r="R278" s="15" t="s">
        <v>48</v>
      </c>
      <c r="S278" s="15" t="s">
        <v>35</v>
      </c>
      <c r="T278" s="15" t="s">
        <v>89</v>
      </c>
      <c r="U278" s="17" t="s">
        <v>1304</v>
      </c>
      <c r="V278" s="15" t="s">
        <v>64</v>
      </c>
    </row>
    <row r="279" spans="1:22">
      <c r="A279" s="18" t="s">
        <v>1305</v>
      </c>
      <c r="B279" s="18" t="s">
        <v>168</v>
      </c>
      <c r="C279" s="18" t="s">
        <v>24</v>
      </c>
      <c r="D279" s="18" t="s">
        <v>1306</v>
      </c>
      <c r="E279" s="18" t="s">
        <v>1307</v>
      </c>
      <c r="F279" s="18" t="s">
        <v>361</v>
      </c>
      <c r="G279" s="18" t="s">
        <v>28</v>
      </c>
      <c r="H279" s="18" t="s">
        <v>1308</v>
      </c>
      <c r="I279" s="18" t="s">
        <v>105</v>
      </c>
      <c r="J279" s="18" t="s">
        <v>106</v>
      </c>
      <c r="K279" s="18" t="s">
        <v>32</v>
      </c>
      <c r="L279" s="18" t="s">
        <v>33</v>
      </c>
      <c r="M279" s="18">
        <v>15</v>
      </c>
      <c r="N279" s="18">
        <v>2200</v>
      </c>
      <c r="O279" s="18">
        <v>10</v>
      </c>
      <c r="P279" s="18">
        <v>29700</v>
      </c>
      <c r="Q279" s="18">
        <v>5</v>
      </c>
      <c r="R279" s="18" t="s">
        <v>88</v>
      </c>
      <c r="S279" s="18" t="s">
        <v>151</v>
      </c>
      <c r="T279" s="18" t="s">
        <v>175</v>
      </c>
      <c r="U279" s="19" t="s">
        <v>1309</v>
      </c>
      <c r="V279" s="18" t="s">
        <v>38</v>
      </c>
    </row>
    <row r="280" spans="1:22">
      <c r="A280" s="15" t="s">
        <v>1310</v>
      </c>
      <c r="B280" s="15" t="s">
        <v>100</v>
      </c>
      <c r="C280" s="15" t="s">
        <v>24</v>
      </c>
      <c r="D280" s="15" t="s">
        <v>860</v>
      </c>
      <c r="E280" s="15" t="s">
        <v>1311</v>
      </c>
      <c r="F280" s="15" t="s">
        <v>103</v>
      </c>
      <c r="G280" s="15" t="s">
        <v>28</v>
      </c>
      <c r="H280" s="15" t="s">
        <v>1312</v>
      </c>
      <c r="I280" s="15" t="s">
        <v>105</v>
      </c>
      <c r="J280" s="15" t="s">
        <v>106</v>
      </c>
      <c r="K280" s="15" t="s">
        <v>32</v>
      </c>
      <c r="L280" s="15" t="s">
        <v>33</v>
      </c>
      <c r="M280" s="15">
        <v>1</v>
      </c>
      <c r="N280" s="15">
        <v>2200</v>
      </c>
      <c r="O280" s="15">
        <v>0</v>
      </c>
      <c r="P280" s="15">
        <v>2200</v>
      </c>
      <c r="Q280" s="15">
        <v>4</v>
      </c>
      <c r="R280" s="15" t="s">
        <v>34</v>
      </c>
      <c r="S280" s="15" t="s">
        <v>49</v>
      </c>
      <c r="T280" s="15" t="s">
        <v>144</v>
      </c>
      <c r="U280" s="17" t="s">
        <v>1313</v>
      </c>
      <c r="V280" s="15" t="s">
        <v>69</v>
      </c>
    </row>
    <row r="281" spans="1:22">
      <c r="A281" s="18" t="s">
        <v>1314</v>
      </c>
      <c r="B281" s="18" t="s">
        <v>251</v>
      </c>
      <c r="C281" s="18" t="s">
        <v>92</v>
      </c>
      <c r="D281" s="18" t="s">
        <v>872</v>
      </c>
      <c r="E281" s="18" t="s">
        <v>1315</v>
      </c>
      <c r="F281" s="18" t="s">
        <v>254</v>
      </c>
      <c r="G281" s="18" t="s">
        <v>28</v>
      </c>
      <c r="H281" s="18" t="s">
        <v>1316</v>
      </c>
      <c r="I281" s="18" t="s">
        <v>138</v>
      </c>
      <c r="J281" s="18" t="s">
        <v>106</v>
      </c>
      <c r="K281" s="18" t="s">
        <v>32</v>
      </c>
      <c r="L281" s="18" t="s">
        <v>97</v>
      </c>
      <c r="M281" s="18">
        <v>10</v>
      </c>
      <c r="N281" s="18">
        <v>3500</v>
      </c>
      <c r="O281" s="18">
        <v>10</v>
      </c>
      <c r="P281" s="18">
        <v>31500</v>
      </c>
      <c r="Q281" s="18">
        <v>4</v>
      </c>
      <c r="R281" s="18" t="s">
        <v>48</v>
      </c>
      <c r="S281" s="18" t="s">
        <v>35</v>
      </c>
      <c r="T281" s="18" t="s">
        <v>256</v>
      </c>
      <c r="U281" s="19" t="s">
        <v>1317</v>
      </c>
      <c r="V281" s="18" t="s">
        <v>69</v>
      </c>
    </row>
    <row r="282" spans="1:22">
      <c r="A282" s="15" t="s">
        <v>1318</v>
      </c>
      <c r="B282" s="15" t="s">
        <v>71</v>
      </c>
      <c r="C282" s="15" t="s">
        <v>92</v>
      </c>
      <c r="D282" s="15" t="s">
        <v>1319</v>
      </c>
      <c r="E282" s="15" t="s">
        <v>1320</v>
      </c>
      <c r="F282" s="15" t="s">
        <v>217</v>
      </c>
      <c r="G282" s="15" t="s">
        <v>76</v>
      </c>
      <c r="H282" s="15" t="s">
        <v>1321</v>
      </c>
      <c r="I282" s="15" t="s">
        <v>212</v>
      </c>
      <c r="J282" s="15" t="s">
        <v>45</v>
      </c>
      <c r="K282" s="15" t="s">
        <v>32</v>
      </c>
      <c r="L282" s="15" t="s">
        <v>97</v>
      </c>
      <c r="M282" s="15">
        <v>16</v>
      </c>
      <c r="N282" s="15">
        <v>3500</v>
      </c>
      <c r="O282" s="15">
        <v>15</v>
      </c>
      <c r="P282" s="15">
        <v>47600</v>
      </c>
      <c r="Q282" s="15">
        <v>1</v>
      </c>
      <c r="R282" s="15" t="s">
        <v>79</v>
      </c>
      <c r="S282" s="15" t="s">
        <v>115</v>
      </c>
      <c r="T282" s="15" t="s">
        <v>80</v>
      </c>
      <c r="U282" s="17" t="s">
        <v>1322</v>
      </c>
      <c r="V282" s="15" t="s">
        <v>64</v>
      </c>
    </row>
    <row r="283" spans="1:22">
      <c r="A283" s="18" t="s">
        <v>1323</v>
      </c>
      <c r="B283" s="18" t="s">
        <v>251</v>
      </c>
      <c r="C283" s="18" t="s">
        <v>40</v>
      </c>
      <c r="D283" s="18" t="s">
        <v>1324</v>
      </c>
      <c r="E283" s="18" t="s">
        <v>25</v>
      </c>
      <c r="F283" s="18" t="s">
        <v>254</v>
      </c>
      <c r="G283" s="18" t="s">
        <v>28</v>
      </c>
      <c r="H283" s="18" t="s">
        <v>1325</v>
      </c>
      <c r="I283" s="18" t="s">
        <v>212</v>
      </c>
      <c r="J283" s="18" t="s">
        <v>45</v>
      </c>
      <c r="K283" s="18" t="s">
        <v>46</v>
      </c>
      <c r="L283" s="18" t="s">
        <v>47</v>
      </c>
      <c r="M283" s="18">
        <v>1</v>
      </c>
      <c r="N283" s="18">
        <v>12000</v>
      </c>
      <c r="O283" s="18">
        <v>0</v>
      </c>
      <c r="P283" s="18">
        <v>12000</v>
      </c>
      <c r="Q283" s="18">
        <v>4</v>
      </c>
      <c r="R283" s="18" t="s">
        <v>48</v>
      </c>
      <c r="S283" s="18" t="s">
        <v>115</v>
      </c>
      <c r="T283" s="18" t="s">
        <v>256</v>
      </c>
      <c r="U283" s="19" t="s">
        <v>1326</v>
      </c>
      <c r="V283" s="18" t="s">
        <v>69</v>
      </c>
    </row>
    <row r="284" spans="1:22">
      <c r="A284" s="15" t="s">
        <v>1327</v>
      </c>
      <c r="B284" s="15" t="s">
        <v>83</v>
      </c>
      <c r="C284" s="15" t="s">
        <v>184</v>
      </c>
      <c r="D284" s="15" t="s">
        <v>1328</v>
      </c>
      <c r="E284" s="15" t="s">
        <v>606</v>
      </c>
      <c r="F284" s="15" t="s">
        <v>180</v>
      </c>
      <c r="G284" s="15" t="s">
        <v>76</v>
      </c>
      <c r="H284" s="15" t="s">
        <v>1329</v>
      </c>
      <c r="I284" s="15" t="s">
        <v>105</v>
      </c>
      <c r="J284" s="15" t="s">
        <v>106</v>
      </c>
      <c r="K284" s="15" t="s">
        <v>46</v>
      </c>
      <c r="L284" s="15" t="s">
        <v>189</v>
      </c>
      <c r="M284" s="15">
        <v>6</v>
      </c>
      <c r="N284" s="15">
        <v>700</v>
      </c>
      <c r="O284" s="15">
        <v>20</v>
      </c>
      <c r="P284" s="15">
        <v>3360</v>
      </c>
      <c r="Q284" s="15">
        <v>2</v>
      </c>
      <c r="R284" s="15" t="s">
        <v>48</v>
      </c>
      <c r="S284" s="15" t="s">
        <v>115</v>
      </c>
      <c r="T284" s="15" t="s">
        <v>89</v>
      </c>
      <c r="U284" s="17" t="s">
        <v>1330</v>
      </c>
      <c r="V284" s="15" t="s">
        <v>64</v>
      </c>
    </row>
    <row r="285" spans="1:22">
      <c r="A285" s="18" t="s">
        <v>1331</v>
      </c>
      <c r="B285" s="18" t="s">
        <v>71</v>
      </c>
      <c r="C285" s="18" t="s">
        <v>24</v>
      </c>
      <c r="D285" s="18" t="s">
        <v>923</v>
      </c>
      <c r="E285" s="18" t="s">
        <v>1332</v>
      </c>
      <c r="F285" s="18" t="s">
        <v>217</v>
      </c>
      <c r="G285" s="18" t="s">
        <v>76</v>
      </c>
      <c r="H285" s="18" t="s">
        <v>1333</v>
      </c>
      <c r="I285" s="18" t="s">
        <v>138</v>
      </c>
      <c r="J285" s="18" t="s">
        <v>106</v>
      </c>
      <c r="K285" s="18" t="s">
        <v>32</v>
      </c>
      <c r="L285" s="18" t="s">
        <v>33</v>
      </c>
      <c r="M285" s="18">
        <v>3</v>
      </c>
      <c r="N285" s="18">
        <v>2200</v>
      </c>
      <c r="O285" s="18">
        <v>0</v>
      </c>
      <c r="P285" s="18">
        <v>6600</v>
      </c>
      <c r="Q285" s="18">
        <v>4</v>
      </c>
      <c r="R285" s="18" t="s">
        <v>79</v>
      </c>
      <c r="S285" s="18" t="s">
        <v>35</v>
      </c>
      <c r="T285" s="18" t="s">
        <v>80</v>
      </c>
      <c r="U285" s="19" t="s">
        <v>1334</v>
      </c>
      <c r="V285" s="18" t="s">
        <v>38</v>
      </c>
    </row>
    <row r="286" spans="1:22">
      <c r="A286" s="15" t="s">
        <v>1335</v>
      </c>
      <c r="B286" s="15" t="s">
        <v>251</v>
      </c>
      <c r="C286" s="15" t="s">
        <v>259</v>
      </c>
      <c r="D286" s="15" t="s">
        <v>1198</v>
      </c>
      <c r="E286" s="15" t="s">
        <v>216</v>
      </c>
      <c r="F286" s="15" t="s">
        <v>254</v>
      </c>
      <c r="G286" s="15" t="s">
        <v>28</v>
      </c>
      <c r="H286" s="15" t="s">
        <v>1336</v>
      </c>
      <c r="I286" s="15" t="s">
        <v>30</v>
      </c>
      <c r="J286" s="15" t="s">
        <v>31</v>
      </c>
      <c r="K286" s="15" t="s">
        <v>122</v>
      </c>
      <c r="L286" s="15" t="s">
        <v>263</v>
      </c>
      <c r="M286" s="15">
        <v>6</v>
      </c>
      <c r="N286" s="15">
        <v>45</v>
      </c>
      <c r="O286" s="15">
        <v>15</v>
      </c>
      <c r="P286" s="15">
        <v>229.5</v>
      </c>
      <c r="Q286" s="15">
        <v>1</v>
      </c>
      <c r="R286" s="15" t="s">
        <v>88</v>
      </c>
      <c r="S286" s="15" t="s">
        <v>49</v>
      </c>
      <c r="T286" s="15" t="s">
        <v>256</v>
      </c>
      <c r="U286" s="17" t="s">
        <v>1337</v>
      </c>
      <c r="V286" s="15" t="s">
        <v>38</v>
      </c>
    </row>
    <row r="287" spans="1:22">
      <c r="A287" s="18" t="s">
        <v>1338</v>
      </c>
      <c r="B287" s="18" t="s">
        <v>251</v>
      </c>
      <c r="C287" s="18" t="s">
        <v>72</v>
      </c>
      <c r="D287" s="18" t="s">
        <v>26</v>
      </c>
      <c r="E287" s="18" t="s">
        <v>1339</v>
      </c>
      <c r="F287" s="18" t="s">
        <v>254</v>
      </c>
      <c r="G287" s="18" t="s">
        <v>28</v>
      </c>
      <c r="H287" s="18" t="s">
        <v>1340</v>
      </c>
      <c r="I287" s="18" t="s">
        <v>59</v>
      </c>
      <c r="J287" s="18" t="s">
        <v>31</v>
      </c>
      <c r="K287" s="18" t="s">
        <v>46</v>
      </c>
      <c r="L287" s="18" t="s">
        <v>78</v>
      </c>
      <c r="M287" s="18">
        <v>2</v>
      </c>
      <c r="N287" s="18">
        <v>1200</v>
      </c>
      <c r="O287" s="18">
        <v>0</v>
      </c>
      <c r="P287" s="18">
        <v>2400</v>
      </c>
      <c r="Q287" s="18">
        <v>1</v>
      </c>
      <c r="R287" s="18" t="s">
        <v>34</v>
      </c>
      <c r="S287" s="18" t="s">
        <v>151</v>
      </c>
      <c r="T287" s="18" t="s">
        <v>256</v>
      </c>
      <c r="U287" s="19" t="s">
        <v>1341</v>
      </c>
      <c r="V287" s="18" t="s">
        <v>69</v>
      </c>
    </row>
    <row r="288" spans="1:22">
      <c r="A288" s="15" t="s">
        <v>1342</v>
      </c>
      <c r="B288" s="15" t="s">
        <v>168</v>
      </c>
      <c r="C288" s="15" t="s">
        <v>184</v>
      </c>
      <c r="D288" s="15" t="s">
        <v>1343</v>
      </c>
      <c r="E288" s="15" t="s">
        <v>1344</v>
      </c>
      <c r="F288" s="15" t="s">
        <v>361</v>
      </c>
      <c r="G288" s="15" t="s">
        <v>28</v>
      </c>
      <c r="H288" s="15" t="s">
        <v>1345</v>
      </c>
      <c r="I288" s="15" t="s">
        <v>30</v>
      </c>
      <c r="J288" s="15" t="s">
        <v>31</v>
      </c>
      <c r="K288" s="15" t="s">
        <v>46</v>
      </c>
      <c r="L288" s="15" t="s">
        <v>189</v>
      </c>
      <c r="M288" s="15">
        <v>14</v>
      </c>
      <c r="N288" s="15">
        <v>700</v>
      </c>
      <c r="O288" s="15">
        <v>15</v>
      </c>
      <c r="P288" s="15">
        <v>8330</v>
      </c>
      <c r="Q288" s="15">
        <v>5</v>
      </c>
      <c r="R288" s="15" t="s">
        <v>34</v>
      </c>
      <c r="S288" s="15" t="s">
        <v>115</v>
      </c>
      <c r="T288" s="15" t="s">
        <v>175</v>
      </c>
      <c r="U288" s="17" t="s">
        <v>1346</v>
      </c>
      <c r="V288" s="15" t="s">
        <v>64</v>
      </c>
    </row>
    <row r="289" spans="1:22">
      <c r="A289" s="18" t="s">
        <v>1347</v>
      </c>
      <c r="B289" s="18" t="s">
        <v>100</v>
      </c>
      <c r="C289" s="18" t="s">
        <v>222</v>
      </c>
      <c r="D289" s="18" t="s">
        <v>291</v>
      </c>
      <c r="E289" s="18" t="s">
        <v>507</v>
      </c>
      <c r="F289" s="18" t="s">
        <v>103</v>
      </c>
      <c r="G289" s="18" t="s">
        <v>28</v>
      </c>
      <c r="H289" s="18" t="s">
        <v>1348</v>
      </c>
      <c r="I289" s="18" t="s">
        <v>105</v>
      </c>
      <c r="J289" s="18" t="s">
        <v>106</v>
      </c>
      <c r="K289" s="18" t="s">
        <v>122</v>
      </c>
      <c r="L289" s="18" t="s">
        <v>227</v>
      </c>
      <c r="M289" s="18">
        <v>13</v>
      </c>
      <c r="N289" s="18">
        <v>20</v>
      </c>
      <c r="O289" s="18">
        <v>5</v>
      </c>
      <c r="P289" s="18">
        <v>247</v>
      </c>
      <c r="Q289" s="18">
        <v>1</v>
      </c>
      <c r="R289" s="18" t="s">
        <v>79</v>
      </c>
      <c r="S289" s="18" t="s">
        <v>35</v>
      </c>
      <c r="T289" s="18" t="s">
        <v>1349</v>
      </c>
      <c r="U289" s="19" t="s">
        <v>1350</v>
      </c>
      <c r="V289" s="18" t="s">
        <v>64</v>
      </c>
    </row>
    <row r="290" spans="1:22">
      <c r="A290" s="15" t="s">
        <v>1351</v>
      </c>
      <c r="B290" s="15" t="s">
        <v>71</v>
      </c>
      <c r="C290" s="15" t="s">
        <v>24</v>
      </c>
      <c r="D290" s="15" t="s">
        <v>135</v>
      </c>
      <c r="E290" s="15" t="s">
        <v>136</v>
      </c>
      <c r="F290" s="15" t="s">
        <v>217</v>
      </c>
      <c r="G290" s="15" t="s">
        <v>76</v>
      </c>
      <c r="H290" s="15" t="s">
        <v>1352</v>
      </c>
      <c r="I290" s="15" t="s">
        <v>114</v>
      </c>
      <c r="J290" s="15" t="s">
        <v>106</v>
      </c>
      <c r="K290" s="15" t="s">
        <v>32</v>
      </c>
      <c r="L290" s="15" t="s">
        <v>33</v>
      </c>
      <c r="M290" s="15">
        <v>3</v>
      </c>
      <c r="N290" s="15">
        <v>2200</v>
      </c>
      <c r="O290" s="15">
        <v>0</v>
      </c>
      <c r="P290" s="15">
        <v>6600</v>
      </c>
      <c r="Q290" s="15">
        <v>4</v>
      </c>
      <c r="R290" s="15" t="s">
        <v>48</v>
      </c>
      <c r="S290" s="15" t="s">
        <v>61</v>
      </c>
      <c r="T290" s="15" t="s">
        <v>80</v>
      </c>
      <c r="U290" s="17" t="s">
        <v>1353</v>
      </c>
      <c r="V290" s="15" t="s">
        <v>69</v>
      </c>
    </row>
    <row r="291" spans="1:22">
      <c r="A291" s="18" t="s">
        <v>1354</v>
      </c>
      <c r="B291" s="18" t="s">
        <v>71</v>
      </c>
      <c r="C291" s="18" t="s">
        <v>118</v>
      </c>
      <c r="D291" s="18" t="s">
        <v>450</v>
      </c>
      <c r="E291" s="18" t="s">
        <v>923</v>
      </c>
      <c r="F291" s="18" t="s">
        <v>217</v>
      </c>
      <c r="G291" s="18" t="s">
        <v>76</v>
      </c>
      <c r="H291" s="18" t="s">
        <v>1355</v>
      </c>
      <c r="I291" s="18" t="s">
        <v>114</v>
      </c>
      <c r="J291" s="18" t="s">
        <v>106</v>
      </c>
      <c r="K291" s="18" t="s">
        <v>122</v>
      </c>
      <c r="L291" s="18" t="s">
        <v>123</v>
      </c>
      <c r="M291" s="18">
        <v>3</v>
      </c>
      <c r="N291" s="18">
        <v>60</v>
      </c>
      <c r="O291" s="18">
        <v>15</v>
      </c>
      <c r="P291" s="18">
        <v>153</v>
      </c>
      <c r="Q291" s="18">
        <v>4</v>
      </c>
      <c r="R291" s="18" t="s">
        <v>88</v>
      </c>
      <c r="S291" s="18" t="s">
        <v>115</v>
      </c>
      <c r="T291" s="18" t="s">
        <v>80</v>
      </c>
      <c r="U291" s="19" t="s">
        <v>1356</v>
      </c>
      <c r="V291" s="18" t="s">
        <v>38</v>
      </c>
    </row>
    <row r="292" spans="1:22">
      <c r="A292" s="15" t="s">
        <v>1357</v>
      </c>
      <c r="B292" s="15" t="s">
        <v>127</v>
      </c>
      <c r="C292" s="15" t="s">
        <v>92</v>
      </c>
      <c r="D292" s="15" t="s">
        <v>624</v>
      </c>
      <c r="E292" s="15" t="s">
        <v>825</v>
      </c>
      <c r="F292" s="15" t="s">
        <v>200</v>
      </c>
      <c r="G292" s="15" t="s">
        <v>76</v>
      </c>
      <c r="H292" s="15" t="s">
        <v>584</v>
      </c>
      <c r="I292" s="15" t="s">
        <v>105</v>
      </c>
      <c r="J292" s="15" t="s">
        <v>106</v>
      </c>
      <c r="K292" s="15" t="s">
        <v>32</v>
      </c>
      <c r="L292" s="15" t="s">
        <v>97</v>
      </c>
      <c r="M292" s="15">
        <v>9</v>
      </c>
      <c r="N292" s="15">
        <v>3500</v>
      </c>
      <c r="O292" s="15">
        <v>5</v>
      </c>
      <c r="P292" s="15">
        <v>29925</v>
      </c>
      <c r="Q292" s="15">
        <v>1</v>
      </c>
      <c r="R292" s="15" t="s">
        <v>34</v>
      </c>
      <c r="S292" s="15" t="s">
        <v>61</v>
      </c>
      <c r="T292" s="15" t="s">
        <v>132</v>
      </c>
      <c r="U292" s="17" t="s">
        <v>1358</v>
      </c>
      <c r="V292" s="15" t="s">
        <v>64</v>
      </c>
    </row>
    <row r="293" spans="1:22">
      <c r="A293" s="18" t="s">
        <v>1359</v>
      </c>
      <c r="B293" s="18" t="s">
        <v>327</v>
      </c>
      <c r="C293" s="18" t="s">
        <v>72</v>
      </c>
      <c r="D293" s="18" t="s">
        <v>120</v>
      </c>
      <c r="E293" s="18" t="s">
        <v>1360</v>
      </c>
      <c r="F293" s="18" t="s">
        <v>394</v>
      </c>
      <c r="G293" s="18" t="s">
        <v>76</v>
      </c>
      <c r="H293" s="18" t="s">
        <v>1361</v>
      </c>
      <c r="I293" s="18" t="s">
        <v>212</v>
      </c>
      <c r="J293" s="18" t="s">
        <v>45</v>
      </c>
      <c r="K293" s="18" t="s">
        <v>46</v>
      </c>
      <c r="L293" s="18" t="s">
        <v>78</v>
      </c>
      <c r="M293" s="18">
        <v>5</v>
      </c>
      <c r="N293" s="18">
        <v>1200</v>
      </c>
      <c r="O293" s="18">
        <v>20</v>
      </c>
      <c r="P293" s="18">
        <v>4800</v>
      </c>
      <c r="Q293" s="18">
        <v>2</v>
      </c>
      <c r="R293" s="18" t="s">
        <v>88</v>
      </c>
      <c r="S293" s="18" t="s">
        <v>115</v>
      </c>
      <c r="T293" s="18" t="s">
        <v>332</v>
      </c>
      <c r="U293" s="19" t="s">
        <v>1362</v>
      </c>
      <c r="V293" s="18" t="s">
        <v>64</v>
      </c>
    </row>
    <row r="294" spans="1:22">
      <c r="A294" s="15" t="s">
        <v>1363</v>
      </c>
      <c r="B294" s="15" t="s">
        <v>53</v>
      </c>
      <c r="C294" s="15" t="s">
        <v>72</v>
      </c>
      <c r="D294" s="15" t="s">
        <v>1031</v>
      </c>
      <c r="E294" s="15" t="s">
        <v>910</v>
      </c>
      <c r="F294" s="15" t="s">
        <v>163</v>
      </c>
      <c r="G294" s="15" t="s">
        <v>28</v>
      </c>
      <c r="H294" s="15" t="s">
        <v>1364</v>
      </c>
      <c r="I294" s="15" t="s">
        <v>212</v>
      </c>
      <c r="J294" s="15" t="s">
        <v>45</v>
      </c>
      <c r="K294" s="15" t="s">
        <v>46</v>
      </c>
      <c r="L294" s="15" t="s">
        <v>78</v>
      </c>
      <c r="M294" s="15">
        <v>10</v>
      </c>
      <c r="N294" s="15">
        <v>1200</v>
      </c>
      <c r="O294" s="15">
        <v>20</v>
      </c>
      <c r="P294" s="15">
        <v>9600</v>
      </c>
      <c r="Q294" s="15">
        <v>4</v>
      </c>
      <c r="R294" s="15" t="s">
        <v>34</v>
      </c>
      <c r="S294" s="15" t="s">
        <v>49</v>
      </c>
      <c r="T294" s="16" t="s">
        <v>1365</v>
      </c>
      <c r="U294" s="17" t="s">
        <v>1366</v>
      </c>
      <c r="V294" s="15" t="s">
        <v>38</v>
      </c>
    </row>
    <row r="295" spans="1:22">
      <c r="A295" s="18" t="s">
        <v>1367</v>
      </c>
      <c r="B295" s="18" t="s">
        <v>23</v>
      </c>
      <c r="C295" s="18" t="s">
        <v>72</v>
      </c>
      <c r="D295" s="18" t="s">
        <v>1368</v>
      </c>
      <c r="E295" s="18" t="s">
        <v>1369</v>
      </c>
      <c r="F295" s="18" t="s">
        <v>27</v>
      </c>
      <c r="G295" s="18" t="s">
        <v>28</v>
      </c>
      <c r="H295" s="18" t="s">
        <v>1370</v>
      </c>
      <c r="I295" s="18" t="s">
        <v>138</v>
      </c>
      <c r="J295" s="18" t="s">
        <v>106</v>
      </c>
      <c r="K295" s="18" t="s">
        <v>46</v>
      </c>
      <c r="L295" s="18" t="s">
        <v>78</v>
      </c>
      <c r="M295" s="18">
        <v>5</v>
      </c>
      <c r="N295" s="18">
        <v>1200</v>
      </c>
      <c r="O295" s="18">
        <v>20</v>
      </c>
      <c r="P295" s="18">
        <v>4800</v>
      </c>
      <c r="Q295" s="18">
        <v>3</v>
      </c>
      <c r="R295" s="18" t="s">
        <v>48</v>
      </c>
      <c r="S295" s="18" t="s">
        <v>151</v>
      </c>
      <c r="T295" s="18" t="s">
        <v>50</v>
      </c>
      <c r="U295" s="19" t="s">
        <v>1371</v>
      </c>
      <c r="V295" s="18" t="s">
        <v>38</v>
      </c>
    </row>
    <row r="296" spans="1:22">
      <c r="A296" s="15" t="s">
        <v>1372</v>
      </c>
      <c r="B296" s="15" t="s">
        <v>168</v>
      </c>
      <c r="C296" s="15" t="s">
        <v>222</v>
      </c>
      <c r="D296" s="15" t="s">
        <v>1373</v>
      </c>
      <c r="E296" s="15" t="s">
        <v>1374</v>
      </c>
      <c r="F296" s="15" t="s">
        <v>361</v>
      </c>
      <c r="G296" s="15" t="s">
        <v>28</v>
      </c>
      <c r="H296" s="15" t="s">
        <v>1375</v>
      </c>
      <c r="I296" s="15" t="s">
        <v>105</v>
      </c>
      <c r="J296" s="15" t="s">
        <v>106</v>
      </c>
      <c r="K296" s="15" t="s">
        <v>122</v>
      </c>
      <c r="L296" s="15" t="s">
        <v>227</v>
      </c>
      <c r="M296" s="15">
        <v>10</v>
      </c>
      <c r="N296" s="15">
        <v>20</v>
      </c>
      <c r="O296" s="15">
        <v>5</v>
      </c>
      <c r="P296" s="15">
        <v>190</v>
      </c>
      <c r="Q296" s="15">
        <v>4</v>
      </c>
      <c r="R296" s="15" t="s">
        <v>34</v>
      </c>
      <c r="S296" s="15" t="s">
        <v>151</v>
      </c>
      <c r="T296" s="15" t="s">
        <v>175</v>
      </c>
      <c r="U296" s="17" t="s">
        <v>1376</v>
      </c>
      <c r="V296" s="15" t="s">
        <v>64</v>
      </c>
    </row>
    <row r="297" spans="1:22">
      <c r="A297" s="18" t="s">
        <v>1377</v>
      </c>
      <c r="B297" s="18" t="s">
        <v>100</v>
      </c>
      <c r="C297" s="18" t="s">
        <v>118</v>
      </c>
      <c r="D297" s="18" t="s">
        <v>1378</v>
      </c>
      <c r="E297" s="18" t="s">
        <v>1379</v>
      </c>
      <c r="F297" s="18" t="s">
        <v>103</v>
      </c>
      <c r="G297" s="18" t="s">
        <v>28</v>
      </c>
      <c r="H297" s="18" t="s">
        <v>1380</v>
      </c>
      <c r="I297" s="18" t="s">
        <v>44</v>
      </c>
      <c r="J297" s="18" t="s">
        <v>45</v>
      </c>
      <c r="K297" s="18" t="s">
        <v>122</v>
      </c>
      <c r="L297" s="18" t="s">
        <v>123</v>
      </c>
      <c r="M297" s="18">
        <v>20</v>
      </c>
      <c r="N297" s="18">
        <v>60</v>
      </c>
      <c r="O297" s="18">
        <v>15</v>
      </c>
      <c r="P297" s="18">
        <v>1020</v>
      </c>
      <c r="Q297" s="18">
        <v>5</v>
      </c>
      <c r="R297" s="18" t="s">
        <v>79</v>
      </c>
      <c r="S297" s="18" t="s">
        <v>35</v>
      </c>
      <c r="T297" s="18" t="s">
        <v>144</v>
      </c>
      <c r="U297" s="19" t="s">
        <v>1381</v>
      </c>
      <c r="V297" s="18" t="s">
        <v>64</v>
      </c>
    </row>
    <row r="298" spans="1:22">
      <c r="A298" s="15" t="s">
        <v>1382</v>
      </c>
      <c r="B298" s="15" t="s">
        <v>327</v>
      </c>
      <c r="C298" s="15" t="s">
        <v>24</v>
      </c>
      <c r="D298" s="15" t="s">
        <v>1360</v>
      </c>
      <c r="E298" s="15" t="s">
        <v>577</v>
      </c>
      <c r="F298" s="15" t="s">
        <v>394</v>
      </c>
      <c r="G298" s="15" t="s">
        <v>76</v>
      </c>
      <c r="H298" s="15" t="s">
        <v>1383</v>
      </c>
      <c r="I298" s="15" t="s">
        <v>138</v>
      </c>
      <c r="J298" s="15" t="s">
        <v>106</v>
      </c>
      <c r="K298" s="15" t="s">
        <v>32</v>
      </c>
      <c r="L298" s="15" t="s">
        <v>33</v>
      </c>
      <c r="M298" s="15">
        <v>7</v>
      </c>
      <c r="N298" s="15">
        <v>2200</v>
      </c>
      <c r="O298" s="15">
        <v>15</v>
      </c>
      <c r="P298" s="15">
        <v>13090</v>
      </c>
      <c r="Q298" s="15">
        <v>4</v>
      </c>
      <c r="R298" s="15" t="s">
        <v>34</v>
      </c>
      <c r="S298" s="15" t="s">
        <v>61</v>
      </c>
      <c r="T298" s="15" t="s">
        <v>332</v>
      </c>
      <c r="U298" s="17" t="s">
        <v>1384</v>
      </c>
      <c r="V298" s="15" t="s">
        <v>69</v>
      </c>
    </row>
    <row r="299" spans="1:22">
      <c r="A299" s="18" t="s">
        <v>1385</v>
      </c>
      <c r="B299" s="18" t="s">
        <v>127</v>
      </c>
      <c r="C299" s="18" t="s">
        <v>54</v>
      </c>
      <c r="D299" s="18" t="s">
        <v>619</v>
      </c>
      <c r="E299" s="18" t="s">
        <v>760</v>
      </c>
      <c r="F299" s="18" t="s">
        <v>200</v>
      </c>
      <c r="G299" s="18" t="s">
        <v>76</v>
      </c>
      <c r="H299" s="18" t="s">
        <v>1386</v>
      </c>
      <c r="I299" s="18" t="s">
        <v>30</v>
      </c>
      <c r="J299" s="18" t="s">
        <v>31</v>
      </c>
      <c r="K299" s="18" t="s">
        <v>46</v>
      </c>
      <c r="L299" s="18" t="s">
        <v>60</v>
      </c>
      <c r="M299" s="18">
        <v>11</v>
      </c>
      <c r="N299" s="18">
        <v>55000</v>
      </c>
      <c r="O299" s="18">
        <v>5</v>
      </c>
      <c r="P299" s="18">
        <v>574750</v>
      </c>
      <c r="Q299" s="18">
        <v>1</v>
      </c>
      <c r="R299" s="18" t="s">
        <v>88</v>
      </c>
      <c r="S299" s="18" t="s">
        <v>35</v>
      </c>
      <c r="T299" s="18" t="s">
        <v>132</v>
      </c>
      <c r="U299" s="19" t="s">
        <v>1387</v>
      </c>
      <c r="V299" s="18" t="s">
        <v>69</v>
      </c>
    </row>
    <row r="300" spans="1:22">
      <c r="A300" s="15" t="s">
        <v>1388</v>
      </c>
      <c r="B300" s="15" t="s">
        <v>83</v>
      </c>
      <c r="C300" s="15" t="s">
        <v>92</v>
      </c>
      <c r="D300" s="15" t="s">
        <v>308</v>
      </c>
      <c r="E300" s="15" t="s">
        <v>1389</v>
      </c>
      <c r="F300" s="15" t="s">
        <v>180</v>
      </c>
      <c r="G300" s="15" t="s">
        <v>76</v>
      </c>
      <c r="H300" s="15" t="s">
        <v>1390</v>
      </c>
      <c r="I300" s="15" t="s">
        <v>212</v>
      </c>
      <c r="J300" s="15" t="s">
        <v>45</v>
      </c>
      <c r="K300" s="15" t="s">
        <v>32</v>
      </c>
      <c r="L300" s="15" t="s">
        <v>97</v>
      </c>
      <c r="M300" s="15">
        <v>12</v>
      </c>
      <c r="N300" s="15">
        <v>3500</v>
      </c>
      <c r="O300" s="15">
        <v>0</v>
      </c>
      <c r="P300" s="15">
        <v>42000</v>
      </c>
      <c r="Q300" s="15">
        <v>2</v>
      </c>
      <c r="R300" s="15" t="s">
        <v>48</v>
      </c>
      <c r="S300" s="15"/>
      <c r="T300" s="15" t="s">
        <v>89</v>
      </c>
      <c r="U300" s="17" t="s">
        <v>1391</v>
      </c>
      <c r="V300" s="15" t="s">
        <v>64</v>
      </c>
    </row>
    <row r="301" spans="1:22">
      <c r="A301" s="18" t="s">
        <v>1392</v>
      </c>
      <c r="B301" s="18" t="s">
        <v>71</v>
      </c>
      <c r="C301" s="18" t="s">
        <v>259</v>
      </c>
      <c r="D301" s="18" t="s">
        <v>94</v>
      </c>
      <c r="E301" s="18" t="s">
        <v>298</v>
      </c>
      <c r="F301" s="18" t="s">
        <v>217</v>
      </c>
      <c r="G301" s="18" t="s">
        <v>76</v>
      </c>
      <c r="H301" s="18" t="s">
        <v>1393</v>
      </c>
      <c r="I301" s="18" t="s">
        <v>30</v>
      </c>
      <c r="J301" s="18" t="s">
        <v>31</v>
      </c>
      <c r="K301" s="18" t="s">
        <v>122</v>
      </c>
      <c r="L301" s="18" t="s">
        <v>263</v>
      </c>
      <c r="M301" s="18">
        <v>15</v>
      </c>
      <c r="N301" s="18">
        <v>45</v>
      </c>
      <c r="O301" s="18">
        <v>10</v>
      </c>
      <c r="P301" s="18">
        <v>607.5</v>
      </c>
      <c r="Q301" s="18">
        <v>2</v>
      </c>
      <c r="R301" s="18" t="s">
        <v>34</v>
      </c>
      <c r="S301" s="18" t="s">
        <v>151</v>
      </c>
      <c r="T301" s="18" t="s">
        <v>80</v>
      </c>
      <c r="U301" s="19" t="s">
        <v>1394</v>
      </c>
      <c r="V301" s="18" t="s">
        <v>64</v>
      </c>
    </row>
    <row r="302" spans="1:22">
      <c r="A302" s="15" t="s">
        <v>1395</v>
      </c>
      <c r="B302" s="15" t="s">
        <v>327</v>
      </c>
      <c r="C302" s="15" t="s">
        <v>259</v>
      </c>
      <c r="D302" s="15" t="s">
        <v>1320</v>
      </c>
      <c r="E302" s="15" t="s">
        <v>936</v>
      </c>
      <c r="F302" s="15" t="s">
        <v>394</v>
      </c>
      <c r="G302" s="15" t="s">
        <v>76</v>
      </c>
      <c r="H302" s="15" t="s">
        <v>1396</v>
      </c>
      <c r="I302" s="15" t="s">
        <v>59</v>
      </c>
      <c r="J302" s="15" t="s">
        <v>31</v>
      </c>
      <c r="K302" s="15" t="s">
        <v>122</v>
      </c>
      <c r="L302" s="15" t="s">
        <v>263</v>
      </c>
      <c r="M302" s="15">
        <v>13</v>
      </c>
      <c r="N302" s="15">
        <v>45</v>
      </c>
      <c r="O302" s="15">
        <v>0</v>
      </c>
      <c r="P302" s="15">
        <v>585</v>
      </c>
      <c r="Q302" s="15">
        <v>5</v>
      </c>
      <c r="R302" s="15" t="s">
        <v>48</v>
      </c>
      <c r="S302" s="15" t="s">
        <v>49</v>
      </c>
      <c r="T302" s="15" t="s">
        <v>332</v>
      </c>
      <c r="U302" s="17" t="s">
        <v>1397</v>
      </c>
      <c r="V302" s="15" t="s">
        <v>64</v>
      </c>
    </row>
    <row r="303" spans="1:22">
      <c r="A303" s="18" t="s">
        <v>1398</v>
      </c>
      <c r="B303" s="18" t="s">
        <v>127</v>
      </c>
      <c r="C303" s="18" t="s">
        <v>54</v>
      </c>
      <c r="D303" s="18" t="s">
        <v>711</v>
      </c>
      <c r="E303" s="18" t="s">
        <v>1199</v>
      </c>
      <c r="F303" s="18" t="s">
        <v>200</v>
      </c>
      <c r="G303" s="18" t="s">
        <v>76</v>
      </c>
      <c r="H303" s="18" t="s">
        <v>1399</v>
      </c>
      <c r="I303" s="18" t="s">
        <v>59</v>
      </c>
      <c r="J303" s="18" t="s">
        <v>31</v>
      </c>
      <c r="K303" s="18" t="s">
        <v>46</v>
      </c>
      <c r="L303" s="18" t="s">
        <v>60</v>
      </c>
      <c r="M303" s="18">
        <v>8</v>
      </c>
      <c r="N303" s="18">
        <v>55000</v>
      </c>
      <c r="O303" s="18">
        <v>0</v>
      </c>
      <c r="P303" s="18">
        <v>440000</v>
      </c>
      <c r="Q303" s="18">
        <v>2</v>
      </c>
      <c r="R303" s="18" t="s">
        <v>88</v>
      </c>
      <c r="S303" s="18" t="s">
        <v>151</v>
      </c>
      <c r="T303" s="18" t="s">
        <v>132</v>
      </c>
      <c r="U303" s="19" t="s">
        <v>1400</v>
      </c>
      <c r="V303" s="18" t="s">
        <v>69</v>
      </c>
    </row>
    <row r="304" spans="1:22">
      <c r="A304" s="15" t="s">
        <v>1401</v>
      </c>
      <c r="B304" s="15" t="s">
        <v>251</v>
      </c>
      <c r="C304" s="15" t="s">
        <v>54</v>
      </c>
      <c r="D304" s="15" t="s">
        <v>830</v>
      </c>
      <c r="E304" s="15" t="s">
        <v>381</v>
      </c>
      <c r="F304" s="15" t="s">
        <v>254</v>
      </c>
      <c r="G304" s="15" t="s">
        <v>28</v>
      </c>
      <c r="H304" s="15" t="s">
        <v>1402</v>
      </c>
      <c r="I304" s="15" t="s">
        <v>44</v>
      </c>
      <c r="J304" s="15" t="s">
        <v>45</v>
      </c>
      <c r="K304" s="15" t="s">
        <v>46</v>
      </c>
      <c r="L304" s="15" t="s">
        <v>60</v>
      </c>
      <c r="M304" s="15">
        <v>4</v>
      </c>
      <c r="N304" s="15">
        <v>55000</v>
      </c>
      <c r="O304" s="15">
        <v>20</v>
      </c>
      <c r="P304" s="15">
        <v>176000</v>
      </c>
      <c r="Q304" s="15">
        <v>5</v>
      </c>
      <c r="R304" s="15" t="s">
        <v>34</v>
      </c>
      <c r="S304" s="15" t="s">
        <v>49</v>
      </c>
      <c r="T304" s="15" t="s">
        <v>256</v>
      </c>
      <c r="U304" s="17" t="s">
        <v>1403</v>
      </c>
      <c r="V304" s="15" t="s">
        <v>64</v>
      </c>
    </row>
    <row r="305" spans="1:22">
      <c r="A305" s="18" t="s">
        <v>1404</v>
      </c>
      <c r="B305" s="18" t="s">
        <v>23</v>
      </c>
      <c r="C305" s="18" t="s">
        <v>92</v>
      </c>
      <c r="D305" s="18" t="s">
        <v>1405</v>
      </c>
      <c r="E305" s="18" t="s">
        <v>716</v>
      </c>
      <c r="F305" s="18" t="s">
        <v>27</v>
      </c>
      <c r="G305" s="18" t="s">
        <v>28</v>
      </c>
      <c r="H305" s="18" t="s">
        <v>1406</v>
      </c>
      <c r="I305" s="18" t="s">
        <v>138</v>
      </c>
      <c r="J305" s="18" t="s">
        <v>106</v>
      </c>
      <c r="K305" s="18" t="s">
        <v>32</v>
      </c>
      <c r="L305" s="18" t="s">
        <v>97</v>
      </c>
      <c r="M305" s="18">
        <v>19</v>
      </c>
      <c r="N305" s="18">
        <v>3500</v>
      </c>
      <c r="O305" s="18">
        <v>5</v>
      </c>
      <c r="P305" s="18">
        <v>63175</v>
      </c>
      <c r="Q305" s="18">
        <v>1</v>
      </c>
      <c r="R305" s="18" t="s">
        <v>79</v>
      </c>
      <c r="S305" s="18" t="s">
        <v>115</v>
      </c>
      <c r="T305" s="18" t="s">
        <v>50</v>
      </c>
      <c r="U305" s="19" t="s">
        <v>1407</v>
      </c>
      <c r="V305" s="18" t="s">
        <v>38</v>
      </c>
    </row>
    <row r="306" spans="1:22">
      <c r="A306" s="15" t="s">
        <v>1408</v>
      </c>
      <c r="B306" s="15" t="s">
        <v>221</v>
      </c>
      <c r="C306" s="15" t="s">
        <v>72</v>
      </c>
      <c r="D306" s="15" t="s">
        <v>1409</v>
      </c>
      <c r="E306" s="15" t="s">
        <v>414</v>
      </c>
      <c r="F306" s="15" t="s">
        <v>225</v>
      </c>
      <c r="G306" s="15" t="s">
        <v>76</v>
      </c>
      <c r="H306" s="15" t="s">
        <v>1410</v>
      </c>
      <c r="I306" s="15" t="s">
        <v>212</v>
      </c>
      <c r="J306" s="15" t="s">
        <v>45</v>
      </c>
      <c r="K306" s="15" t="s">
        <v>46</v>
      </c>
      <c r="L306" s="15" t="s">
        <v>78</v>
      </c>
      <c r="M306" s="15">
        <v>17</v>
      </c>
      <c r="N306" s="15">
        <v>1200</v>
      </c>
      <c r="O306" s="15">
        <v>15</v>
      </c>
      <c r="P306" s="15">
        <v>17340</v>
      </c>
      <c r="Q306" s="15">
        <v>2</v>
      </c>
      <c r="R306" s="15" t="s">
        <v>48</v>
      </c>
      <c r="S306" s="15" t="s">
        <v>49</v>
      </c>
      <c r="T306" s="15" t="s">
        <v>228</v>
      </c>
      <c r="U306" s="17" t="s">
        <v>1411</v>
      </c>
      <c r="V306" s="15" t="s">
        <v>38</v>
      </c>
    </row>
    <row r="307" spans="1:22">
      <c r="A307" s="18" t="s">
        <v>1412</v>
      </c>
      <c r="B307" s="18" t="s">
        <v>23</v>
      </c>
      <c r="C307" s="18" t="s">
        <v>24</v>
      </c>
      <c r="D307" s="18" t="s">
        <v>450</v>
      </c>
      <c r="E307" s="18" t="s">
        <v>736</v>
      </c>
      <c r="F307" s="18" t="s">
        <v>27</v>
      </c>
      <c r="G307" s="18" t="s">
        <v>28</v>
      </c>
      <c r="H307" s="18" t="s">
        <v>1413</v>
      </c>
      <c r="I307" s="18" t="s">
        <v>30</v>
      </c>
      <c r="J307" s="18" t="s">
        <v>31</v>
      </c>
      <c r="K307" s="18" t="s">
        <v>32</v>
      </c>
      <c r="L307" s="18" t="s">
        <v>33</v>
      </c>
      <c r="M307" s="18">
        <v>8</v>
      </c>
      <c r="N307" s="18">
        <v>2200</v>
      </c>
      <c r="O307" s="18">
        <v>5</v>
      </c>
      <c r="P307" s="18">
        <v>16720</v>
      </c>
      <c r="Q307" s="18">
        <v>3</v>
      </c>
      <c r="R307" s="18" t="s">
        <v>79</v>
      </c>
      <c r="S307" s="18" t="s">
        <v>115</v>
      </c>
      <c r="T307" s="18" t="s">
        <v>50</v>
      </c>
      <c r="U307" s="19" t="s">
        <v>1414</v>
      </c>
      <c r="V307" s="18" t="s">
        <v>64</v>
      </c>
    </row>
    <row r="308" spans="1:22">
      <c r="A308" s="15" t="s">
        <v>1415</v>
      </c>
      <c r="B308" s="15" t="s">
        <v>251</v>
      </c>
      <c r="C308" s="15" t="s">
        <v>184</v>
      </c>
      <c r="D308" s="15" t="s">
        <v>987</v>
      </c>
      <c r="E308" s="15" t="s">
        <v>387</v>
      </c>
      <c r="F308" s="15" t="s">
        <v>254</v>
      </c>
      <c r="G308" s="15" t="s">
        <v>28</v>
      </c>
      <c r="H308" s="15" t="s">
        <v>813</v>
      </c>
      <c r="I308" s="15" t="s">
        <v>105</v>
      </c>
      <c r="J308" s="15" t="s">
        <v>106</v>
      </c>
      <c r="K308" s="15" t="s">
        <v>46</v>
      </c>
      <c r="L308" s="15" t="s">
        <v>189</v>
      </c>
      <c r="M308" s="15">
        <v>17</v>
      </c>
      <c r="N308" s="15">
        <v>700</v>
      </c>
      <c r="O308" s="15">
        <v>20</v>
      </c>
      <c r="P308" s="15">
        <v>9520</v>
      </c>
      <c r="Q308" s="15">
        <v>4</v>
      </c>
      <c r="R308" s="15" t="s">
        <v>48</v>
      </c>
      <c r="S308" s="15" t="s">
        <v>115</v>
      </c>
      <c r="T308" s="15" t="s">
        <v>256</v>
      </c>
      <c r="U308" s="17" t="s">
        <v>1416</v>
      </c>
      <c r="V308" s="15" t="s">
        <v>38</v>
      </c>
    </row>
    <row r="309" spans="1:22">
      <c r="A309" s="18" t="s">
        <v>1417</v>
      </c>
      <c r="B309" s="18" t="s">
        <v>251</v>
      </c>
      <c r="C309" s="18" t="s">
        <v>169</v>
      </c>
      <c r="D309" s="18" t="s">
        <v>372</v>
      </c>
      <c r="E309" s="18" t="s">
        <v>246</v>
      </c>
      <c r="F309" s="18" t="s">
        <v>254</v>
      </c>
      <c r="G309" s="18" t="s">
        <v>28</v>
      </c>
      <c r="H309" s="18" t="s">
        <v>1215</v>
      </c>
      <c r="I309" s="18" t="s">
        <v>114</v>
      </c>
      <c r="J309" s="18" t="s">
        <v>106</v>
      </c>
      <c r="K309" s="18" t="s">
        <v>32</v>
      </c>
      <c r="L309" s="18" t="s">
        <v>174</v>
      </c>
      <c r="M309" s="18">
        <v>6</v>
      </c>
      <c r="N309" s="18">
        <v>8500</v>
      </c>
      <c r="O309" s="18">
        <v>15</v>
      </c>
      <c r="P309" s="18">
        <v>43350</v>
      </c>
      <c r="Q309" s="18">
        <v>1</v>
      </c>
      <c r="R309" s="18" t="s">
        <v>34</v>
      </c>
      <c r="S309" s="18" t="s">
        <v>61</v>
      </c>
      <c r="T309" s="18" t="s">
        <v>256</v>
      </c>
      <c r="U309" s="19" t="s">
        <v>1418</v>
      </c>
      <c r="V309" s="18" t="s">
        <v>38</v>
      </c>
    </row>
    <row r="310" spans="1:22">
      <c r="A310" s="15" t="s">
        <v>1419</v>
      </c>
      <c r="B310" s="15" t="s">
        <v>53</v>
      </c>
      <c r="C310" s="15" t="s">
        <v>92</v>
      </c>
      <c r="D310" s="15" t="s">
        <v>941</v>
      </c>
      <c r="E310" s="15" t="s">
        <v>345</v>
      </c>
      <c r="F310" s="15" t="s">
        <v>163</v>
      </c>
      <c r="G310" s="15" t="s">
        <v>28</v>
      </c>
      <c r="H310" s="15" t="s">
        <v>1420</v>
      </c>
      <c r="I310" s="15" t="s">
        <v>30</v>
      </c>
      <c r="J310" s="15" t="s">
        <v>31</v>
      </c>
      <c r="K310" s="15" t="s">
        <v>32</v>
      </c>
      <c r="L310" s="15" t="s">
        <v>97</v>
      </c>
      <c r="M310" s="15">
        <v>3</v>
      </c>
      <c r="N310" s="15">
        <v>3500</v>
      </c>
      <c r="O310" s="15">
        <v>10</v>
      </c>
      <c r="P310" s="15">
        <v>9450</v>
      </c>
      <c r="Q310" s="15">
        <v>1</v>
      </c>
      <c r="R310" s="15" t="s">
        <v>48</v>
      </c>
      <c r="S310" s="15" t="s">
        <v>49</v>
      </c>
      <c r="T310" s="15" t="s">
        <v>62</v>
      </c>
      <c r="U310" s="17" t="s">
        <v>1421</v>
      </c>
      <c r="V310" s="15" t="s">
        <v>38</v>
      </c>
    </row>
    <row r="311" spans="1:22">
      <c r="A311" s="18" t="s">
        <v>1422</v>
      </c>
      <c r="B311" s="18" t="s">
        <v>71</v>
      </c>
      <c r="C311" s="18" t="s">
        <v>40</v>
      </c>
      <c r="D311" s="18" t="s">
        <v>1378</v>
      </c>
      <c r="E311" s="18" t="s">
        <v>783</v>
      </c>
      <c r="F311" s="18" t="s">
        <v>217</v>
      </c>
      <c r="G311" s="18" t="s">
        <v>76</v>
      </c>
      <c r="H311" s="18" t="s">
        <v>1423</v>
      </c>
      <c r="I311" s="18" t="s">
        <v>138</v>
      </c>
      <c r="J311" s="18" t="s">
        <v>106</v>
      </c>
      <c r="K311" s="18" t="s">
        <v>46</v>
      </c>
      <c r="L311" s="18" t="s">
        <v>47</v>
      </c>
      <c r="M311" s="18">
        <v>2</v>
      </c>
      <c r="N311" s="18">
        <v>12000</v>
      </c>
      <c r="O311" s="18">
        <v>20</v>
      </c>
      <c r="P311" s="18">
        <v>19200</v>
      </c>
      <c r="Q311" s="18">
        <v>1</v>
      </c>
      <c r="R311" s="18" t="s">
        <v>79</v>
      </c>
      <c r="S311" s="18" t="s">
        <v>61</v>
      </c>
      <c r="T311" s="18" t="s">
        <v>80</v>
      </c>
      <c r="U311" s="19" t="s">
        <v>1424</v>
      </c>
      <c r="V311" s="18" t="s">
        <v>38</v>
      </c>
    </row>
    <row r="312" spans="1:22">
      <c r="A312" s="15" t="s">
        <v>1425</v>
      </c>
      <c r="B312" s="15" t="s">
        <v>221</v>
      </c>
      <c r="C312" s="15" t="s">
        <v>222</v>
      </c>
      <c r="D312" s="15" t="s">
        <v>340</v>
      </c>
      <c r="E312" s="15" t="s">
        <v>1426</v>
      </c>
      <c r="F312" s="15" t="s">
        <v>225</v>
      </c>
      <c r="G312" s="15" t="s">
        <v>76</v>
      </c>
      <c r="H312" s="15" t="s">
        <v>1427</v>
      </c>
      <c r="I312" s="15" t="s">
        <v>44</v>
      </c>
      <c r="J312" s="15" t="s">
        <v>45</v>
      </c>
      <c r="K312" s="15" t="s">
        <v>122</v>
      </c>
      <c r="L312" s="15" t="s">
        <v>227</v>
      </c>
      <c r="M312" s="15">
        <v>12</v>
      </c>
      <c r="N312" s="15">
        <v>20</v>
      </c>
      <c r="O312" s="15">
        <v>20</v>
      </c>
      <c r="P312" s="15">
        <v>192</v>
      </c>
      <c r="Q312" s="15">
        <v>2</v>
      </c>
      <c r="R312" s="15" t="s">
        <v>79</v>
      </c>
      <c r="S312" s="15" t="s">
        <v>49</v>
      </c>
      <c r="T312" s="15" t="s">
        <v>228</v>
      </c>
      <c r="U312" s="17" t="s">
        <v>1428</v>
      </c>
      <c r="V312" s="15" t="s">
        <v>38</v>
      </c>
    </row>
    <row r="313" spans="1:22">
      <c r="A313" s="18" t="s">
        <v>1429</v>
      </c>
      <c r="B313" s="18" t="s">
        <v>100</v>
      </c>
      <c r="C313" s="18" t="s">
        <v>40</v>
      </c>
      <c r="D313" s="18" t="s">
        <v>716</v>
      </c>
      <c r="E313" s="18" t="s">
        <v>1430</v>
      </c>
      <c r="F313" s="18" t="s">
        <v>103</v>
      </c>
      <c r="G313" s="18" t="s">
        <v>28</v>
      </c>
      <c r="H313" s="18" t="s">
        <v>1431</v>
      </c>
      <c r="I313" s="18" t="s">
        <v>294</v>
      </c>
      <c r="J313" s="18" t="s">
        <v>295</v>
      </c>
      <c r="K313" s="18" t="s">
        <v>46</v>
      </c>
      <c r="L313" s="18" t="s">
        <v>47</v>
      </c>
      <c r="M313" s="18">
        <v>20</v>
      </c>
      <c r="N313" s="18">
        <v>12000</v>
      </c>
      <c r="O313" s="18">
        <v>15</v>
      </c>
      <c r="P313" s="18">
        <v>204000</v>
      </c>
      <c r="Q313" s="18">
        <v>3</v>
      </c>
      <c r="R313" s="18" t="s">
        <v>34</v>
      </c>
      <c r="S313" s="18" t="s">
        <v>35</v>
      </c>
      <c r="T313" s="18" t="s">
        <v>144</v>
      </c>
      <c r="U313" s="19" t="s">
        <v>1432</v>
      </c>
      <c r="V313" s="18" t="s">
        <v>64</v>
      </c>
    </row>
    <row r="314" spans="1:22">
      <c r="A314" s="15" t="s">
        <v>1433</v>
      </c>
      <c r="B314" s="15" t="s">
        <v>53</v>
      </c>
      <c r="C314" s="15" t="s">
        <v>118</v>
      </c>
      <c r="D314" s="15" t="s">
        <v>398</v>
      </c>
      <c r="E314" s="15" t="s">
        <v>740</v>
      </c>
      <c r="F314" s="15" t="s">
        <v>163</v>
      </c>
      <c r="G314" s="15" t="s">
        <v>28</v>
      </c>
      <c r="H314" s="15" t="s">
        <v>1434</v>
      </c>
      <c r="I314" s="15" t="s">
        <v>212</v>
      </c>
      <c r="J314" s="15" t="s">
        <v>45</v>
      </c>
      <c r="K314" s="15" t="s">
        <v>122</v>
      </c>
      <c r="L314" s="15" t="s">
        <v>123</v>
      </c>
      <c r="M314" s="15">
        <v>13</v>
      </c>
      <c r="N314" s="15">
        <v>60</v>
      </c>
      <c r="O314" s="15">
        <v>10</v>
      </c>
      <c r="P314" s="15">
        <v>702</v>
      </c>
      <c r="Q314" s="15">
        <v>5</v>
      </c>
      <c r="R314" s="15" t="s">
        <v>34</v>
      </c>
      <c r="S314" s="15" t="s">
        <v>35</v>
      </c>
      <c r="T314" s="15" t="s">
        <v>62</v>
      </c>
      <c r="U314" s="17" t="s">
        <v>1435</v>
      </c>
      <c r="V314" s="15" t="s">
        <v>64</v>
      </c>
    </row>
    <row r="315" spans="1:22">
      <c r="A315" s="18" t="s">
        <v>1436</v>
      </c>
      <c r="B315" s="18" t="s">
        <v>71</v>
      </c>
      <c r="C315" s="18" t="s">
        <v>54</v>
      </c>
      <c r="D315" s="18" t="s">
        <v>1437</v>
      </c>
      <c r="E315" s="18" t="s">
        <v>1294</v>
      </c>
      <c r="F315" s="18" t="s">
        <v>217</v>
      </c>
      <c r="G315" s="18" t="s">
        <v>76</v>
      </c>
      <c r="H315" s="18" t="s">
        <v>1438</v>
      </c>
      <c r="I315" s="18" t="s">
        <v>114</v>
      </c>
      <c r="J315" s="18" t="s">
        <v>106</v>
      </c>
      <c r="K315" s="18" t="s">
        <v>46</v>
      </c>
      <c r="L315" s="18" t="s">
        <v>60</v>
      </c>
      <c r="M315" s="18">
        <v>13</v>
      </c>
      <c r="N315" s="18">
        <v>55000</v>
      </c>
      <c r="O315" s="18">
        <v>5</v>
      </c>
      <c r="P315" s="18">
        <v>679250</v>
      </c>
      <c r="Q315" s="18">
        <v>1</v>
      </c>
      <c r="R315" s="18" t="s">
        <v>88</v>
      </c>
      <c r="S315" s="18" t="s">
        <v>151</v>
      </c>
      <c r="T315" s="18" t="s">
        <v>80</v>
      </c>
      <c r="U315" s="19" t="s">
        <v>1439</v>
      </c>
      <c r="V315" s="18" t="s">
        <v>64</v>
      </c>
    </row>
    <row r="316" spans="1:22">
      <c r="A316" s="15" t="s">
        <v>1440</v>
      </c>
      <c r="B316" s="15" t="s">
        <v>100</v>
      </c>
      <c r="C316" s="15" t="s">
        <v>72</v>
      </c>
      <c r="D316" s="15" t="s">
        <v>797</v>
      </c>
      <c r="E316" s="15" t="s">
        <v>798</v>
      </c>
      <c r="F316" s="15" t="s">
        <v>103</v>
      </c>
      <c r="G316" s="15" t="s">
        <v>28</v>
      </c>
      <c r="H316" s="15" t="s">
        <v>1441</v>
      </c>
      <c r="I316" s="15" t="s">
        <v>59</v>
      </c>
      <c r="J316" s="15" t="s">
        <v>31</v>
      </c>
      <c r="K316" s="15" t="s">
        <v>46</v>
      </c>
      <c r="L316" s="15" t="s">
        <v>78</v>
      </c>
      <c r="M316" s="15">
        <v>7</v>
      </c>
      <c r="N316" s="15">
        <v>1200</v>
      </c>
      <c r="O316" s="15">
        <v>15</v>
      </c>
      <c r="P316" s="15">
        <v>7140</v>
      </c>
      <c r="Q316" s="15">
        <v>5</v>
      </c>
      <c r="R316" s="15" t="s">
        <v>88</v>
      </c>
      <c r="S316" s="15" t="s">
        <v>49</v>
      </c>
      <c r="T316" s="15" t="s">
        <v>144</v>
      </c>
      <c r="U316" s="17" t="s">
        <v>1442</v>
      </c>
      <c r="V316" s="15" t="s">
        <v>64</v>
      </c>
    </row>
    <row r="317" spans="1:22">
      <c r="A317" s="18" t="s">
        <v>1443</v>
      </c>
      <c r="B317" s="18" t="s">
        <v>83</v>
      </c>
      <c r="C317" s="18" t="s">
        <v>40</v>
      </c>
      <c r="D317" s="18" t="s">
        <v>961</v>
      </c>
      <c r="E317" s="18" t="s">
        <v>1444</v>
      </c>
      <c r="F317" s="18" t="s">
        <v>180</v>
      </c>
      <c r="G317" s="18" t="s">
        <v>76</v>
      </c>
      <c r="H317" s="18" t="s">
        <v>1445</v>
      </c>
      <c r="I317" s="18" t="s">
        <v>212</v>
      </c>
      <c r="J317" s="18" t="s">
        <v>45</v>
      </c>
      <c r="K317" s="18" t="s">
        <v>46</v>
      </c>
      <c r="L317" s="18" t="s">
        <v>47</v>
      </c>
      <c r="M317" s="18">
        <v>17</v>
      </c>
      <c r="N317" s="18">
        <v>12000</v>
      </c>
      <c r="O317" s="18">
        <v>5</v>
      </c>
      <c r="P317" s="18">
        <v>193800</v>
      </c>
      <c r="Q317" s="18">
        <v>1</v>
      </c>
      <c r="R317" s="18" t="s">
        <v>34</v>
      </c>
      <c r="S317" s="18" t="s">
        <v>61</v>
      </c>
      <c r="T317" s="18" t="s">
        <v>89</v>
      </c>
      <c r="U317" s="19" t="s">
        <v>1446</v>
      </c>
      <c r="V317" s="18" t="s">
        <v>69</v>
      </c>
    </row>
    <row r="318" spans="1:22">
      <c r="A318" s="15" t="s">
        <v>1447</v>
      </c>
      <c r="B318" s="15" t="s">
        <v>83</v>
      </c>
      <c r="C318" s="15" t="s">
        <v>222</v>
      </c>
      <c r="D318" s="15" t="s">
        <v>356</v>
      </c>
      <c r="E318" s="15" t="s">
        <v>517</v>
      </c>
      <c r="F318" s="15" t="s">
        <v>180</v>
      </c>
      <c r="G318" s="15" t="s">
        <v>76</v>
      </c>
      <c r="H318" s="15" t="s">
        <v>1448</v>
      </c>
      <c r="I318" s="15" t="s">
        <v>59</v>
      </c>
      <c r="J318" s="15" t="s">
        <v>31</v>
      </c>
      <c r="K318" s="15" t="s">
        <v>122</v>
      </c>
      <c r="L318" s="15" t="s">
        <v>227</v>
      </c>
      <c r="M318" s="15">
        <v>10</v>
      </c>
      <c r="N318" s="15">
        <v>20</v>
      </c>
      <c r="O318" s="15">
        <v>5</v>
      </c>
      <c r="P318" s="15">
        <v>190</v>
      </c>
      <c r="Q318" s="15">
        <v>2</v>
      </c>
      <c r="R318" s="15" t="s">
        <v>34</v>
      </c>
      <c r="S318" s="15" t="s">
        <v>61</v>
      </c>
      <c r="T318" s="15" t="s">
        <v>89</v>
      </c>
      <c r="U318" s="17" t="s">
        <v>1449</v>
      </c>
      <c r="V318" s="15" t="s">
        <v>69</v>
      </c>
    </row>
    <row r="319" spans="1:22">
      <c r="A319" s="18" t="s">
        <v>1450</v>
      </c>
      <c r="B319" s="18" t="s">
        <v>168</v>
      </c>
      <c r="C319" s="18" t="s">
        <v>24</v>
      </c>
      <c r="D319" s="18" t="s">
        <v>291</v>
      </c>
      <c r="E319" s="18" t="s">
        <v>1451</v>
      </c>
      <c r="F319" s="18" t="s">
        <v>361</v>
      </c>
      <c r="G319" s="18" t="s">
        <v>28</v>
      </c>
      <c r="H319" s="18" t="s">
        <v>1452</v>
      </c>
      <c r="I319" s="18" t="s">
        <v>44</v>
      </c>
      <c r="J319" s="18" t="s">
        <v>45</v>
      </c>
      <c r="K319" s="18" t="s">
        <v>32</v>
      </c>
      <c r="L319" s="18" t="s">
        <v>33</v>
      </c>
      <c r="M319" s="18">
        <v>11</v>
      </c>
      <c r="N319" s="18">
        <v>2200</v>
      </c>
      <c r="O319" s="18">
        <v>5</v>
      </c>
      <c r="P319" s="18">
        <v>22990</v>
      </c>
      <c r="Q319" s="18">
        <v>5</v>
      </c>
      <c r="R319" s="18" t="s">
        <v>79</v>
      </c>
      <c r="S319" s="18" t="s">
        <v>49</v>
      </c>
      <c r="T319" s="18" t="s">
        <v>175</v>
      </c>
      <c r="U319" s="19" t="s">
        <v>1453</v>
      </c>
      <c r="V319" s="18" t="s">
        <v>64</v>
      </c>
    </row>
    <row r="320" spans="1:22">
      <c r="A320" s="15" t="s">
        <v>1454</v>
      </c>
      <c r="B320" s="15" t="s">
        <v>100</v>
      </c>
      <c r="C320" s="15" t="s">
        <v>118</v>
      </c>
      <c r="D320" s="15" t="s">
        <v>1369</v>
      </c>
      <c r="E320" s="15" t="s">
        <v>178</v>
      </c>
      <c r="F320" s="15" t="s">
        <v>103</v>
      </c>
      <c r="G320" s="15" t="s">
        <v>28</v>
      </c>
      <c r="H320" s="15" t="s">
        <v>1455</v>
      </c>
      <c r="I320" s="15" t="s">
        <v>212</v>
      </c>
      <c r="J320" s="15" t="s">
        <v>45</v>
      </c>
      <c r="K320" s="15" t="s">
        <v>122</v>
      </c>
      <c r="L320" s="15" t="s">
        <v>123</v>
      </c>
      <c r="M320" s="15">
        <v>8</v>
      </c>
      <c r="N320" s="15">
        <v>60</v>
      </c>
      <c r="O320" s="15">
        <v>15</v>
      </c>
      <c r="P320" s="15">
        <v>408</v>
      </c>
      <c r="Q320" s="15">
        <v>4</v>
      </c>
      <c r="R320" s="15" t="s">
        <v>34</v>
      </c>
      <c r="S320" s="15" t="s">
        <v>49</v>
      </c>
      <c r="T320" s="15" t="s">
        <v>144</v>
      </c>
      <c r="U320" s="17" t="s">
        <v>1456</v>
      </c>
      <c r="V320" s="15" t="s">
        <v>64</v>
      </c>
    </row>
    <row r="321" spans="1:22">
      <c r="A321" s="18" t="s">
        <v>1457</v>
      </c>
      <c r="B321" s="18" t="s">
        <v>221</v>
      </c>
      <c r="C321" s="18" t="s">
        <v>259</v>
      </c>
      <c r="D321" s="18" t="s">
        <v>825</v>
      </c>
      <c r="E321" s="18" t="s">
        <v>119</v>
      </c>
      <c r="F321" s="18" t="s">
        <v>225</v>
      </c>
      <c r="G321" s="18" t="s">
        <v>76</v>
      </c>
      <c r="H321" s="18" t="s">
        <v>1458</v>
      </c>
      <c r="I321" s="18" t="s">
        <v>44</v>
      </c>
      <c r="J321" s="18" t="s">
        <v>45</v>
      </c>
      <c r="K321" s="18" t="s">
        <v>122</v>
      </c>
      <c r="L321" s="18" t="s">
        <v>263</v>
      </c>
      <c r="M321" s="18">
        <v>17</v>
      </c>
      <c r="N321" s="18">
        <v>45</v>
      </c>
      <c r="O321" s="18">
        <v>15</v>
      </c>
      <c r="P321" s="18">
        <v>650.25</v>
      </c>
      <c r="Q321" s="18">
        <v>2</v>
      </c>
      <c r="R321" s="18" t="s">
        <v>88</v>
      </c>
      <c r="S321" s="18" t="s">
        <v>151</v>
      </c>
      <c r="T321" s="18" t="s">
        <v>228</v>
      </c>
      <c r="U321" s="19" t="s">
        <v>1459</v>
      </c>
      <c r="V321" s="18" t="s">
        <v>38</v>
      </c>
    </row>
    <row r="322" spans="1:22">
      <c r="A322" s="15" t="s">
        <v>1460</v>
      </c>
      <c r="B322" s="15" t="s">
        <v>327</v>
      </c>
      <c r="C322" s="15" t="s">
        <v>184</v>
      </c>
      <c r="D322" s="15" t="s">
        <v>632</v>
      </c>
      <c r="E322" s="15" t="s">
        <v>1461</v>
      </c>
      <c r="F322" s="15" t="s">
        <v>394</v>
      </c>
      <c r="G322" s="15" t="s">
        <v>76</v>
      </c>
      <c r="H322" s="15" t="s">
        <v>1462</v>
      </c>
      <c r="I322" s="15" t="s">
        <v>212</v>
      </c>
      <c r="J322" s="15" t="s">
        <v>45</v>
      </c>
      <c r="K322" s="15" t="s">
        <v>46</v>
      </c>
      <c r="L322" s="15" t="s">
        <v>189</v>
      </c>
      <c r="M322" s="15">
        <v>14</v>
      </c>
      <c r="N322" s="15">
        <v>700</v>
      </c>
      <c r="O322" s="15">
        <v>15</v>
      </c>
      <c r="P322" s="15">
        <v>8330</v>
      </c>
      <c r="Q322" s="15">
        <v>1</v>
      </c>
      <c r="R322" s="15" t="s">
        <v>79</v>
      </c>
      <c r="S322" s="15" t="s">
        <v>115</v>
      </c>
      <c r="T322" s="15" t="s">
        <v>332</v>
      </c>
      <c r="U322" s="17" t="s">
        <v>1463</v>
      </c>
      <c r="V322" s="15" t="s">
        <v>38</v>
      </c>
    </row>
    <row r="323" spans="1:22">
      <c r="A323" s="18" t="s">
        <v>1464</v>
      </c>
      <c r="B323" s="18" t="s">
        <v>83</v>
      </c>
      <c r="C323" s="18" t="s">
        <v>72</v>
      </c>
      <c r="D323" s="18" t="s">
        <v>1465</v>
      </c>
      <c r="E323" s="18" t="s">
        <v>948</v>
      </c>
      <c r="F323" s="18" t="s">
        <v>180</v>
      </c>
      <c r="G323" s="18" t="s">
        <v>76</v>
      </c>
      <c r="H323" s="18" t="s">
        <v>1466</v>
      </c>
      <c r="I323" s="18" t="s">
        <v>114</v>
      </c>
      <c r="J323" s="18" t="s">
        <v>106</v>
      </c>
      <c r="K323" s="18" t="s">
        <v>46</v>
      </c>
      <c r="L323" s="18" t="s">
        <v>78</v>
      </c>
      <c r="M323" s="18">
        <v>3</v>
      </c>
      <c r="N323" s="18">
        <v>1200</v>
      </c>
      <c r="O323" s="18">
        <v>5</v>
      </c>
      <c r="P323" s="18">
        <v>3420</v>
      </c>
      <c r="Q323" s="18">
        <v>3</v>
      </c>
      <c r="R323" s="18" t="s">
        <v>48</v>
      </c>
      <c r="S323" s="18" t="s">
        <v>151</v>
      </c>
      <c r="T323" s="18" t="s">
        <v>89</v>
      </c>
      <c r="U323" s="19" t="s">
        <v>1467</v>
      </c>
      <c r="V323" s="18" t="s">
        <v>38</v>
      </c>
    </row>
    <row r="324" spans="1:22">
      <c r="A324" s="15" t="s">
        <v>1468</v>
      </c>
      <c r="B324" s="15" t="s">
        <v>23</v>
      </c>
      <c r="C324" s="15" t="s">
        <v>72</v>
      </c>
      <c r="D324" s="15" t="s">
        <v>489</v>
      </c>
      <c r="E324" s="15" t="s">
        <v>914</v>
      </c>
      <c r="F324" s="15" t="s">
        <v>27</v>
      </c>
      <c r="G324" s="15" t="s">
        <v>28</v>
      </c>
      <c r="H324" s="15" t="s">
        <v>1469</v>
      </c>
      <c r="I324" s="15" t="s">
        <v>138</v>
      </c>
      <c r="J324" s="15" t="s">
        <v>106</v>
      </c>
      <c r="K324" s="15" t="s">
        <v>46</v>
      </c>
      <c r="L324" s="15" t="s">
        <v>78</v>
      </c>
      <c r="M324" s="15">
        <v>9</v>
      </c>
      <c r="N324" s="15">
        <v>1200</v>
      </c>
      <c r="O324" s="15">
        <v>15</v>
      </c>
      <c r="P324" s="15">
        <v>9180</v>
      </c>
      <c r="Q324" s="15">
        <v>3</v>
      </c>
      <c r="R324" s="15" t="s">
        <v>34</v>
      </c>
      <c r="S324" s="15" t="s">
        <v>49</v>
      </c>
      <c r="T324" s="15" t="s">
        <v>50</v>
      </c>
      <c r="U324" s="17" t="s">
        <v>1470</v>
      </c>
      <c r="V324" s="15" t="s">
        <v>38</v>
      </c>
    </row>
    <row r="325" spans="1:22">
      <c r="A325" s="18" t="s">
        <v>1471</v>
      </c>
      <c r="B325" s="18" t="s">
        <v>251</v>
      </c>
      <c r="C325" s="18" t="s">
        <v>222</v>
      </c>
      <c r="D325" s="18" t="s">
        <v>224</v>
      </c>
      <c r="E325" s="18" t="s">
        <v>360</v>
      </c>
      <c r="F325" s="18" t="s">
        <v>254</v>
      </c>
      <c r="G325" s="18" t="s">
        <v>28</v>
      </c>
      <c r="H325" s="18" t="s">
        <v>1472</v>
      </c>
      <c r="I325" s="18" t="s">
        <v>105</v>
      </c>
      <c r="J325" s="18" t="s">
        <v>106</v>
      </c>
      <c r="K325" s="18" t="s">
        <v>122</v>
      </c>
      <c r="L325" s="18" t="s">
        <v>227</v>
      </c>
      <c r="M325" s="18">
        <v>5</v>
      </c>
      <c r="N325" s="18">
        <v>20</v>
      </c>
      <c r="O325" s="18">
        <v>5</v>
      </c>
      <c r="P325" s="18">
        <v>95</v>
      </c>
      <c r="Q325" s="18">
        <v>4</v>
      </c>
      <c r="R325" s="18" t="s">
        <v>34</v>
      </c>
      <c r="S325" s="18" t="s">
        <v>151</v>
      </c>
      <c r="T325" s="18" t="s">
        <v>256</v>
      </c>
      <c r="U325" s="19" t="s">
        <v>1473</v>
      </c>
      <c r="V325" s="18" t="s">
        <v>38</v>
      </c>
    </row>
    <row r="326" spans="1:22">
      <c r="A326" s="15" t="s">
        <v>1474</v>
      </c>
      <c r="B326" s="15" t="s">
        <v>251</v>
      </c>
      <c r="C326" s="15" t="s">
        <v>24</v>
      </c>
      <c r="D326" s="15" t="s">
        <v>1475</v>
      </c>
      <c r="E326" s="15" t="s">
        <v>1476</v>
      </c>
      <c r="F326" s="15" t="s">
        <v>254</v>
      </c>
      <c r="G326" s="15" t="s">
        <v>28</v>
      </c>
      <c r="H326" s="15" t="s">
        <v>1477</v>
      </c>
      <c r="I326" s="15" t="s">
        <v>138</v>
      </c>
      <c r="J326" s="15" t="s">
        <v>106</v>
      </c>
      <c r="K326" s="15" t="s">
        <v>32</v>
      </c>
      <c r="L326" s="15" t="s">
        <v>33</v>
      </c>
      <c r="M326" s="15">
        <v>8</v>
      </c>
      <c r="N326" s="15">
        <v>2200</v>
      </c>
      <c r="O326" s="15">
        <v>10</v>
      </c>
      <c r="P326" s="15">
        <v>15840</v>
      </c>
      <c r="Q326" s="15">
        <v>4</v>
      </c>
      <c r="R326" s="15" t="s">
        <v>88</v>
      </c>
      <c r="S326" s="15" t="s">
        <v>61</v>
      </c>
      <c r="T326" s="15" t="s">
        <v>256</v>
      </c>
      <c r="U326" s="17" t="s">
        <v>1478</v>
      </c>
      <c r="V326" s="15" t="s">
        <v>69</v>
      </c>
    </row>
    <row r="327" spans="1:22">
      <c r="A327" s="18" t="s">
        <v>1479</v>
      </c>
      <c r="B327" s="18" t="s">
        <v>251</v>
      </c>
      <c r="C327" s="18" t="s">
        <v>184</v>
      </c>
      <c r="D327" s="18" t="s">
        <v>298</v>
      </c>
      <c r="E327" s="18" t="s">
        <v>1480</v>
      </c>
      <c r="F327" s="18" t="s">
        <v>254</v>
      </c>
      <c r="G327" s="18" t="s">
        <v>28</v>
      </c>
      <c r="H327" s="18" t="s">
        <v>1481</v>
      </c>
      <c r="I327" s="18" t="s">
        <v>105</v>
      </c>
      <c r="J327" s="18" t="s">
        <v>106</v>
      </c>
      <c r="K327" s="18" t="s">
        <v>46</v>
      </c>
      <c r="L327" s="18" t="s">
        <v>189</v>
      </c>
      <c r="M327" s="18">
        <v>10</v>
      </c>
      <c r="N327" s="18">
        <v>700</v>
      </c>
      <c r="O327" s="18">
        <v>20</v>
      </c>
      <c r="P327" s="18">
        <v>5600</v>
      </c>
      <c r="Q327" s="18">
        <v>1</v>
      </c>
      <c r="R327" s="18" t="s">
        <v>88</v>
      </c>
      <c r="S327" s="18" t="s">
        <v>115</v>
      </c>
      <c r="T327" s="18" t="s">
        <v>256</v>
      </c>
      <c r="U327" s="19" t="s">
        <v>1482</v>
      </c>
      <c r="V327" s="18" t="s">
        <v>38</v>
      </c>
    </row>
    <row r="328" spans="1:22">
      <c r="A328" s="15" t="s">
        <v>1483</v>
      </c>
      <c r="B328" s="15" t="s">
        <v>83</v>
      </c>
      <c r="C328" s="15" t="s">
        <v>184</v>
      </c>
      <c r="D328" s="15" t="s">
        <v>1484</v>
      </c>
      <c r="E328" s="15" t="s">
        <v>1485</v>
      </c>
      <c r="F328" s="15" t="s">
        <v>180</v>
      </c>
      <c r="G328" s="15" t="s">
        <v>76</v>
      </c>
      <c r="H328" s="15" t="s">
        <v>1486</v>
      </c>
      <c r="I328" s="15" t="s">
        <v>59</v>
      </c>
      <c r="J328" s="15" t="s">
        <v>31</v>
      </c>
      <c r="K328" s="15" t="s">
        <v>46</v>
      </c>
      <c r="L328" s="15" t="s">
        <v>189</v>
      </c>
      <c r="M328" s="15">
        <v>2</v>
      </c>
      <c r="N328" s="15">
        <v>700</v>
      </c>
      <c r="O328" s="15">
        <v>20</v>
      </c>
      <c r="P328" s="15">
        <v>1120</v>
      </c>
      <c r="Q328" s="15">
        <v>2</v>
      </c>
      <c r="R328" s="15" t="s">
        <v>34</v>
      </c>
      <c r="S328" s="15" t="s">
        <v>115</v>
      </c>
      <c r="T328" s="15" t="s">
        <v>89</v>
      </c>
      <c r="U328" s="17" t="s">
        <v>1487</v>
      </c>
      <c r="V328" s="15" t="s">
        <v>64</v>
      </c>
    </row>
    <row r="329" spans="1:22">
      <c r="A329" s="18" t="s">
        <v>1488</v>
      </c>
      <c r="B329" s="18" t="s">
        <v>221</v>
      </c>
      <c r="C329" s="18" t="s">
        <v>92</v>
      </c>
      <c r="D329" s="18" t="s">
        <v>872</v>
      </c>
      <c r="E329" s="18" t="s">
        <v>965</v>
      </c>
      <c r="F329" s="18" t="s">
        <v>225</v>
      </c>
      <c r="G329" s="18" t="s">
        <v>76</v>
      </c>
      <c r="H329" s="18" t="s">
        <v>1489</v>
      </c>
      <c r="I329" s="18" t="s">
        <v>114</v>
      </c>
      <c r="J329" s="18" t="s">
        <v>106</v>
      </c>
      <c r="K329" s="18" t="s">
        <v>32</v>
      </c>
      <c r="L329" s="18" t="s">
        <v>97</v>
      </c>
      <c r="M329" s="18">
        <v>16</v>
      </c>
      <c r="N329" s="18">
        <v>3500</v>
      </c>
      <c r="O329" s="18">
        <v>20</v>
      </c>
      <c r="P329" s="18">
        <v>44800</v>
      </c>
      <c r="Q329" s="18">
        <v>2</v>
      </c>
      <c r="R329" s="18" t="s">
        <v>88</v>
      </c>
      <c r="S329" s="18" t="s">
        <v>35</v>
      </c>
      <c r="T329" s="18" t="s">
        <v>228</v>
      </c>
      <c r="U329" s="19" t="s">
        <v>1490</v>
      </c>
      <c r="V329" s="18" t="s">
        <v>64</v>
      </c>
    </row>
    <row r="330" spans="1:22">
      <c r="A330" s="15" t="s">
        <v>1491</v>
      </c>
      <c r="B330" s="15" t="s">
        <v>168</v>
      </c>
      <c r="C330" s="15" t="s">
        <v>92</v>
      </c>
      <c r="D330" s="15" t="s">
        <v>829</v>
      </c>
      <c r="E330" s="15" t="s">
        <v>756</v>
      </c>
      <c r="F330" s="15" t="s">
        <v>361</v>
      </c>
      <c r="G330" s="15" t="s">
        <v>28</v>
      </c>
      <c r="H330" s="15" t="s">
        <v>1492</v>
      </c>
      <c r="I330" s="15" t="s">
        <v>44</v>
      </c>
      <c r="J330" s="15" t="s">
        <v>45</v>
      </c>
      <c r="K330" s="15" t="s">
        <v>32</v>
      </c>
      <c r="L330" s="15" t="s">
        <v>97</v>
      </c>
      <c r="M330" s="15">
        <v>9</v>
      </c>
      <c r="N330" s="15">
        <v>3500</v>
      </c>
      <c r="O330" s="15">
        <v>20</v>
      </c>
      <c r="P330" s="15">
        <v>25200</v>
      </c>
      <c r="Q330" s="15">
        <v>1</v>
      </c>
      <c r="R330" s="15" t="s">
        <v>79</v>
      </c>
      <c r="S330" s="15" t="s">
        <v>49</v>
      </c>
      <c r="T330" s="15" t="s">
        <v>175</v>
      </c>
      <c r="U330" s="17" t="s">
        <v>1493</v>
      </c>
      <c r="V330" s="15" t="s">
        <v>69</v>
      </c>
    </row>
    <row r="331" spans="1:22">
      <c r="A331" s="18" t="s">
        <v>1494</v>
      </c>
      <c r="B331" s="18" t="s">
        <v>127</v>
      </c>
      <c r="C331" s="18" t="s">
        <v>184</v>
      </c>
      <c r="D331" s="18" t="s">
        <v>896</v>
      </c>
      <c r="E331" s="18" t="s">
        <v>530</v>
      </c>
      <c r="F331" s="18" t="s">
        <v>200</v>
      </c>
      <c r="G331" s="18" t="s">
        <v>76</v>
      </c>
      <c r="H331" s="18" t="s">
        <v>1495</v>
      </c>
      <c r="I331" s="18" t="s">
        <v>30</v>
      </c>
      <c r="J331" s="18" t="s">
        <v>31</v>
      </c>
      <c r="K331" s="18" t="s">
        <v>46</v>
      </c>
      <c r="L331" s="18" t="s">
        <v>189</v>
      </c>
      <c r="M331" s="18">
        <v>15</v>
      </c>
      <c r="N331" s="18">
        <v>700</v>
      </c>
      <c r="O331" s="18">
        <v>5</v>
      </c>
      <c r="P331" s="18">
        <v>9975</v>
      </c>
      <c r="Q331" s="18">
        <v>1</v>
      </c>
      <c r="R331" s="18" t="s">
        <v>34</v>
      </c>
      <c r="S331" s="18" t="s">
        <v>49</v>
      </c>
      <c r="T331" s="18" t="s">
        <v>132</v>
      </c>
      <c r="U331" s="19" t="s">
        <v>1496</v>
      </c>
      <c r="V331" s="18" t="s">
        <v>69</v>
      </c>
    </row>
    <row r="332" spans="1:22">
      <c r="A332" s="15" t="s">
        <v>1497</v>
      </c>
      <c r="B332" s="15" t="s">
        <v>53</v>
      </c>
      <c r="C332" s="15" t="s">
        <v>72</v>
      </c>
      <c r="D332" s="15" t="s">
        <v>179</v>
      </c>
      <c r="E332" s="15" t="s">
        <v>798</v>
      </c>
      <c r="F332" s="15" t="s">
        <v>163</v>
      </c>
      <c r="G332" s="15" t="s">
        <v>28</v>
      </c>
      <c r="H332" s="15" t="s">
        <v>1498</v>
      </c>
      <c r="I332" s="15" t="s">
        <v>138</v>
      </c>
      <c r="J332" s="15" t="s">
        <v>106</v>
      </c>
      <c r="K332" s="15" t="s">
        <v>46</v>
      </c>
      <c r="L332" s="15" t="s">
        <v>78</v>
      </c>
      <c r="M332" s="15">
        <v>13</v>
      </c>
      <c r="N332" s="15">
        <v>1200</v>
      </c>
      <c r="O332" s="15">
        <v>0</v>
      </c>
      <c r="P332" s="15">
        <v>15600</v>
      </c>
      <c r="Q332" s="15">
        <v>3</v>
      </c>
      <c r="R332" s="15" t="s">
        <v>48</v>
      </c>
      <c r="S332" s="15" t="s">
        <v>115</v>
      </c>
      <c r="T332" s="15" t="s">
        <v>62</v>
      </c>
      <c r="U332" s="17" t="s">
        <v>1499</v>
      </c>
      <c r="V332" s="15" t="s">
        <v>69</v>
      </c>
    </row>
    <row r="333" spans="1:22">
      <c r="A333" s="18" t="s">
        <v>1500</v>
      </c>
      <c r="B333" s="18" t="s">
        <v>327</v>
      </c>
      <c r="C333" s="18" t="s">
        <v>40</v>
      </c>
      <c r="D333" s="18" t="s">
        <v>1501</v>
      </c>
      <c r="E333" s="18" t="s">
        <v>1502</v>
      </c>
      <c r="F333" s="18" t="s">
        <v>394</v>
      </c>
      <c r="G333" s="18" t="s">
        <v>76</v>
      </c>
      <c r="H333" s="18" t="s">
        <v>1503</v>
      </c>
      <c r="I333" s="18" t="s">
        <v>44</v>
      </c>
      <c r="J333" s="18" t="s">
        <v>45</v>
      </c>
      <c r="K333" s="18" t="s">
        <v>46</v>
      </c>
      <c r="L333" s="18" t="s">
        <v>47</v>
      </c>
      <c r="M333" s="18">
        <v>5</v>
      </c>
      <c r="N333" s="18">
        <v>12000</v>
      </c>
      <c r="O333" s="18">
        <v>10</v>
      </c>
      <c r="P333" s="18">
        <v>54000</v>
      </c>
      <c r="Q333" s="18">
        <v>3</v>
      </c>
      <c r="R333" s="18" t="s">
        <v>88</v>
      </c>
      <c r="S333" s="18" t="s">
        <v>49</v>
      </c>
      <c r="T333" s="18" t="s">
        <v>332</v>
      </c>
      <c r="U333" s="19" t="s">
        <v>1504</v>
      </c>
      <c r="V333" s="18" t="s">
        <v>38</v>
      </c>
    </row>
    <row r="334" spans="1:22">
      <c r="A334" s="15" t="s">
        <v>1505</v>
      </c>
      <c r="B334" s="15" t="s">
        <v>53</v>
      </c>
      <c r="C334" s="15" t="s">
        <v>259</v>
      </c>
      <c r="D334" s="15" t="s">
        <v>1506</v>
      </c>
      <c r="E334" s="15" t="s">
        <v>1507</v>
      </c>
      <c r="F334" s="15" t="s">
        <v>163</v>
      </c>
      <c r="G334" s="15" t="s">
        <v>28</v>
      </c>
      <c r="H334" s="15" t="s">
        <v>1508</v>
      </c>
      <c r="I334" s="15" t="s">
        <v>59</v>
      </c>
      <c r="J334" s="15" t="s">
        <v>31</v>
      </c>
      <c r="K334" s="15" t="s">
        <v>122</v>
      </c>
      <c r="L334" s="15" t="s">
        <v>263</v>
      </c>
      <c r="M334" s="15">
        <v>12</v>
      </c>
      <c r="N334" s="15">
        <v>45</v>
      </c>
      <c r="O334" s="15">
        <v>20</v>
      </c>
      <c r="P334" s="15">
        <v>432</v>
      </c>
      <c r="Q334" s="15">
        <v>3</v>
      </c>
      <c r="R334" s="15" t="s">
        <v>48</v>
      </c>
      <c r="S334" s="15" t="s">
        <v>61</v>
      </c>
      <c r="T334" s="15" t="s">
        <v>62</v>
      </c>
      <c r="U334" s="17" t="s">
        <v>1509</v>
      </c>
      <c r="V334" s="15" t="s">
        <v>38</v>
      </c>
    </row>
    <row r="335" spans="1:22">
      <c r="A335" s="18" t="s">
        <v>1510</v>
      </c>
      <c r="B335" s="18" t="s">
        <v>23</v>
      </c>
      <c r="C335" s="18" t="s">
        <v>92</v>
      </c>
      <c r="D335" s="18" t="s">
        <v>652</v>
      </c>
      <c r="E335" s="18" t="s">
        <v>666</v>
      </c>
      <c r="F335" s="18" t="s">
        <v>27</v>
      </c>
      <c r="G335" s="18" t="s">
        <v>28</v>
      </c>
      <c r="H335" s="18" t="s">
        <v>1511</v>
      </c>
      <c r="I335" s="18" t="s">
        <v>59</v>
      </c>
      <c r="J335" s="18" t="s">
        <v>31</v>
      </c>
      <c r="K335" s="18" t="s">
        <v>32</v>
      </c>
      <c r="L335" s="18" t="s">
        <v>97</v>
      </c>
      <c r="M335" s="18">
        <v>2</v>
      </c>
      <c r="N335" s="18">
        <v>3500</v>
      </c>
      <c r="O335" s="18">
        <v>0</v>
      </c>
      <c r="P335" s="18">
        <v>7000</v>
      </c>
      <c r="Q335" s="18">
        <v>1</v>
      </c>
      <c r="R335" s="18" t="s">
        <v>48</v>
      </c>
      <c r="S335" s="18" t="s">
        <v>115</v>
      </c>
      <c r="T335" s="18" t="s">
        <v>50</v>
      </c>
      <c r="U335" s="19" t="s">
        <v>1512</v>
      </c>
      <c r="V335" s="18" t="s">
        <v>64</v>
      </c>
    </row>
    <row r="336" spans="1:22">
      <c r="A336" s="15" t="s">
        <v>1513</v>
      </c>
      <c r="B336" s="15" t="s">
        <v>23</v>
      </c>
      <c r="C336" s="15" t="s">
        <v>24</v>
      </c>
      <c r="D336" s="15" t="s">
        <v>426</v>
      </c>
      <c r="E336" s="15" t="s">
        <v>1180</v>
      </c>
      <c r="F336" s="15" t="s">
        <v>27</v>
      </c>
      <c r="G336" s="15" t="s">
        <v>28</v>
      </c>
      <c r="H336" s="15" t="s">
        <v>1514</v>
      </c>
      <c r="I336" s="15" t="s">
        <v>114</v>
      </c>
      <c r="J336" s="15" t="s">
        <v>106</v>
      </c>
      <c r="K336" s="15" t="s">
        <v>32</v>
      </c>
      <c r="L336" s="15" t="s">
        <v>33</v>
      </c>
      <c r="M336" s="15">
        <v>15</v>
      </c>
      <c r="N336" s="15">
        <v>2200</v>
      </c>
      <c r="O336" s="15">
        <v>15</v>
      </c>
      <c r="P336" s="15">
        <v>28050</v>
      </c>
      <c r="Q336" s="15">
        <v>2</v>
      </c>
      <c r="R336" s="15" t="s">
        <v>48</v>
      </c>
      <c r="S336" s="15" t="s">
        <v>49</v>
      </c>
      <c r="T336" s="15" t="s">
        <v>50</v>
      </c>
      <c r="U336" s="17" t="s">
        <v>1515</v>
      </c>
      <c r="V336" s="15" t="s">
        <v>64</v>
      </c>
    </row>
    <row r="337" spans="1:22">
      <c r="A337" s="18" t="s">
        <v>1516</v>
      </c>
      <c r="B337" s="18" t="s">
        <v>100</v>
      </c>
      <c r="C337" s="18" t="s">
        <v>222</v>
      </c>
      <c r="D337" s="18" t="s">
        <v>186</v>
      </c>
      <c r="E337" s="18" t="s">
        <v>1253</v>
      </c>
      <c r="F337" s="18" t="s">
        <v>103</v>
      </c>
      <c r="G337" s="18" t="s">
        <v>28</v>
      </c>
      <c r="H337" s="18" t="s">
        <v>1517</v>
      </c>
      <c r="I337" s="18" t="s">
        <v>138</v>
      </c>
      <c r="J337" s="18" t="s">
        <v>106</v>
      </c>
      <c r="K337" s="18" t="s">
        <v>122</v>
      </c>
      <c r="L337" s="18" t="s">
        <v>227</v>
      </c>
      <c r="M337" s="18">
        <v>8</v>
      </c>
      <c r="N337" s="18">
        <v>20</v>
      </c>
      <c r="O337" s="18">
        <v>20</v>
      </c>
      <c r="P337" s="18">
        <v>128</v>
      </c>
      <c r="Q337" s="18">
        <v>5</v>
      </c>
      <c r="R337" s="18" t="s">
        <v>88</v>
      </c>
      <c r="S337" s="18" t="s">
        <v>49</v>
      </c>
      <c r="T337" s="18" t="s">
        <v>144</v>
      </c>
      <c r="U337" s="19" t="s">
        <v>1518</v>
      </c>
      <c r="V337" s="18" t="s">
        <v>38</v>
      </c>
    </row>
    <row r="338" spans="1:22">
      <c r="A338" s="15" t="s">
        <v>1519</v>
      </c>
      <c r="B338" s="15" t="s">
        <v>127</v>
      </c>
      <c r="C338" s="15" t="s">
        <v>222</v>
      </c>
      <c r="D338" s="15" t="s">
        <v>298</v>
      </c>
      <c r="E338" s="15" t="s">
        <v>798</v>
      </c>
      <c r="F338" s="15" t="s">
        <v>200</v>
      </c>
      <c r="G338" s="15" t="s">
        <v>76</v>
      </c>
      <c r="H338" s="15" t="s">
        <v>1520</v>
      </c>
      <c r="I338" s="15" t="s">
        <v>30</v>
      </c>
      <c r="J338" s="15" t="s">
        <v>31</v>
      </c>
      <c r="K338" s="15" t="s">
        <v>122</v>
      </c>
      <c r="L338" s="15" t="s">
        <v>227</v>
      </c>
      <c r="M338" s="15">
        <v>1</v>
      </c>
      <c r="N338" s="15">
        <v>20</v>
      </c>
      <c r="O338" s="15">
        <v>0</v>
      </c>
      <c r="P338" s="15">
        <v>20</v>
      </c>
      <c r="Q338" s="15">
        <v>3</v>
      </c>
      <c r="R338" s="15" t="s">
        <v>88</v>
      </c>
      <c r="S338" s="15" t="s">
        <v>35</v>
      </c>
      <c r="T338" s="15" t="s">
        <v>132</v>
      </c>
      <c r="U338" s="17" t="s">
        <v>1521</v>
      </c>
      <c r="V338" s="15" t="s">
        <v>38</v>
      </c>
    </row>
    <row r="339" spans="1:22">
      <c r="A339" s="18" t="s">
        <v>1522</v>
      </c>
      <c r="B339" s="18" t="s">
        <v>23</v>
      </c>
      <c r="C339" s="18" t="s">
        <v>184</v>
      </c>
      <c r="D339" s="18" t="s">
        <v>1199</v>
      </c>
      <c r="E339" s="18" t="s">
        <v>253</v>
      </c>
      <c r="F339" s="18" t="s">
        <v>27</v>
      </c>
      <c r="G339" s="18" t="s">
        <v>28</v>
      </c>
      <c r="H339" s="18" t="s">
        <v>1523</v>
      </c>
      <c r="I339" s="18" t="s">
        <v>212</v>
      </c>
      <c r="J339" s="18" t="s">
        <v>45</v>
      </c>
      <c r="K339" s="18" t="s">
        <v>46</v>
      </c>
      <c r="L339" s="18" t="s">
        <v>189</v>
      </c>
      <c r="M339" s="18">
        <v>15</v>
      </c>
      <c r="N339" s="18">
        <v>700</v>
      </c>
      <c r="O339" s="18">
        <v>0</v>
      </c>
      <c r="P339" s="18">
        <v>10500</v>
      </c>
      <c r="Q339" s="18">
        <v>2</v>
      </c>
      <c r="R339" s="18" t="s">
        <v>88</v>
      </c>
      <c r="S339" s="18" t="s">
        <v>49</v>
      </c>
      <c r="T339" s="18" t="s">
        <v>50</v>
      </c>
      <c r="U339" s="19" t="s">
        <v>1524</v>
      </c>
      <c r="V339" s="18" t="s">
        <v>38</v>
      </c>
    </row>
    <row r="340" spans="1:22">
      <c r="A340" s="15" t="s">
        <v>1525</v>
      </c>
      <c r="B340" s="15" t="s">
        <v>327</v>
      </c>
      <c r="C340" s="15" t="s">
        <v>92</v>
      </c>
      <c r="D340" s="15" t="s">
        <v>932</v>
      </c>
      <c r="E340" s="15" t="s">
        <v>1526</v>
      </c>
      <c r="F340" s="15" t="s">
        <v>394</v>
      </c>
      <c r="G340" s="15" t="s">
        <v>76</v>
      </c>
      <c r="H340" s="15" t="s">
        <v>1527</v>
      </c>
      <c r="I340" s="15" t="s">
        <v>30</v>
      </c>
      <c r="J340" s="15" t="s">
        <v>31</v>
      </c>
      <c r="K340" s="15" t="s">
        <v>32</v>
      </c>
      <c r="L340" s="15" t="s">
        <v>97</v>
      </c>
      <c r="M340" s="15">
        <v>15</v>
      </c>
      <c r="N340" s="15">
        <v>3500</v>
      </c>
      <c r="O340" s="15">
        <v>10</v>
      </c>
      <c r="P340" s="15">
        <v>47250</v>
      </c>
      <c r="Q340" s="15">
        <v>3</v>
      </c>
      <c r="R340" s="15" t="s">
        <v>34</v>
      </c>
      <c r="S340" s="15" t="s">
        <v>151</v>
      </c>
      <c r="T340" s="15" t="s">
        <v>332</v>
      </c>
      <c r="U340" s="17" t="s">
        <v>1528</v>
      </c>
      <c r="V340" s="15" t="s">
        <v>64</v>
      </c>
    </row>
    <row r="341" spans="1:22">
      <c r="A341" s="18" t="s">
        <v>1529</v>
      </c>
      <c r="B341" s="18" t="s">
        <v>23</v>
      </c>
      <c r="C341" s="18" t="s">
        <v>118</v>
      </c>
      <c r="D341" s="18" t="s">
        <v>1530</v>
      </c>
      <c r="E341" s="18" t="s">
        <v>156</v>
      </c>
      <c r="F341" s="18" t="s">
        <v>27</v>
      </c>
      <c r="G341" s="18" t="s">
        <v>28</v>
      </c>
      <c r="H341" s="18" t="s">
        <v>1531</v>
      </c>
      <c r="I341" s="18" t="s">
        <v>294</v>
      </c>
      <c r="J341" s="18" t="s">
        <v>295</v>
      </c>
      <c r="K341" s="18" t="s">
        <v>122</v>
      </c>
      <c r="L341" s="18" t="s">
        <v>123</v>
      </c>
      <c r="M341" s="18">
        <v>16</v>
      </c>
      <c r="N341" s="18">
        <v>60</v>
      </c>
      <c r="O341" s="18">
        <v>10</v>
      </c>
      <c r="P341" s="18">
        <v>864</v>
      </c>
      <c r="Q341" s="18">
        <v>4</v>
      </c>
      <c r="R341" s="18" t="s">
        <v>79</v>
      </c>
      <c r="S341" s="18" t="s">
        <v>61</v>
      </c>
      <c r="T341" s="18" t="s">
        <v>50</v>
      </c>
      <c r="U341" s="19" t="s">
        <v>1532</v>
      </c>
      <c r="V341" s="18" t="s">
        <v>38</v>
      </c>
    </row>
    <row r="342" spans="1:22">
      <c r="A342" s="15" t="s">
        <v>1533</v>
      </c>
      <c r="B342" s="15" t="s">
        <v>127</v>
      </c>
      <c r="C342" s="15" t="s">
        <v>259</v>
      </c>
      <c r="D342" s="15" t="s">
        <v>309</v>
      </c>
      <c r="E342" s="15" t="s">
        <v>793</v>
      </c>
      <c r="F342" s="15" t="s">
        <v>200</v>
      </c>
      <c r="G342" s="15" t="s">
        <v>76</v>
      </c>
      <c r="H342" s="15" t="s">
        <v>1534</v>
      </c>
      <c r="I342" s="15" t="s">
        <v>44</v>
      </c>
      <c r="J342" s="15" t="s">
        <v>45</v>
      </c>
      <c r="K342" s="15" t="s">
        <v>122</v>
      </c>
      <c r="L342" s="15" t="s">
        <v>263</v>
      </c>
      <c r="M342" s="15">
        <v>2</v>
      </c>
      <c r="N342" s="15">
        <v>45</v>
      </c>
      <c r="O342" s="15">
        <v>15</v>
      </c>
      <c r="P342" s="15">
        <v>76.5</v>
      </c>
      <c r="Q342" s="15">
        <v>1</v>
      </c>
      <c r="R342" s="15" t="s">
        <v>88</v>
      </c>
      <c r="S342" s="15" t="s">
        <v>151</v>
      </c>
      <c r="T342" s="15" t="s">
        <v>132</v>
      </c>
      <c r="U342" s="17" t="s">
        <v>1535</v>
      </c>
      <c r="V342" s="15" t="s">
        <v>69</v>
      </c>
    </row>
    <row r="343" spans="1:22">
      <c r="A343" s="18" t="s">
        <v>1536</v>
      </c>
      <c r="B343" s="18" t="s">
        <v>168</v>
      </c>
      <c r="C343" s="18" t="s">
        <v>118</v>
      </c>
      <c r="D343" s="18" t="s">
        <v>1537</v>
      </c>
      <c r="E343" s="18" t="s">
        <v>1214</v>
      </c>
      <c r="F343" s="18" t="s">
        <v>361</v>
      </c>
      <c r="G343" s="18" t="s">
        <v>28</v>
      </c>
      <c r="H343" s="18" t="s">
        <v>1538</v>
      </c>
      <c r="I343" s="18" t="s">
        <v>44</v>
      </c>
      <c r="J343" s="18" t="s">
        <v>45</v>
      </c>
      <c r="K343" s="18" t="s">
        <v>122</v>
      </c>
      <c r="L343" s="18" t="s">
        <v>123</v>
      </c>
      <c r="M343" s="18">
        <v>13</v>
      </c>
      <c r="N343" s="18">
        <v>60</v>
      </c>
      <c r="O343" s="18">
        <v>15</v>
      </c>
      <c r="P343" s="18">
        <v>663</v>
      </c>
      <c r="Q343" s="18">
        <v>2</v>
      </c>
      <c r="R343" s="18" t="s">
        <v>48</v>
      </c>
      <c r="S343" s="18" t="s">
        <v>61</v>
      </c>
      <c r="T343" s="18" t="s">
        <v>175</v>
      </c>
      <c r="U343" s="19" t="s">
        <v>1539</v>
      </c>
      <c r="V343" s="18" t="s">
        <v>69</v>
      </c>
    </row>
    <row r="344" spans="1:22">
      <c r="A344" s="15" t="s">
        <v>1540</v>
      </c>
      <c r="B344" s="15" t="s">
        <v>83</v>
      </c>
      <c r="C344" s="15" t="s">
        <v>40</v>
      </c>
      <c r="D344" s="15" t="s">
        <v>1086</v>
      </c>
      <c r="E344" s="15" t="s">
        <v>236</v>
      </c>
      <c r="F344" s="15" t="s">
        <v>180</v>
      </c>
      <c r="G344" s="15" t="s">
        <v>76</v>
      </c>
      <c r="H344" s="15" t="s">
        <v>1541</v>
      </c>
      <c r="I344" s="15" t="s">
        <v>44</v>
      </c>
      <c r="J344" s="15" t="s">
        <v>45</v>
      </c>
      <c r="K344" s="15" t="s">
        <v>46</v>
      </c>
      <c r="L344" s="15" t="s">
        <v>47</v>
      </c>
      <c r="M344" s="15">
        <v>15</v>
      </c>
      <c r="N344" s="15">
        <v>12000</v>
      </c>
      <c r="O344" s="15">
        <v>20</v>
      </c>
      <c r="P344" s="15">
        <v>144000</v>
      </c>
      <c r="Q344" s="15">
        <v>3</v>
      </c>
      <c r="R344" s="15" t="s">
        <v>79</v>
      </c>
      <c r="S344" s="15" t="s">
        <v>35</v>
      </c>
      <c r="T344" s="15" t="s">
        <v>89</v>
      </c>
      <c r="U344" s="17" t="s">
        <v>1542</v>
      </c>
      <c r="V344" s="15" t="s">
        <v>69</v>
      </c>
    </row>
    <row r="345" spans="1:22">
      <c r="A345" s="18" t="s">
        <v>1543</v>
      </c>
      <c r="B345" s="18" t="s">
        <v>327</v>
      </c>
      <c r="C345" s="18" t="s">
        <v>222</v>
      </c>
      <c r="D345" s="18" t="s">
        <v>755</v>
      </c>
      <c r="E345" s="18" t="s">
        <v>1544</v>
      </c>
      <c r="F345" s="18" t="s">
        <v>394</v>
      </c>
      <c r="G345" s="18" t="s">
        <v>76</v>
      </c>
      <c r="H345" s="18" t="s">
        <v>1545</v>
      </c>
      <c r="I345" s="18" t="s">
        <v>44</v>
      </c>
      <c r="J345" s="18" t="s">
        <v>45</v>
      </c>
      <c r="K345" s="18" t="s">
        <v>122</v>
      </c>
      <c r="L345" s="18" t="s">
        <v>227</v>
      </c>
      <c r="M345" s="18">
        <v>2</v>
      </c>
      <c r="N345" s="18">
        <v>20</v>
      </c>
      <c r="O345" s="18">
        <v>20</v>
      </c>
      <c r="P345" s="18">
        <v>32</v>
      </c>
      <c r="Q345" s="18">
        <v>4</v>
      </c>
      <c r="R345" s="18" t="s">
        <v>34</v>
      </c>
      <c r="S345" s="18" t="s">
        <v>35</v>
      </c>
      <c r="T345" s="18" t="s">
        <v>332</v>
      </c>
      <c r="U345" s="19" t="s">
        <v>1546</v>
      </c>
      <c r="V345" s="18" t="s">
        <v>64</v>
      </c>
    </row>
    <row r="346" spans="1:22">
      <c r="A346" s="15" t="s">
        <v>1547</v>
      </c>
      <c r="B346" s="15" t="s">
        <v>127</v>
      </c>
      <c r="C346" s="15" t="s">
        <v>92</v>
      </c>
      <c r="D346" s="15" t="s">
        <v>382</v>
      </c>
      <c r="E346" s="15" t="s">
        <v>1548</v>
      </c>
      <c r="F346" s="15" t="s">
        <v>200</v>
      </c>
      <c r="G346" s="15" t="s">
        <v>76</v>
      </c>
      <c r="H346" s="15" t="s">
        <v>1549</v>
      </c>
      <c r="I346" s="15" t="s">
        <v>59</v>
      </c>
      <c r="J346" s="15" t="s">
        <v>31</v>
      </c>
      <c r="K346" s="15" t="s">
        <v>32</v>
      </c>
      <c r="L346" s="15" t="s">
        <v>97</v>
      </c>
      <c r="M346" s="15">
        <v>16</v>
      </c>
      <c r="N346" s="15">
        <v>3500</v>
      </c>
      <c r="O346" s="15">
        <v>0</v>
      </c>
      <c r="P346" s="15">
        <v>56000</v>
      </c>
      <c r="Q346" s="15">
        <v>4</v>
      </c>
      <c r="R346" s="15" t="s">
        <v>34</v>
      </c>
      <c r="S346" s="15" t="s">
        <v>115</v>
      </c>
      <c r="T346" s="15" t="s">
        <v>132</v>
      </c>
      <c r="U346" s="17" t="s">
        <v>1550</v>
      </c>
      <c r="V346" s="15" t="s">
        <v>38</v>
      </c>
    </row>
    <row r="347" spans="1:22">
      <c r="A347" s="18" t="s">
        <v>1551</v>
      </c>
      <c r="B347" s="18" t="s">
        <v>53</v>
      </c>
      <c r="C347" s="18" t="s">
        <v>92</v>
      </c>
      <c r="D347" s="18" t="s">
        <v>1302</v>
      </c>
      <c r="E347" s="18" t="s">
        <v>94</v>
      </c>
      <c r="F347" s="18" t="s">
        <v>163</v>
      </c>
      <c r="G347" s="18" t="s">
        <v>28</v>
      </c>
      <c r="H347" s="18" t="s">
        <v>1552</v>
      </c>
      <c r="I347" s="18" t="s">
        <v>138</v>
      </c>
      <c r="J347" s="18" t="s">
        <v>106</v>
      </c>
      <c r="K347" s="18" t="s">
        <v>32</v>
      </c>
      <c r="L347" s="18" t="s">
        <v>97</v>
      </c>
      <c r="M347" s="18">
        <v>18</v>
      </c>
      <c r="N347" s="18">
        <v>3500</v>
      </c>
      <c r="O347" s="18">
        <v>15</v>
      </c>
      <c r="P347" s="18">
        <v>53550</v>
      </c>
      <c r="Q347" s="18">
        <v>5</v>
      </c>
      <c r="R347" s="18" t="s">
        <v>34</v>
      </c>
      <c r="S347" s="18" t="s">
        <v>151</v>
      </c>
      <c r="T347" s="18" t="s">
        <v>62</v>
      </c>
      <c r="U347" s="19" t="s">
        <v>1553</v>
      </c>
      <c r="V347" s="18" t="s">
        <v>69</v>
      </c>
    </row>
    <row r="348" spans="1:22">
      <c r="A348" s="15" t="s">
        <v>1554</v>
      </c>
      <c r="B348" s="15" t="s">
        <v>23</v>
      </c>
      <c r="C348" s="15" t="s">
        <v>259</v>
      </c>
      <c r="D348" s="15" t="s">
        <v>65</v>
      </c>
      <c r="E348" s="15" t="s">
        <v>544</v>
      </c>
      <c r="F348" s="15" t="s">
        <v>27</v>
      </c>
      <c r="G348" s="15" t="s">
        <v>28</v>
      </c>
      <c r="H348" s="15" t="s">
        <v>1555</v>
      </c>
      <c r="I348" s="15" t="s">
        <v>138</v>
      </c>
      <c r="J348" s="15" t="s">
        <v>106</v>
      </c>
      <c r="K348" s="15" t="s">
        <v>122</v>
      </c>
      <c r="L348" s="15" t="s">
        <v>263</v>
      </c>
      <c r="M348" s="15">
        <v>20</v>
      </c>
      <c r="N348" s="15">
        <v>45</v>
      </c>
      <c r="O348" s="15">
        <v>15</v>
      </c>
      <c r="P348" s="15">
        <v>765</v>
      </c>
      <c r="Q348" s="15">
        <v>4</v>
      </c>
      <c r="R348" s="15" t="s">
        <v>34</v>
      </c>
      <c r="S348" s="15" t="s">
        <v>151</v>
      </c>
      <c r="T348" s="15" t="s">
        <v>50</v>
      </c>
      <c r="U348" s="17" t="s">
        <v>1556</v>
      </c>
      <c r="V348" s="15" t="s">
        <v>69</v>
      </c>
    </row>
    <row r="349" spans="1:22">
      <c r="A349" s="18" t="s">
        <v>1557</v>
      </c>
      <c r="B349" s="18" t="s">
        <v>251</v>
      </c>
      <c r="C349" s="18" t="s">
        <v>24</v>
      </c>
      <c r="D349" s="18" t="s">
        <v>1286</v>
      </c>
      <c r="E349" s="18" t="s">
        <v>356</v>
      </c>
      <c r="F349" s="18" t="s">
        <v>254</v>
      </c>
      <c r="G349" s="18" t="s">
        <v>28</v>
      </c>
      <c r="H349" s="18" t="s">
        <v>1558</v>
      </c>
      <c r="I349" s="18" t="s">
        <v>44</v>
      </c>
      <c r="J349" s="18" t="s">
        <v>45</v>
      </c>
      <c r="K349" s="18" t="s">
        <v>32</v>
      </c>
      <c r="L349" s="18" t="s">
        <v>33</v>
      </c>
      <c r="M349" s="18">
        <v>13</v>
      </c>
      <c r="N349" s="18">
        <v>2200</v>
      </c>
      <c r="O349" s="18">
        <v>15</v>
      </c>
      <c r="P349" s="18">
        <v>24310</v>
      </c>
      <c r="Q349" s="18">
        <v>2</v>
      </c>
      <c r="R349" s="18" t="s">
        <v>48</v>
      </c>
      <c r="S349" s="18" t="s">
        <v>115</v>
      </c>
      <c r="T349" s="18" t="s">
        <v>256</v>
      </c>
      <c r="U349" s="19" t="s">
        <v>1559</v>
      </c>
      <c r="V349" s="18" t="s">
        <v>64</v>
      </c>
    </row>
    <row r="350" spans="1:22">
      <c r="A350" s="15" t="s">
        <v>1560</v>
      </c>
      <c r="B350" s="15" t="s">
        <v>53</v>
      </c>
      <c r="C350" s="15" t="s">
        <v>1561</v>
      </c>
      <c r="D350" s="15" t="s">
        <v>340</v>
      </c>
      <c r="E350" s="15" t="s">
        <v>346</v>
      </c>
      <c r="F350" s="15" t="s">
        <v>163</v>
      </c>
      <c r="G350" s="15" t="s">
        <v>28</v>
      </c>
      <c r="H350" s="15" t="s">
        <v>1562</v>
      </c>
      <c r="I350" s="15" t="s">
        <v>294</v>
      </c>
      <c r="J350" s="15" t="s">
        <v>295</v>
      </c>
      <c r="K350" s="15" t="s">
        <v>32</v>
      </c>
      <c r="L350" s="15" t="s">
        <v>174</v>
      </c>
      <c r="M350" s="15">
        <v>11</v>
      </c>
      <c r="N350" s="15">
        <v>8500</v>
      </c>
      <c r="O350" s="15">
        <v>5</v>
      </c>
      <c r="P350" s="15">
        <v>88825</v>
      </c>
      <c r="Q350" s="15">
        <v>1</v>
      </c>
      <c r="R350" s="15" t="s">
        <v>88</v>
      </c>
      <c r="S350" s="15" t="s">
        <v>115</v>
      </c>
      <c r="T350" s="15" t="s">
        <v>62</v>
      </c>
      <c r="U350" s="17" t="s">
        <v>1563</v>
      </c>
      <c r="V350" s="15" t="s">
        <v>69</v>
      </c>
    </row>
    <row r="351" spans="1:22">
      <c r="A351" s="18" t="s">
        <v>1564</v>
      </c>
      <c r="B351" s="18" t="s">
        <v>53</v>
      </c>
      <c r="C351" s="18" t="s">
        <v>24</v>
      </c>
      <c r="D351" s="18" t="s">
        <v>1565</v>
      </c>
      <c r="E351" s="18" t="s">
        <v>1475</v>
      </c>
      <c r="F351" s="18" t="s">
        <v>163</v>
      </c>
      <c r="G351" s="18" t="s">
        <v>28</v>
      </c>
      <c r="H351" s="18" t="s">
        <v>1566</v>
      </c>
      <c r="I351" s="18" t="s">
        <v>212</v>
      </c>
      <c r="J351" s="18" t="s">
        <v>45</v>
      </c>
      <c r="K351" s="18" t="s">
        <v>32</v>
      </c>
      <c r="L351" s="18" t="s">
        <v>33</v>
      </c>
      <c r="M351" s="18">
        <v>2</v>
      </c>
      <c r="N351" s="18">
        <v>2200</v>
      </c>
      <c r="O351" s="18">
        <v>0</v>
      </c>
      <c r="P351" s="18">
        <v>4400</v>
      </c>
      <c r="Q351" s="18">
        <v>4</v>
      </c>
      <c r="R351" s="18" t="s">
        <v>88</v>
      </c>
      <c r="S351" s="18" t="s">
        <v>151</v>
      </c>
      <c r="T351" s="18" t="s">
        <v>62</v>
      </c>
      <c r="U351" s="19" t="s">
        <v>1567</v>
      </c>
      <c r="V351" s="18" t="s">
        <v>64</v>
      </c>
    </row>
    <row r="352" spans="1:22">
      <c r="A352" s="15" t="s">
        <v>1568</v>
      </c>
      <c r="B352" s="15" t="s">
        <v>83</v>
      </c>
      <c r="C352" s="15" t="s">
        <v>184</v>
      </c>
      <c r="D352" s="15" t="s">
        <v>1242</v>
      </c>
      <c r="E352" s="15" t="s">
        <v>720</v>
      </c>
      <c r="F352" s="15" t="s">
        <v>180</v>
      </c>
      <c r="G352" s="15" t="s">
        <v>76</v>
      </c>
      <c r="H352" s="15" t="s">
        <v>1569</v>
      </c>
      <c r="I352" s="15" t="s">
        <v>105</v>
      </c>
      <c r="J352" s="15" t="s">
        <v>106</v>
      </c>
      <c r="K352" s="15" t="s">
        <v>46</v>
      </c>
      <c r="L352" s="15" t="s">
        <v>189</v>
      </c>
      <c r="M352" s="15">
        <v>15</v>
      </c>
      <c r="N352" s="15">
        <v>700</v>
      </c>
      <c r="O352" s="15">
        <v>15</v>
      </c>
      <c r="P352" s="15">
        <v>8925</v>
      </c>
      <c r="Q352" s="15">
        <v>3</v>
      </c>
      <c r="R352" s="15" t="s">
        <v>48</v>
      </c>
      <c r="S352" s="15" t="s">
        <v>115</v>
      </c>
      <c r="T352" s="15" t="s">
        <v>89</v>
      </c>
      <c r="U352" s="17" t="s">
        <v>1570</v>
      </c>
      <c r="V352" s="15" t="s">
        <v>38</v>
      </c>
    </row>
    <row r="353" spans="1:22">
      <c r="A353" s="18" t="s">
        <v>1571</v>
      </c>
      <c r="B353" s="18" t="s">
        <v>127</v>
      </c>
      <c r="C353" s="18" t="s">
        <v>24</v>
      </c>
      <c r="D353" s="18" t="s">
        <v>1572</v>
      </c>
      <c r="E353" s="18" t="s">
        <v>835</v>
      </c>
      <c r="F353" s="18" t="s">
        <v>200</v>
      </c>
      <c r="G353" s="18" t="s">
        <v>76</v>
      </c>
      <c r="H353" s="18" t="s">
        <v>1573</v>
      </c>
      <c r="I353" s="18" t="s">
        <v>138</v>
      </c>
      <c r="J353" s="18" t="s">
        <v>106</v>
      </c>
      <c r="K353" s="18" t="s">
        <v>32</v>
      </c>
      <c r="L353" s="18" t="s">
        <v>33</v>
      </c>
      <c r="M353" s="18">
        <v>5</v>
      </c>
      <c r="N353" s="18">
        <v>2200</v>
      </c>
      <c r="O353" s="18">
        <v>15</v>
      </c>
      <c r="P353" s="18">
        <v>9350</v>
      </c>
      <c r="Q353" s="18">
        <v>1</v>
      </c>
      <c r="R353" s="18" t="s">
        <v>48</v>
      </c>
      <c r="S353" s="18" t="s">
        <v>115</v>
      </c>
      <c r="T353" s="18" t="s">
        <v>132</v>
      </c>
      <c r="U353" s="19" t="s">
        <v>1574</v>
      </c>
      <c r="V353" s="18" t="s">
        <v>64</v>
      </c>
    </row>
    <row r="354" spans="1:22">
      <c r="A354" s="15" t="s">
        <v>1575</v>
      </c>
      <c r="B354" s="15" t="s">
        <v>83</v>
      </c>
      <c r="C354" s="15" t="s">
        <v>72</v>
      </c>
      <c r="D354" s="15" t="s">
        <v>554</v>
      </c>
      <c r="E354" s="15" t="s">
        <v>1480</v>
      </c>
      <c r="F354" s="15" t="s">
        <v>180</v>
      </c>
      <c r="G354" s="15" t="s">
        <v>76</v>
      </c>
      <c r="H354" s="15" t="s">
        <v>1576</v>
      </c>
      <c r="I354" s="15" t="s">
        <v>138</v>
      </c>
      <c r="J354" s="15" t="s">
        <v>106</v>
      </c>
      <c r="K354" s="15" t="s">
        <v>46</v>
      </c>
      <c r="L354" s="15" t="s">
        <v>78</v>
      </c>
      <c r="M354" s="15">
        <v>15</v>
      </c>
      <c r="N354" s="15">
        <v>1200</v>
      </c>
      <c r="O354" s="15">
        <v>0</v>
      </c>
      <c r="P354" s="15">
        <v>18000</v>
      </c>
      <c r="Q354" s="15">
        <v>3</v>
      </c>
      <c r="R354" s="15" t="s">
        <v>48</v>
      </c>
      <c r="S354" s="15" t="s">
        <v>61</v>
      </c>
      <c r="T354" s="15" t="s">
        <v>89</v>
      </c>
      <c r="U354" s="17" t="s">
        <v>1577</v>
      </c>
      <c r="V354" s="15" t="s">
        <v>69</v>
      </c>
    </row>
    <row r="355" spans="1:22">
      <c r="A355" s="18" t="s">
        <v>1578</v>
      </c>
      <c r="B355" s="18" t="s">
        <v>251</v>
      </c>
      <c r="C355" s="18" t="s">
        <v>72</v>
      </c>
      <c r="D355" s="18" t="s">
        <v>161</v>
      </c>
      <c r="E355" s="18" t="s">
        <v>657</v>
      </c>
      <c r="F355" s="18" t="s">
        <v>254</v>
      </c>
      <c r="G355" s="18" t="s">
        <v>28</v>
      </c>
      <c r="H355" s="18" t="s">
        <v>1579</v>
      </c>
      <c r="I355" s="18" t="s">
        <v>105</v>
      </c>
      <c r="J355" s="18" t="s">
        <v>106</v>
      </c>
      <c r="K355" s="18" t="s">
        <v>46</v>
      </c>
      <c r="L355" s="18" t="s">
        <v>78</v>
      </c>
      <c r="M355" s="18">
        <v>19</v>
      </c>
      <c r="N355" s="18">
        <v>1200</v>
      </c>
      <c r="O355" s="18">
        <v>0</v>
      </c>
      <c r="P355" s="18">
        <v>22800</v>
      </c>
      <c r="Q355" s="18">
        <v>1</v>
      </c>
      <c r="R355" s="18" t="s">
        <v>34</v>
      </c>
      <c r="S355" s="18" t="s">
        <v>49</v>
      </c>
      <c r="T355" s="18" t="s">
        <v>256</v>
      </c>
      <c r="U355" s="19" t="s">
        <v>1580</v>
      </c>
      <c r="V355" s="18" t="s">
        <v>69</v>
      </c>
    </row>
    <row r="356" spans="1:22">
      <c r="A356" s="15" t="s">
        <v>1581</v>
      </c>
      <c r="B356" s="15" t="s">
        <v>168</v>
      </c>
      <c r="C356" s="15" t="s">
        <v>40</v>
      </c>
      <c r="D356" s="15" t="s">
        <v>25</v>
      </c>
      <c r="E356" s="15" t="s">
        <v>1582</v>
      </c>
      <c r="F356" s="15" t="s">
        <v>361</v>
      </c>
      <c r="G356" s="15" t="s">
        <v>28</v>
      </c>
      <c r="H356" s="15" t="s">
        <v>1583</v>
      </c>
      <c r="I356" s="15" t="s">
        <v>105</v>
      </c>
      <c r="J356" s="15" t="s">
        <v>106</v>
      </c>
      <c r="K356" s="15" t="s">
        <v>46</v>
      </c>
      <c r="L356" s="15" t="s">
        <v>47</v>
      </c>
      <c r="M356" s="15">
        <v>9</v>
      </c>
      <c r="N356" s="15">
        <v>12000</v>
      </c>
      <c r="O356" s="15">
        <v>15</v>
      </c>
      <c r="P356" s="15">
        <v>91800</v>
      </c>
      <c r="Q356" s="15">
        <v>3</v>
      </c>
      <c r="R356" s="15" t="s">
        <v>88</v>
      </c>
      <c r="S356" s="15" t="s">
        <v>49</v>
      </c>
      <c r="T356" s="15" t="s">
        <v>175</v>
      </c>
      <c r="U356" s="17" t="s">
        <v>1584</v>
      </c>
      <c r="V356" s="15" t="s">
        <v>69</v>
      </c>
    </row>
    <row r="357" spans="1:22">
      <c r="A357" s="18" t="s">
        <v>1585</v>
      </c>
      <c r="B357" s="18" t="s">
        <v>23</v>
      </c>
      <c r="C357" s="18" t="s">
        <v>259</v>
      </c>
      <c r="D357" s="18" t="s">
        <v>345</v>
      </c>
      <c r="E357" s="18" t="s">
        <v>793</v>
      </c>
      <c r="F357" s="18" t="s">
        <v>27</v>
      </c>
      <c r="G357" s="18" t="s">
        <v>28</v>
      </c>
      <c r="H357" s="18" t="s">
        <v>1586</v>
      </c>
      <c r="I357" s="18" t="s">
        <v>212</v>
      </c>
      <c r="J357" s="18" t="s">
        <v>45</v>
      </c>
      <c r="K357" s="18" t="s">
        <v>122</v>
      </c>
      <c r="L357" s="18" t="s">
        <v>263</v>
      </c>
      <c r="M357" s="18">
        <v>5</v>
      </c>
      <c r="N357" s="18">
        <v>45</v>
      </c>
      <c r="O357" s="18">
        <v>5</v>
      </c>
      <c r="P357" s="18">
        <v>213.75</v>
      </c>
      <c r="Q357" s="18">
        <v>1</v>
      </c>
      <c r="R357" s="18" t="s">
        <v>79</v>
      </c>
      <c r="S357" s="18" t="s">
        <v>115</v>
      </c>
      <c r="T357" s="18" t="s">
        <v>50</v>
      </c>
      <c r="U357" s="19" t="s">
        <v>1587</v>
      </c>
      <c r="V357" s="18" t="s">
        <v>38</v>
      </c>
    </row>
    <row r="358" spans="1:22">
      <c r="A358" s="15" t="s">
        <v>1588</v>
      </c>
      <c r="B358" s="15" t="s">
        <v>251</v>
      </c>
      <c r="C358" s="15" t="s">
        <v>184</v>
      </c>
      <c r="D358" s="15" t="s">
        <v>1589</v>
      </c>
      <c r="E358" s="15" t="s">
        <v>1373</v>
      </c>
      <c r="F358" s="15" t="s">
        <v>254</v>
      </c>
      <c r="G358" s="15" t="s">
        <v>28</v>
      </c>
      <c r="H358" s="15" t="s">
        <v>1590</v>
      </c>
      <c r="I358" s="15" t="s">
        <v>105</v>
      </c>
      <c r="J358" s="15" t="s">
        <v>106</v>
      </c>
      <c r="K358" s="15" t="s">
        <v>46</v>
      </c>
      <c r="L358" s="15" t="s">
        <v>189</v>
      </c>
      <c r="M358" s="15">
        <v>3</v>
      </c>
      <c r="N358" s="15">
        <v>700</v>
      </c>
      <c r="O358" s="15">
        <v>15</v>
      </c>
      <c r="P358" s="15">
        <v>1785</v>
      </c>
      <c r="Q358" s="15">
        <v>4</v>
      </c>
      <c r="R358" s="15" t="s">
        <v>34</v>
      </c>
      <c r="S358" s="15" t="s">
        <v>151</v>
      </c>
      <c r="T358" s="15" t="s">
        <v>256</v>
      </c>
      <c r="U358" s="17" t="s">
        <v>1591</v>
      </c>
      <c r="V358" s="15" t="s">
        <v>38</v>
      </c>
    </row>
    <row r="359" spans="1:22">
      <c r="A359" s="18" t="s">
        <v>1592</v>
      </c>
      <c r="B359" s="18" t="s">
        <v>71</v>
      </c>
      <c r="C359" s="18" t="s">
        <v>169</v>
      </c>
      <c r="D359" s="18" t="s">
        <v>454</v>
      </c>
      <c r="E359" s="18" t="s">
        <v>961</v>
      </c>
      <c r="F359" s="18" t="s">
        <v>217</v>
      </c>
      <c r="G359" s="18" t="s">
        <v>76</v>
      </c>
      <c r="H359" s="18" t="s">
        <v>1593</v>
      </c>
      <c r="I359" s="18" t="s">
        <v>212</v>
      </c>
      <c r="J359" s="18" t="s">
        <v>45</v>
      </c>
      <c r="K359" s="18" t="s">
        <v>32</v>
      </c>
      <c r="L359" s="18" t="s">
        <v>174</v>
      </c>
      <c r="M359" s="18">
        <v>12</v>
      </c>
      <c r="N359" s="18">
        <v>8500</v>
      </c>
      <c r="O359" s="18">
        <v>5</v>
      </c>
      <c r="P359" s="18">
        <v>96900</v>
      </c>
      <c r="Q359" s="18">
        <v>3</v>
      </c>
      <c r="R359" s="18" t="s">
        <v>79</v>
      </c>
      <c r="S359" s="18" t="s">
        <v>61</v>
      </c>
      <c r="T359" s="18" t="s">
        <v>80</v>
      </c>
      <c r="U359" s="19" t="s">
        <v>1594</v>
      </c>
      <c r="V359" s="18" t="s">
        <v>64</v>
      </c>
    </row>
    <row r="360" spans="1:22">
      <c r="A360" s="15" t="s">
        <v>1595</v>
      </c>
      <c r="B360" s="15" t="s">
        <v>251</v>
      </c>
      <c r="C360" s="15" t="s">
        <v>169</v>
      </c>
      <c r="D360" s="15" t="s">
        <v>162</v>
      </c>
      <c r="E360" s="15" t="s">
        <v>356</v>
      </c>
      <c r="F360" s="15" t="s">
        <v>254</v>
      </c>
      <c r="G360" s="15" t="s">
        <v>28</v>
      </c>
      <c r="H360" s="15" t="s">
        <v>1596</v>
      </c>
      <c r="I360" s="15" t="s">
        <v>114</v>
      </c>
      <c r="J360" s="15" t="s">
        <v>106</v>
      </c>
      <c r="K360" s="15" t="s">
        <v>32</v>
      </c>
      <c r="L360" s="15" t="s">
        <v>174</v>
      </c>
      <c r="M360" s="15">
        <v>4</v>
      </c>
      <c r="N360" s="15">
        <v>8500</v>
      </c>
      <c r="O360" s="15">
        <v>15</v>
      </c>
      <c r="P360" s="15">
        <v>28900</v>
      </c>
      <c r="Q360" s="15">
        <v>4</v>
      </c>
      <c r="R360" s="15" t="s">
        <v>48</v>
      </c>
      <c r="S360" s="15" t="s">
        <v>61</v>
      </c>
      <c r="T360" s="15" t="s">
        <v>256</v>
      </c>
      <c r="U360" s="17" t="s">
        <v>1597</v>
      </c>
      <c r="V360" s="15" t="s">
        <v>64</v>
      </c>
    </row>
    <row r="361" spans="1:22">
      <c r="A361" s="18" t="s">
        <v>1598</v>
      </c>
      <c r="B361" s="18" t="s">
        <v>127</v>
      </c>
      <c r="C361" s="18" t="s">
        <v>222</v>
      </c>
      <c r="D361" s="18" t="s">
        <v>102</v>
      </c>
      <c r="E361" s="18" t="s">
        <v>953</v>
      </c>
      <c r="F361" s="18" t="s">
        <v>200</v>
      </c>
      <c r="G361" s="18" t="s">
        <v>76</v>
      </c>
      <c r="H361" s="18" t="s">
        <v>1599</v>
      </c>
      <c r="I361" s="18" t="s">
        <v>212</v>
      </c>
      <c r="J361" s="18" t="s">
        <v>45</v>
      </c>
      <c r="K361" s="18" t="s">
        <v>122</v>
      </c>
      <c r="L361" s="18" t="s">
        <v>227</v>
      </c>
      <c r="M361" s="18">
        <v>16</v>
      </c>
      <c r="N361" s="18">
        <v>20</v>
      </c>
      <c r="O361" s="18">
        <v>10</v>
      </c>
      <c r="P361" s="18">
        <v>288</v>
      </c>
      <c r="Q361" s="18">
        <v>4</v>
      </c>
      <c r="R361" s="18" t="s">
        <v>34</v>
      </c>
      <c r="S361" s="18" t="s">
        <v>115</v>
      </c>
      <c r="T361" s="18" t="s">
        <v>132</v>
      </c>
      <c r="U361" s="19" t="s">
        <v>1600</v>
      </c>
      <c r="V361" s="18" t="s">
        <v>69</v>
      </c>
    </row>
    <row r="362" spans="1:22">
      <c r="A362" s="15" t="s">
        <v>1601</v>
      </c>
      <c r="B362" s="15" t="s">
        <v>127</v>
      </c>
      <c r="C362" s="15" t="s">
        <v>118</v>
      </c>
      <c r="D362" s="15" t="s">
        <v>601</v>
      </c>
      <c r="E362" s="15" t="s">
        <v>1602</v>
      </c>
      <c r="F362" s="15" t="s">
        <v>200</v>
      </c>
      <c r="G362" s="15" t="s">
        <v>76</v>
      </c>
      <c r="H362" s="15" t="s">
        <v>1603</v>
      </c>
      <c r="I362" s="15" t="s">
        <v>105</v>
      </c>
      <c r="J362" s="15" t="s">
        <v>106</v>
      </c>
      <c r="K362" s="15" t="s">
        <v>122</v>
      </c>
      <c r="L362" s="15" t="s">
        <v>123</v>
      </c>
      <c r="M362" s="15">
        <v>3</v>
      </c>
      <c r="N362" s="15">
        <v>60</v>
      </c>
      <c r="O362" s="15">
        <v>20</v>
      </c>
      <c r="P362" s="15">
        <v>144</v>
      </c>
      <c r="Q362" s="15">
        <v>4</v>
      </c>
      <c r="R362" s="15" t="s">
        <v>88</v>
      </c>
      <c r="S362" s="15" t="s">
        <v>151</v>
      </c>
      <c r="T362" s="15" t="s">
        <v>132</v>
      </c>
      <c r="U362" s="17" t="s">
        <v>1604</v>
      </c>
      <c r="V362" s="15" t="s">
        <v>64</v>
      </c>
    </row>
    <row r="363" spans="1:22">
      <c r="A363" s="18" t="s">
        <v>1605</v>
      </c>
      <c r="B363" s="18" t="s">
        <v>71</v>
      </c>
      <c r="C363" s="18" t="s">
        <v>24</v>
      </c>
      <c r="D363" s="18" t="s">
        <v>1106</v>
      </c>
      <c r="E363" s="18" t="s">
        <v>155</v>
      </c>
      <c r="F363" s="18" t="s">
        <v>217</v>
      </c>
      <c r="G363" s="18" t="s">
        <v>76</v>
      </c>
      <c r="H363" s="18" t="s">
        <v>1606</v>
      </c>
      <c r="I363" s="18" t="s">
        <v>105</v>
      </c>
      <c r="J363" s="18" t="s">
        <v>106</v>
      </c>
      <c r="K363" s="18" t="s">
        <v>32</v>
      </c>
      <c r="L363" s="18" t="s">
        <v>33</v>
      </c>
      <c r="M363" s="18">
        <v>19</v>
      </c>
      <c r="N363" s="18">
        <v>2200</v>
      </c>
      <c r="O363" s="18">
        <v>10</v>
      </c>
      <c r="P363" s="18">
        <v>37620</v>
      </c>
      <c r="Q363" s="18">
        <v>2</v>
      </c>
      <c r="R363" s="18" t="s">
        <v>34</v>
      </c>
      <c r="S363" s="18" t="s">
        <v>151</v>
      </c>
      <c r="T363" s="18" t="s">
        <v>80</v>
      </c>
      <c r="U363" s="19" t="s">
        <v>1607</v>
      </c>
      <c r="V363" s="18" t="s">
        <v>64</v>
      </c>
    </row>
    <row r="364" spans="1:22">
      <c r="A364" s="15" t="s">
        <v>1608</v>
      </c>
      <c r="B364" s="15" t="s">
        <v>71</v>
      </c>
      <c r="C364" s="15" t="s">
        <v>72</v>
      </c>
      <c r="D364" s="15" t="s">
        <v>1609</v>
      </c>
      <c r="E364" s="15" t="s">
        <v>588</v>
      </c>
      <c r="F364" s="15" t="s">
        <v>217</v>
      </c>
      <c r="G364" s="15" t="s">
        <v>76</v>
      </c>
      <c r="H364" s="15" t="s">
        <v>1610</v>
      </c>
      <c r="I364" s="15" t="s">
        <v>30</v>
      </c>
      <c r="J364" s="15" t="s">
        <v>31</v>
      </c>
      <c r="K364" s="15" t="s">
        <v>46</v>
      </c>
      <c r="L364" s="15" t="s">
        <v>78</v>
      </c>
      <c r="M364" s="15">
        <v>7</v>
      </c>
      <c r="N364" s="15">
        <v>1200</v>
      </c>
      <c r="O364" s="15">
        <v>20</v>
      </c>
      <c r="P364" s="15">
        <v>6720</v>
      </c>
      <c r="Q364" s="15">
        <v>3</v>
      </c>
      <c r="R364" s="15" t="s">
        <v>79</v>
      </c>
      <c r="S364" s="15" t="s">
        <v>115</v>
      </c>
      <c r="T364" s="15" t="s">
        <v>80</v>
      </c>
      <c r="U364" s="17" t="s">
        <v>1611</v>
      </c>
      <c r="V364" s="15" t="s">
        <v>69</v>
      </c>
    </row>
    <row r="365" spans="1:22">
      <c r="A365" s="18" t="s">
        <v>1612</v>
      </c>
      <c r="B365" s="18" t="s">
        <v>53</v>
      </c>
      <c r="C365" s="18" t="s">
        <v>222</v>
      </c>
      <c r="D365" s="18" t="s">
        <v>543</v>
      </c>
      <c r="E365" s="18" t="s">
        <v>65</v>
      </c>
      <c r="F365" s="18" t="s">
        <v>163</v>
      </c>
      <c r="G365" s="18" t="s">
        <v>28</v>
      </c>
      <c r="H365" s="18" t="s">
        <v>1613</v>
      </c>
      <c r="I365" s="18" t="s">
        <v>59</v>
      </c>
      <c r="J365" s="18" t="s">
        <v>31</v>
      </c>
      <c r="K365" s="18" t="s">
        <v>122</v>
      </c>
      <c r="L365" s="18" t="s">
        <v>227</v>
      </c>
      <c r="M365" s="18">
        <v>20</v>
      </c>
      <c r="N365" s="18">
        <v>20</v>
      </c>
      <c r="O365" s="18">
        <v>20</v>
      </c>
      <c r="P365" s="18">
        <v>320</v>
      </c>
      <c r="Q365" s="18">
        <v>5</v>
      </c>
      <c r="R365" s="18" t="s">
        <v>79</v>
      </c>
      <c r="S365" s="18" t="s">
        <v>115</v>
      </c>
      <c r="T365" s="18" t="s">
        <v>62</v>
      </c>
      <c r="U365" s="19" t="s">
        <v>1614</v>
      </c>
      <c r="V365" s="18" t="s">
        <v>64</v>
      </c>
    </row>
    <row r="366" spans="1:22">
      <c r="A366" s="15" t="s">
        <v>1615</v>
      </c>
      <c r="B366" s="15" t="s">
        <v>100</v>
      </c>
      <c r="C366" s="15" t="s">
        <v>72</v>
      </c>
      <c r="D366" s="15" t="s">
        <v>210</v>
      </c>
      <c r="E366" s="15" t="s">
        <v>1616</v>
      </c>
      <c r="F366" s="15" t="s">
        <v>103</v>
      </c>
      <c r="G366" s="15" t="s">
        <v>28</v>
      </c>
      <c r="H366" s="15" t="s">
        <v>1617</v>
      </c>
      <c r="I366" s="15" t="s">
        <v>30</v>
      </c>
      <c r="J366" s="15" t="s">
        <v>31</v>
      </c>
      <c r="K366" s="15" t="s">
        <v>46</v>
      </c>
      <c r="L366" s="15" t="s">
        <v>78</v>
      </c>
      <c r="M366" s="15">
        <v>19</v>
      </c>
      <c r="N366" s="15">
        <v>1200</v>
      </c>
      <c r="O366" s="15">
        <v>5</v>
      </c>
      <c r="P366" s="15">
        <v>21660</v>
      </c>
      <c r="Q366" s="15">
        <v>3</v>
      </c>
      <c r="R366" s="15" t="s">
        <v>79</v>
      </c>
      <c r="S366" s="15" t="s">
        <v>35</v>
      </c>
      <c r="T366" s="15" t="s">
        <v>144</v>
      </c>
      <c r="U366" s="17" t="s">
        <v>1618</v>
      </c>
      <c r="V366" s="15" t="s">
        <v>64</v>
      </c>
    </row>
    <row r="367" spans="1:22">
      <c r="A367" s="18" t="s">
        <v>1619</v>
      </c>
      <c r="B367" s="18" t="s">
        <v>53</v>
      </c>
      <c r="C367" s="18" t="s">
        <v>222</v>
      </c>
      <c r="D367" s="18" t="s">
        <v>1620</v>
      </c>
      <c r="E367" s="18" t="s">
        <v>302</v>
      </c>
      <c r="F367" s="18" t="s">
        <v>163</v>
      </c>
      <c r="G367" s="18" t="s">
        <v>28</v>
      </c>
      <c r="H367" s="18" t="s">
        <v>1621</v>
      </c>
      <c r="I367" s="18" t="s">
        <v>30</v>
      </c>
      <c r="J367" s="18" t="s">
        <v>31</v>
      </c>
      <c r="K367" s="18" t="s">
        <v>122</v>
      </c>
      <c r="L367" s="18" t="s">
        <v>227</v>
      </c>
      <c r="M367" s="18">
        <v>5</v>
      </c>
      <c r="N367" s="18">
        <v>20</v>
      </c>
      <c r="O367" s="18">
        <v>0</v>
      </c>
      <c r="P367" s="18">
        <v>100</v>
      </c>
      <c r="Q367" s="18">
        <v>2</v>
      </c>
      <c r="R367" s="18" t="s">
        <v>88</v>
      </c>
      <c r="S367" s="18" t="s">
        <v>49</v>
      </c>
      <c r="T367" s="18" t="s">
        <v>62</v>
      </c>
      <c r="U367" s="19" t="s">
        <v>1622</v>
      </c>
      <c r="V367" s="18" t="s">
        <v>64</v>
      </c>
    </row>
    <row r="368" spans="1:22">
      <c r="A368" s="15" t="s">
        <v>1623</v>
      </c>
      <c r="B368" s="15" t="s">
        <v>100</v>
      </c>
      <c r="C368" s="15" t="s">
        <v>259</v>
      </c>
      <c r="D368" s="15" t="s">
        <v>797</v>
      </c>
      <c r="E368" s="15" t="s">
        <v>543</v>
      </c>
      <c r="F368" s="15" t="s">
        <v>103</v>
      </c>
      <c r="G368" s="15" t="s">
        <v>28</v>
      </c>
      <c r="H368" s="15" t="s">
        <v>1624</v>
      </c>
      <c r="I368" s="15" t="s">
        <v>212</v>
      </c>
      <c r="J368" s="15" t="s">
        <v>45</v>
      </c>
      <c r="K368" s="15" t="s">
        <v>122</v>
      </c>
      <c r="L368" s="15" t="s">
        <v>263</v>
      </c>
      <c r="M368" s="15">
        <v>16</v>
      </c>
      <c r="N368" s="15">
        <v>45</v>
      </c>
      <c r="O368" s="15">
        <v>15</v>
      </c>
      <c r="P368" s="15">
        <v>612</v>
      </c>
      <c r="Q368" s="15">
        <v>5</v>
      </c>
      <c r="R368" s="15" t="s">
        <v>34</v>
      </c>
      <c r="S368" s="15" t="s">
        <v>61</v>
      </c>
      <c r="T368" s="15" t="s">
        <v>144</v>
      </c>
      <c r="U368" s="17" t="s">
        <v>1625</v>
      </c>
      <c r="V368" s="15" t="s">
        <v>69</v>
      </c>
    </row>
    <row r="369" spans="1:22">
      <c r="A369" s="18" t="s">
        <v>1626</v>
      </c>
      <c r="B369" s="18" t="s">
        <v>23</v>
      </c>
      <c r="C369" s="18" t="s">
        <v>24</v>
      </c>
      <c r="D369" s="18" t="s">
        <v>1263</v>
      </c>
      <c r="E369" s="18" t="s">
        <v>944</v>
      </c>
      <c r="F369" s="18" t="s">
        <v>27</v>
      </c>
      <c r="G369" s="18" t="s">
        <v>28</v>
      </c>
      <c r="H369" s="18" t="s">
        <v>1627</v>
      </c>
      <c r="I369" s="18" t="s">
        <v>212</v>
      </c>
      <c r="J369" s="18" t="s">
        <v>45</v>
      </c>
      <c r="K369" s="18" t="s">
        <v>32</v>
      </c>
      <c r="L369" s="18" t="s">
        <v>33</v>
      </c>
      <c r="M369" s="18">
        <v>1</v>
      </c>
      <c r="N369" s="18">
        <v>2200</v>
      </c>
      <c r="O369" s="18">
        <v>10</v>
      </c>
      <c r="P369" s="18">
        <v>1980</v>
      </c>
      <c r="Q369" s="18">
        <v>5</v>
      </c>
      <c r="R369" s="18" t="s">
        <v>79</v>
      </c>
      <c r="S369" s="18" t="s">
        <v>49</v>
      </c>
      <c r="T369" s="18" t="s">
        <v>50</v>
      </c>
      <c r="U369" s="19" t="s">
        <v>1628</v>
      </c>
      <c r="V369" s="18" t="s">
        <v>38</v>
      </c>
    </row>
    <row r="370" spans="1:22">
      <c r="A370" s="15" t="s">
        <v>1629</v>
      </c>
      <c r="B370" s="15" t="s">
        <v>53</v>
      </c>
      <c r="C370" s="15" t="s">
        <v>118</v>
      </c>
      <c r="D370" s="15" t="s">
        <v>891</v>
      </c>
      <c r="E370" s="15" t="s">
        <v>1630</v>
      </c>
      <c r="F370" s="15" t="s">
        <v>163</v>
      </c>
      <c r="G370" s="15" t="s">
        <v>28</v>
      </c>
      <c r="H370" s="15" t="s">
        <v>1631</v>
      </c>
      <c r="I370" s="15" t="s">
        <v>30</v>
      </c>
      <c r="J370" s="15" t="s">
        <v>31</v>
      </c>
      <c r="K370" s="15" t="s">
        <v>122</v>
      </c>
      <c r="L370" s="15" t="s">
        <v>123</v>
      </c>
      <c r="M370" s="15">
        <v>19</v>
      </c>
      <c r="N370" s="15">
        <v>60</v>
      </c>
      <c r="O370" s="15">
        <v>15</v>
      </c>
      <c r="P370" s="15">
        <v>969</v>
      </c>
      <c r="Q370" s="15">
        <v>4</v>
      </c>
      <c r="R370" s="15" t="s">
        <v>48</v>
      </c>
      <c r="S370" s="15" t="s">
        <v>115</v>
      </c>
      <c r="T370" s="15" t="s">
        <v>62</v>
      </c>
      <c r="U370" s="17" t="s">
        <v>1632</v>
      </c>
      <c r="V370" s="15" t="s">
        <v>69</v>
      </c>
    </row>
    <row r="371" spans="1:22">
      <c r="A371" s="18" t="s">
        <v>1633</v>
      </c>
      <c r="B371" s="18" t="s">
        <v>327</v>
      </c>
      <c r="C371" s="18" t="s">
        <v>54</v>
      </c>
      <c r="D371" s="18"/>
      <c r="E371" s="18" t="s">
        <v>1634</v>
      </c>
      <c r="F371" s="18" t="s">
        <v>394</v>
      </c>
      <c r="G371" s="18" t="s">
        <v>76</v>
      </c>
      <c r="H371" s="18" t="s">
        <v>1635</v>
      </c>
      <c r="I371" s="18" t="s">
        <v>44</v>
      </c>
      <c r="J371" s="18" t="s">
        <v>45</v>
      </c>
      <c r="K371" s="18" t="s">
        <v>46</v>
      </c>
      <c r="L371" s="18" t="s">
        <v>60</v>
      </c>
      <c r="M371" s="18">
        <v>15</v>
      </c>
      <c r="N371" s="18">
        <v>55000</v>
      </c>
      <c r="O371" s="18">
        <v>0</v>
      </c>
      <c r="P371" s="18">
        <v>825000</v>
      </c>
      <c r="Q371" s="18">
        <v>5</v>
      </c>
      <c r="R371" s="18" t="s">
        <v>79</v>
      </c>
      <c r="S371" s="18" t="s">
        <v>115</v>
      </c>
      <c r="T371" s="18" t="s">
        <v>332</v>
      </c>
      <c r="U371" s="19" t="s">
        <v>1636</v>
      </c>
      <c r="V371" s="18" t="s">
        <v>69</v>
      </c>
    </row>
    <row r="372" spans="1:22">
      <c r="A372" s="15" t="s">
        <v>1637</v>
      </c>
      <c r="B372" s="15" t="s">
        <v>71</v>
      </c>
      <c r="C372" s="15" t="s">
        <v>259</v>
      </c>
      <c r="D372" s="15" t="s">
        <v>941</v>
      </c>
      <c r="E372" s="15" t="s">
        <v>1638</v>
      </c>
      <c r="F372" s="15" t="s">
        <v>217</v>
      </c>
      <c r="G372" s="15" t="s">
        <v>76</v>
      </c>
      <c r="H372" s="15" t="s">
        <v>1639</v>
      </c>
      <c r="I372" s="15" t="s">
        <v>59</v>
      </c>
      <c r="J372" s="15" t="s">
        <v>31</v>
      </c>
      <c r="K372" s="15" t="s">
        <v>122</v>
      </c>
      <c r="L372" s="15" t="s">
        <v>263</v>
      </c>
      <c r="M372" s="15">
        <v>11</v>
      </c>
      <c r="N372" s="15">
        <v>45</v>
      </c>
      <c r="O372" s="15">
        <v>5</v>
      </c>
      <c r="P372" s="15">
        <v>470.25</v>
      </c>
      <c r="Q372" s="15">
        <v>5</v>
      </c>
      <c r="R372" s="15" t="s">
        <v>48</v>
      </c>
      <c r="S372" s="15" t="s">
        <v>151</v>
      </c>
      <c r="T372" s="15" t="s">
        <v>80</v>
      </c>
      <c r="U372" s="17" t="s">
        <v>1640</v>
      </c>
      <c r="V372" s="15" t="s">
        <v>38</v>
      </c>
    </row>
    <row r="373" spans="1:22">
      <c r="A373" s="18" t="s">
        <v>1641</v>
      </c>
      <c r="B373" s="18" t="s">
        <v>251</v>
      </c>
      <c r="C373" s="18" t="s">
        <v>222</v>
      </c>
      <c r="D373" s="18" t="s">
        <v>1642</v>
      </c>
      <c r="E373" s="18" t="s">
        <v>1643</v>
      </c>
      <c r="F373" s="18" t="s">
        <v>254</v>
      </c>
      <c r="G373" s="18" t="s">
        <v>28</v>
      </c>
      <c r="H373" s="18" t="s">
        <v>1644</v>
      </c>
      <c r="I373" s="18" t="s">
        <v>212</v>
      </c>
      <c r="J373" s="18" t="s">
        <v>45</v>
      </c>
      <c r="K373" s="18" t="s">
        <v>122</v>
      </c>
      <c r="L373" s="18" t="s">
        <v>227</v>
      </c>
      <c r="M373" s="18">
        <v>9</v>
      </c>
      <c r="N373" s="18">
        <v>20</v>
      </c>
      <c r="O373" s="18">
        <v>10</v>
      </c>
      <c r="P373" s="18">
        <v>162</v>
      </c>
      <c r="Q373" s="18">
        <v>1</v>
      </c>
      <c r="R373" s="18" t="s">
        <v>79</v>
      </c>
      <c r="S373" s="18" t="s">
        <v>49</v>
      </c>
      <c r="T373" s="18" t="s">
        <v>256</v>
      </c>
      <c r="U373" s="19" t="s">
        <v>1645</v>
      </c>
      <c r="V373" s="18" t="s">
        <v>69</v>
      </c>
    </row>
    <row r="374" spans="1:22">
      <c r="A374" s="15" t="s">
        <v>1646</v>
      </c>
      <c r="B374" s="15" t="s">
        <v>168</v>
      </c>
      <c r="C374" s="15" t="s">
        <v>259</v>
      </c>
      <c r="D374" s="15" t="s">
        <v>645</v>
      </c>
      <c r="E374" s="15" t="s">
        <v>980</v>
      </c>
      <c r="F374" s="15" t="s">
        <v>361</v>
      </c>
      <c r="G374" s="15" t="s">
        <v>28</v>
      </c>
      <c r="H374" s="15" t="s">
        <v>1647</v>
      </c>
      <c r="I374" s="15" t="s">
        <v>59</v>
      </c>
      <c r="J374" s="15" t="s">
        <v>31</v>
      </c>
      <c r="K374" s="15" t="s">
        <v>122</v>
      </c>
      <c r="L374" s="15" t="s">
        <v>263</v>
      </c>
      <c r="M374" s="15">
        <v>5</v>
      </c>
      <c r="N374" s="15">
        <v>45</v>
      </c>
      <c r="O374" s="15">
        <v>5</v>
      </c>
      <c r="P374" s="15">
        <v>213.75</v>
      </c>
      <c r="Q374" s="15">
        <v>3</v>
      </c>
      <c r="R374" s="15" t="s">
        <v>79</v>
      </c>
      <c r="S374" s="15" t="s">
        <v>115</v>
      </c>
      <c r="T374" s="15" t="s">
        <v>175</v>
      </c>
      <c r="U374" s="17" t="s">
        <v>1648</v>
      </c>
      <c r="V374" s="15" t="s">
        <v>64</v>
      </c>
    </row>
    <row r="375" spans="1:22">
      <c r="A375" s="18" t="s">
        <v>1649</v>
      </c>
      <c r="B375" s="18" t="s">
        <v>83</v>
      </c>
      <c r="C375" s="18" t="s">
        <v>184</v>
      </c>
      <c r="D375" s="18" t="s">
        <v>1650</v>
      </c>
      <c r="E375" s="18" t="s">
        <v>1102</v>
      </c>
      <c r="F375" s="18" t="s">
        <v>180</v>
      </c>
      <c r="G375" s="18" t="s">
        <v>76</v>
      </c>
      <c r="H375" s="18" t="s">
        <v>1651</v>
      </c>
      <c r="I375" s="18" t="s">
        <v>30</v>
      </c>
      <c r="J375" s="18" t="s">
        <v>31</v>
      </c>
      <c r="K375" s="18" t="s">
        <v>46</v>
      </c>
      <c r="L375" s="18" t="s">
        <v>189</v>
      </c>
      <c r="M375" s="18">
        <v>5</v>
      </c>
      <c r="N375" s="18">
        <v>700</v>
      </c>
      <c r="O375" s="18">
        <v>10</v>
      </c>
      <c r="P375" s="18">
        <v>3150</v>
      </c>
      <c r="Q375" s="18">
        <v>2</v>
      </c>
      <c r="R375" s="18" t="s">
        <v>88</v>
      </c>
      <c r="S375" s="18" t="s">
        <v>49</v>
      </c>
      <c r="T375" s="18" t="s">
        <v>89</v>
      </c>
      <c r="U375" s="19" t="s">
        <v>1652</v>
      </c>
      <c r="V375" s="18" t="s">
        <v>38</v>
      </c>
    </row>
    <row r="376" spans="1:22">
      <c r="A376" s="15" t="s">
        <v>1653</v>
      </c>
      <c r="B376" s="15" t="s">
        <v>221</v>
      </c>
      <c r="C376" s="15" t="s">
        <v>184</v>
      </c>
      <c r="D376" s="15" t="s">
        <v>957</v>
      </c>
      <c r="E376" s="15" t="s">
        <v>1654</v>
      </c>
      <c r="F376" s="15" t="s">
        <v>225</v>
      </c>
      <c r="G376" s="15" t="s">
        <v>76</v>
      </c>
      <c r="H376" s="15" t="s">
        <v>1655</v>
      </c>
      <c r="I376" s="15" t="s">
        <v>294</v>
      </c>
      <c r="J376" s="15" t="s">
        <v>295</v>
      </c>
      <c r="K376" s="15" t="s">
        <v>46</v>
      </c>
      <c r="L376" s="15" t="s">
        <v>189</v>
      </c>
      <c r="M376" s="15">
        <v>1</v>
      </c>
      <c r="N376" s="15">
        <v>700</v>
      </c>
      <c r="O376" s="15">
        <v>0</v>
      </c>
      <c r="P376" s="15">
        <v>700</v>
      </c>
      <c r="Q376" s="15">
        <v>1</v>
      </c>
      <c r="R376" s="15" t="s">
        <v>88</v>
      </c>
      <c r="S376" s="15" t="s">
        <v>151</v>
      </c>
      <c r="T376" s="15" t="s">
        <v>228</v>
      </c>
      <c r="U376" s="17" t="s">
        <v>1656</v>
      </c>
      <c r="V376" s="15" t="s">
        <v>38</v>
      </c>
    </row>
    <row r="377" spans="1:22">
      <c r="A377" s="18" t="s">
        <v>1657</v>
      </c>
      <c r="B377" s="18" t="s">
        <v>23</v>
      </c>
      <c r="C377" s="18" t="s">
        <v>184</v>
      </c>
      <c r="D377" s="18" t="s">
        <v>1368</v>
      </c>
      <c r="E377" s="18" t="s">
        <v>923</v>
      </c>
      <c r="F377" s="18" t="s">
        <v>27</v>
      </c>
      <c r="G377" s="18" t="s">
        <v>28</v>
      </c>
      <c r="H377" s="18" t="s">
        <v>1658</v>
      </c>
      <c r="I377" s="18" t="s">
        <v>105</v>
      </c>
      <c r="J377" s="18" t="s">
        <v>106</v>
      </c>
      <c r="K377" s="18" t="s">
        <v>46</v>
      </c>
      <c r="L377" s="18" t="s">
        <v>189</v>
      </c>
      <c r="M377" s="18">
        <v>13</v>
      </c>
      <c r="N377" s="18">
        <v>700</v>
      </c>
      <c r="O377" s="18">
        <v>20</v>
      </c>
      <c r="P377" s="18">
        <v>7280</v>
      </c>
      <c r="Q377" s="18">
        <v>2</v>
      </c>
      <c r="R377" s="18" t="s">
        <v>79</v>
      </c>
      <c r="S377" s="18" t="s">
        <v>35</v>
      </c>
      <c r="T377" s="18" t="s">
        <v>50</v>
      </c>
      <c r="U377" s="19" t="s">
        <v>1659</v>
      </c>
      <c r="V377" s="18" t="s">
        <v>38</v>
      </c>
    </row>
    <row r="378" spans="1:22">
      <c r="A378" s="15" t="s">
        <v>1660</v>
      </c>
      <c r="B378" s="15" t="s">
        <v>71</v>
      </c>
      <c r="C378" s="15" t="s">
        <v>40</v>
      </c>
      <c r="D378" s="15" t="s">
        <v>1153</v>
      </c>
      <c r="E378" s="15" t="s">
        <v>303</v>
      </c>
      <c r="F378" s="15" t="s">
        <v>217</v>
      </c>
      <c r="G378" s="15" t="s">
        <v>76</v>
      </c>
      <c r="H378" s="15" t="s">
        <v>1661</v>
      </c>
      <c r="I378" s="15" t="s">
        <v>114</v>
      </c>
      <c r="J378" s="15" t="s">
        <v>106</v>
      </c>
      <c r="K378" s="15" t="s">
        <v>46</v>
      </c>
      <c r="L378" s="15" t="s">
        <v>47</v>
      </c>
      <c r="M378" s="15">
        <v>20</v>
      </c>
      <c r="N378" s="15">
        <v>12000</v>
      </c>
      <c r="O378" s="15">
        <v>0</v>
      </c>
      <c r="P378" s="15">
        <v>240000</v>
      </c>
      <c r="Q378" s="15">
        <v>2</v>
      </c>
      <c r="R378" s="15" t="s">
        <v>79</v>
      </c>
      <c r="S378" s="15" t="s">
        <v>115</v>
      </c>
      <c r="T378" s="15" t="s">
        <v>80</v>
      </c>
      <c r="U378" s="17" t="s">
        <v>1662</v>
      </c>
      <c r="V378" s="15" t="s">
        <v>38</v>
      </c>
    </row>
    <row r="379" spans="1:22">
      <c r="A379" s="18" t="s">
        <v>1663</v>
      </c>
      <c r="B379" s="18" t="s">
        <v>83</v>
      </c>
      <c r="C379" s="18" t="s">
        <v>72</v>
      </c>
      <c r="D379" s="18" t="s">
        <v>1198</v>
      </c>
      <c r="E379" s="18" t="s">
        <v>712</v>
      </c>
      <c r="F379" s="18" t="s">
        <v>180</v>
      </c>
      <c r="G379" s="18" t="s">
        <v>76</v>
      </c>
      <c r="H379" s="18" t="s">
        <v>1664</v>
      </c>
      <c r="I379" s="18" t="s">
        <v>294</v>
      </c>
      <c r="J379" s="18" t="s">
        <v>295</v>
      </c>
      <c r="K379" s="18" t="s">
        <v>46</v>
      </c>
      <c r="L379" s="18" t="s">
        <v>78</v>
      </c>
      <c r="M379" s="18">
        <v>9</v>
      </c>
      <c r="N379" s="18">
        <v>1200</v>
      </c>
      <c r="O379" s="18">
        <v>15</v>
      </c>
      <c r="P379" s="18">
        <v>9180</v>
      </c>
      <c r="Q379" s="18">
        <v>1</v>
      </c>
      <c r="R379" s="18" t="s">
        <v>88</v>
      </c>
      <c r="S379" s="18" t="s">
        <v>35</v>
      </c>
      <c r="T379" s="18" t="s">
        <v>89</v>
      </c>
      <c r="U379" s="19" t="s">
        <v>1665</v>
      </c>
      <c r="V379" s="18" t="s">
        <v>64</v>
      </c>
    </row>
    <row r="380" spans="1:22">
      <c r="A380" s="15" t="s">
        <v>1666</v>
      </c>
      <c r="B380" s="15" t="s">
        <v>83</v>
      </c>
      <c r="C380" s="15" t="s">
        <v>222</v>
      </c>
      <c r="D380" s="15" t="s">
        <v>1221</v>
      </c>
      <c r="E380" s="15" t="s">
        <v>1667</v>
      </c>
      <c r="F380" s="15" t="s">
        <v>180</v>
      </c>
      <c r="G380" s="15" t="s">
        <v>76</v>
      </c>
      <c r="H380" s="15" t="s">
        <v>1668</v>
      </c>
      <c r="I380" s="15" t="s">
        <v>212</v>
      </c>
      <c r="J380" s="15" t="s">
        <v>45</v>
      </c>
      <c r="K380" s="15" t="s">
        <v>122</v>
      </c>
      <c r="L380" s="15" t="s">
        <v>227</v>
      </c>
      <c r="M380" s="15">
        <v>3</v>
      </c>
      <c r="N380" s="15">
        <v>20</v>
      </c>
      <c r="O380" s="15">
        <v>15</v>
      </c>
      <c r="P380" s="15">
        <v>51</v>
      </c>
      <c r="Q380" s="15">
        <v>3</v>
      </c>
      <c r="R380" s="15" t="s">
        <v>34</v>
      </c>
      <c r="S380" s="15" t="s">
        <v>115</v>
      </c>
      <c r="T380" s="15" t="s">
        <v>89</v>
      </c>
      <c r="U380" s="17" t="s">
        <v>1669</v>
      </c>
      <c r="V380" s="15" t="s">
        <v>64</v>
      </c>
    </row>
    <row r="381" spans="1:22">
      <c r="A381" s="18" t="s">
        <v>1670</v>
      </c>
      <c r="B381" s="18" t="s">
        <v>251</v>
      </c>
      <c r="C381" s="18" t="s">
        <v>54</v>
      </c>
      <c r="D381" s="18" t="s">
        <v>788</v>
      </c>
      <c r="E381" s="18" t="s">
        <v>455</v>
      </c>
      <c r="F381" s="18" t="s">
        <v>254</v>
      </c>
      <c r="G381" s="18" t="s">
        <v>28</v>
      </c>
      <c r="H381" s="18" t="s">
        <v>1671</v>
      </c>
      <c r="I381" s="18" t="s">
        <v>44</v>
      </c>
      <c r="J381" s="18" t="s">
        <v>45</v>
      </c>
      <c r="K381" s="18" t="s">
        <v>46</v>
      </c>
      <c r="L381" s="18" t="s">
        <v>60</v>
      </c>
      <c r="M381" s="18">
        <v>8</v>
      </c>
      <c r="N381" s="18">
        <v>55000</v>
      </c>
      <c r="O381" s="18">
        <v>20</v>
      </c>
      <c r="P381" s="18">
        <v>352000</v>
      </c>
      <c r="Q381" s="18">
        <v>5</v>
      </c>
      <c r="R381" s="18" t="s">
        <v>79</v>
      </c>
      <c r="S381" s="18" t="s">
        <v>151</v>
      </c>
      <c r="T381" s="18" t="s">
        <v>256</v>
      </c>
      <c r="U381" s="19" t="s">
        <v>1672</v>
      </c>
      <c r="V381" s="18" t="s">
        <v>64</v>
      </c>
    </row>
    <row r="382" spans="1:22">
      <c r="A382" s="15" t="s">
        <v>1673</v>
      </c>
      <c r="B382" s="15" t="s">
        <v>251</v>
      </c>
      <c r="C382" s="15" t="s">
        <v>118</v>
      </c>
      <c r="D382" s="15" t="s">
        <v>1311</v>
      </c>
      <c r="E382" s="15" t="s">
        <v>74</v>
      </c>
      <c r="F382" s="15" t="s">
        <v>254</v>
      </c>
      <c r="G382" s="15" t="s">
        <v>28</v>
      </c>
      <c r="H382" s="15" t="s">
        <v>1674</v>
      </c>
      <c r="I382" s="15" t="s">
        <v>44</v>
      </c>
      <c r="J382" s="15" t="s">
        <v>45</v>
      </c>
      <c r="K382" s="15" t="s">
        <v>122</v>
      </c>
      <c r="L382" s="15" t="s">
        <v>123</v>
      </c>
      <c r="M382" s="15">
        <v>17</v>
      </c>
      <c r="N382" s="15">
        <v>60</v>
      </c>
      <c r="O382" s="15">
        <v>20</v>
      </c>
      <c r="P382" s="15">
        <v>816</v>
      </c>
      <c r="Q382" s="15">
        <v>1</v>
      </c>
      <c r="R382" s="15" t="s">
        <v>88</v>
      </c>
      <c r="S382" s="15" t="s">
        <v>35</v>
      </c>
      <c r="T382" s="15" t="s">
        <v>256</v>
      </c>
      <c r="U382" s="17" t="s">
        <v>1675</v>
      </c>
      <c r="V382" s="15" t="s">
        <v>64</v>
      </c>
    </row>
    <row r="383" spans="1:22">
      <c r="A383" s="18" t="s">
        <v>1676</v>
      </c>
      <c r="B383" s="18" t="s">
        <v>127</v>
      </c>
      <c r="C383" s="18" t="s">
        <v>222</v>
      </c>
      <c r="D383" s="18" t="s">
        <v>1677</v>
      </c>
      <c r="E383" s="18" t="s">
        <v>236</v>
      </c>
      <c r="F383" s="18" t="s">
        <v>200</v>
      </c>
      <c r="G383" s="18" t="s">
        <v>76</v>
      </c>
      <c r="H383" s="18" t="s">
        <v>1678</v>
      </c>
      <c r="I383" s="18" t="s">
        <v>59</v>
      </c>
      <c r="J383" s="18" t="s">
        <v>31</v>
      </c>
      <c r="K383" s="18" t="s">
        <v>122</v>
      </c>
      <c r="L383" s="18" t="s">
        <v>227</v>
      </c>
      <c r="M383" s="18">
        <v>4</v>
      </c>
      <c r="N383" s="18">
        <v>20</v>
      </c>
      <c r="O383" s="18">
        <v>15</v>
      </c>
      <c r="P383" s="18">
        <v>68</v>
      </c>
      <c r="Q383" s="18">
        <v>3</v>
      </c>
      <c r="R383" s="18" t="s">
        <v>48</v>
      </c>
      <c r="S383" s="18" t="s">
        <v>61</v>
      </c>
      <c r="T383" s="18" t="s">
        <v>132</v>
      </c>
      <c r="U383" s="19" t="s">
        <v>1679</v>
      </c>
      <c r="V383" s="18" t="s">
        <v>64</v>
      </c>
    </row>
    <row r="384" spans="1:22">
      <c r="A384" s="15" t="s">
        <v>1680</v>
      </c>
      <c r="B384" s="15" t="s">
        <v>127</v>
      </c>
      <c r="C384" s="15" t="s">
        <v>24</v>
      </c>
      <c r="D384" s="15" t="s">
        <v>1360</v>
      </c>
      <c r="E384" s="15" t="s">
        <v>775</v>
      </c>
      <c r="F384" s="15" t="s">
        <v>1681</v>
      </c>
      <c r="G384" s="15" t="s">
        <v>76</v>
      </c>
      <c r="H384" s="15" t="s">
        <v>1682</v>
      </c>
      <c r="I384" s="15" t="s">
        <v>294</v>
      </c>
      <c r="J384" s="15" t="s">
        <v>295</v>
      </c>
      <c r="K384" s="15" t="s">
        <v>32</v>
      </c>
      <c r="L384" s="15" t="s">
        <v>33</v>
      </c>
      <c r="M384" s="15">
        <v>2</v>
      </c>
      <c r="N384" s="15">
        <v>2200</v>
      </c>
      <c r="O384" s="15">
        <v>10</v>
      </c>
      <c r="P384" s="15">
        <v>3960</v>
      </c>
      <c r="Q384" s="15">
        <v>2</v>
      </c>
      <c r="R384" s="15" t="s">
        <v>88</v>
      </c>
      <c r="S384" s="15" t="s">
        <v>49</v>
      </c>
      <c r="T384" s="15" t="s">
        <v>132</v>
      </c>
      <c r="U384" s="17" t="s">
        <v>1683</v>
      </c>
      <c r="V384" s="15" t="s">
        <v>64</v>
      </c>
    </row>
    <row r="385" spans="1:22">
      <c r="A385" s="18" t="s">
        <v>1684</v>
      </c>
      <c r="B385" s="18" t="s">
        <v>221</v>
      </c>
      <c r="C385" s="18" t="s">
        <v>118</v>
      </c>
      <c r="D385" s="18" t="s">
        <v>366</v>
      </c>
      <c r="E385" s="18" t="s">
        <v>539</v>
      </c>
      <c r="F385" s="18" t="s">
        <v>225</v>
      </c>
      <c r="G385" s="18" t="s">
        <v>76</v>
      </c>
      <c r="H385" s="18" t="s">
        <v>1685</v>
      </c>
      <c r="I385" s="18" t="s">
        <v>59</v>
      </c>
      <c r="J385" s="18" t="s">
        <v>31</v>
      </c>
      <c r="K385" s="18" t="s">
        <v>122</v>
      </c>
      <c r="L385" s="18" t="s">
        <v>123</v>
      </c>
      <c r="M385" s="18">
        <v>5</v>
      </c>
      <c r="N385" s="18">
        <v>60</v>
      </c>
      <c r="O385" s="18">
        <v>5</v>
      </c>
      <c r="P385" s="18">
        <v>285</v>
      </c>
      <c r="Q385" s="18">
        <v>1</v>
      </c>
      <c r="R385" s="18" t="s">
        <v>88</v>
      </c>
      <c r="S385" s="18" t="s">
        <v>35</v>
      </c>
      <c r="T385" s="18" t="s">
        <v>228</v>
      </c>
      <c r="U385" s="19" t="s">
        <v>1686</v>
      </c>
      <c r="V385" s="18" t="s">
        <v>69</v>
      </c>
    </row>
    <row r="386" spans="1:22">
      <c r="A386" s="15" t="s">
        <v>1687</v>
      </c>
      <c r="B386" s="15" t="s">
        <v>127</v>
      </c>
      <c r="C386" s="15" t="s">
        <v>24</v>
      </c>
      <c r="D386" s="15" t="s">
        <v>1688</v>
      </c>
      <c r="E386" s="15" t="s">
        <v>1689</v>
      </c>
      <c r="F386" s="15" t="s">
        <v>200</v>
      </c>
      <c r="G386" s="15" t="s">
        <v>76</v>
      </c>
      <c r="H386" s="15" t="s">
        <v>1690</v>
      </c>
      <c r="I386" s="15" t="s">
        <v>44</v>
      </c>
      <c r="J386" s="15" t="s">
        <v>45</v>
      </c>
      <c r="K386" s="15" t="s">
        <v>32</v>
      </c>
      <c r="L386" s="15" t="s">
        <v>33</v>
      </c>
      <c r="M386" s="15">
        <v>17</v>
      </c>
      <c r="N386" s="15">
        <v>2200</v>
      </c>
      <c r="O386" s="15">
        <v>0</v>
      </c>
      <c r="P386" s="15">
        <v>37400</v>
      </c>
      <c r="Q386" s="15">
        <v>2</v>
      </c>
      <c r="R386" s="15" t="s">
        <v>88</v>
      </c>
      <c r="S386" s="15" t="s">
        <v>151</v>
      </c>
      <c r="T386" s="15" t="s">
        <v>132</v>
      </c>
      <c r="U386" s="17" t="s">
        <v>1691</v>
      </c>
      <c r="V386" s="15" t="s">
        <v>69</v>
      </c>
    </row>
    <row r="387" spans="1:22">
      <c r="A387" s="18" t="s">
        <v>1692</v>
      </c>
      <c r="B387" s="18" t="s">
        <v>168</v>
      </c>
      <c r="C387" s="18" t="s">
        <v>118</v>
      </c>
      <c r="D387" s="18" t="s">
        <v>186</v>
      </c>
      <c r="E387" s="18" t="s">
        <v>610</v>
      </c>
      <c r="F387" s="18" t="s">
        <v>361</v>
      </c>
      <c r="G387" s="18" t="s">
        <v>28</v>
      </c>
      <c r="H387" s="18" t="s">
        <v>1693</v>
      </c>
      <c r="I387" s="18" t="s">
        <v>138</v>
      </c>
      <c r="J387" s="18" t="s">
        <v>106</v>
      </c>
      <c r="K387" s="18" t="s">
        <v>122</v>
      </c>
      <c r="L387" s="18" t="s">
        <v>123</v>
      </c>
      <c r="M387" s="18">
        <v>7</v>
      </c>
      <c r="N387" s="18">
        <v>60</v>
      </c>
      <c r="O387" s="18">
        <v>0</v>
      </c>
      <c r="P387" s="18">
        <v>420</v>
      </c>
      <c r="Q387" s="18">
        <v>2</v>
      </c>
      <c r="R387" s="18" t="s">
        <v>88</v>
      </c>
      <c r="S387" s="18" t="s">
        <v>61</v>
      </c>
      <c r="T387" s="18" t="s">
        <v>175</v>
      </c>
      <c r="U387" s="19" t="s">
        <v>1694</v>
      </c>
      <c r="V387" s="18" t="s">
        <v>64</v>
      </c>
    </row>
    <row r="388" spans="1:22">
      <c r="A388" s="15" t="s">
        <v>1695</v>
      </c>
      <c r="B388" s="15" t="s">
        <v>221</v>
      </c>
      <c r="C388" s="15" t="s">
        <v>54</v>
      </c>
      <c r="D388" s="15" t="s">
        <v>702</v>
      </c>
      <c r="E388" s="15" t="s">
        <v>1696</v>
      </c>
      <c r="F388" s="15" t="s">
        <v>225</v>
      </c>
      <c r="G388" s="15" t="s">
        <v>76</v>
      </c>
      <c r="H388" s="15" t="s">
        <v>1697</v>
      </c>
      <c r="I388" s="15" t="s">
        <v>30</v>
      </c>
      <c r="J388" s="15" t="s">
        <v>31</v>
      </c>
      <c r="K388" s="15" t="s">
        <v>46</v>
      </c>
      <c r="L388" s="15" t="s">
        <v>60</v>
      </c>
      <c r="M388" s="15">
        <v>6</v>
      </c>
      <c r="N388" s="15">
        <v>55000</v>
      </c>
      <c r="O388" s="15">
        <v>5</v>
      </c>
      <c r="P388" s="15">
        <v>313500</v>
      </c>
      <c r="Q388" s="15">
        <v>4</v>
      </c>
      <c r="R388" s="15" t="s">
        <v>79</v>
      </c>
      <c r="S388" s="15" t="s">
        <v>61</v>
      </c>
      <c r="T388" s="15" t="s">
        <v>228</v>
      </c>
      <c r="U388" s="17" t="s">
        <v>1698</v>
      </c>
      <c r="V388" s="15" t="s">
        <v>38</v>
      </c>
    </row>
    <row r="389" spans="1:22">
      <c r="A389" s="18" t="s">
        <v>1699</v>
      </c>
      <c r="B389" s="18" t="s">
        <v>71</v>
      </c>
      <c r="C389" s="18" t="s">
        <v>222</v>
      </c>
      <c r="D389" s="18" t="s">
        <v>1306</v>
      </c>
      <c r="E389" s="18" t="s">
        <v>1700</v>
      </c>
      <c r="F389" s="18" t="s">
        <v>217</v>
      </c>
      <c r="G389" s="18" t="s">
        <v>76</v>
      </c>
      <c r="H389" s="18" t="s">
        <v>1701</v>
      </c>
      <c r="I389" s="18" t="s">
        <v>30</v>
      </c>
      <c r="J389" s="18" t="s">
        <v>31</v>
      </c>
      <c r="K389" s="18" t="s">
        <v>122</v>
      </c>
      <c r="L389" s="18" t="s">
        <v>227</v>
      </c>
      <c r="M389" s="18">
        <v>16</v>
      </c>
      <c r="N389" s="18">
        <v>20</v>
      </c>
      <c r="O389" s="18">
        <v>5</v>
      </c>
      <c r="P389" s="18">
        <v>304</v>
      </c>
      <c r="Q389" s="18">
        <v>1</v>
      </c>
      <c r="R389" s="18" t="s">
        <v>79</v>
      </c>
      <c r="S389" s="18" t="s">
        <v>49</v>
      </c>
      <c r="T389" s="18" t="s">
        <v>80</v>
      </c>
      <c r="U389" s="19" t="s">
        <v>1702</v>
      </c>
      <c r="V389" s="18" t="s">
        <v>38</v>
      </c>
    </row>
    <row r="390" spans="1:22">
      <c r="A390" s="15" t="s">
        <v>1703</v>
      </c>
      <c r="B390" s="15" t="s">
        <v>23</v>
      </c>
      <c r="C390" s="15" t="s">
        <v>24</v>
      </c>
      <c r="D390" s="15" t="s">
        <v>1704</v>
      </c>
      <c r="E390" s="15" t="s">
        <v>1705</v>
      </c>
      <c r="F390" s="15" t="s">
        <v>27</v>
      </c>
      <c r="G390" s="15" t="s">
        <v>28</v>
      </c>
      <c r="H390" s="15" t="s">
        <v>1706</v>
      </c>
      <c r="I390" s="15" t="s">
        <v>294</v>
      </c>
      <c r="J390" s="15" t="s">
        <v>295</v>
      </c>
      <c r="K390" s="15" t="s">
        <v>32</v>
      </c>
      <c r="L390" s="15" t="s">
        <v>33</v>
      </c>
      <c r="M390" s="15">
        <v>11</v>
      </c>
      <c r="N390" s="15">
        <v>2200</v>
      </c>
      <c r="O390" s="15">
        <v>15</v>
      </c>
      <c r="P390" s="15">
        <v>20570</v>
      </c>
      <c r="Q390" s="15">
        <v>1</v>
      </c>
      <c r="R390" s="15" t="s">
        <v>48</v>
      </c>
      <c r="S390" s="15" t="s">
        <v>115</v>
      </c>
      <c r="T390" s="15" t="s">
        <v>50</v>
      </c>
      <c r="U390" s="17" t="s">
        <v>1707</v>
      </c>
      <c r="V390" s="15" t="s">
        <v>69</v>
      </c>
    </row>
    <row r="391" spans="1:22">
      <c r="A391" s="18" t="s">
        <v>1708</v>
      </c>
      <c r="B391" s="18" t="s">
        <v>100</v>
      </c>
      <c r="C391" s="18" t="s">
        <v>222</v>
      </c>
      <c r="D391" s="18" t="s">
        <v>1069</v>
      </c>
      <c r="E391" s="18" t="s">
        <v>1409</v>
      </c>
      <c r="F391" s="18" t="s">
        <v>103</v>
      </c>
      <c r="G391" s="18" t="s">
        <v>28</v>
      </c>
      <c r="H391" s="18" t="s">
        <v>1709</v>
      </c>
      <c r="I391" s="18" t="s">
        <v>114</v>
      </c>
      <c r="J391" s="18" t="s">
        <v>106</v>
      </c>
      <c r="K391" s="18" t="s">
        <v>122</v>
      </c>
      <c r="L391" s="18" t="s">
        <v>227</v>
      </c>
      <c r="M391" s="18">
        <v>19</v>
      </c>
      <c r="N391" s="18">
        <v>20</v>
      </c>
      <c r="O391" s="18">
        <v>5</v>
      </c>
      <c r="P391" s="18">
        <v>361</v>
      </c>
      <c r="Q391" s="18">
        <v>4</v>
      </c>
      <c r="R391" s="18" t="s">
        <v>88</v>
      </c>
      <c r="S391" s="18" t="s">
        <v>35</v>
      </c>
      <c r="T391" s="18" t="s">
        <v>144</v>
      </c>
      <c r="U391" s="19" t="s">
        <v>1710</v>
      </c>
      <c r="V391" s="18" t="s">
        <v>64</v>
      </c>
    </row>
    <row r="392" spans="1:22">
      <c r="A392" s="15" t="s">
        <v>1711</v>
      </c>
      <c r="B392" s="15" t="s">
        <v>100</v>
      </c>
      <c r="C392" s="15" t="s">
        <v>72</v>
      </c>
      <c r="D392" s="15" t="s">
        <v>1712</v>
      </c>
      <c r="E392" s="15" t="s">
        <v>1713</v>
      </c>
      <c r="F392" s="15" t="s">
        <v>103</v>
      </c>
      <c r="G392" s="15" t="s">
        <v>28</v>
      </c>
      <c r="H392" s="15" t="s">
        <v>1714</v>
      </c>
      <c r="I392" s="15" t="s">
        <v>114</v>
      </c>
      <c r="J392" s="15" t="s">
        <v>106</v>
      </c>
      <c r="K392" s="15" t="s">
        <v>46</v>
      </c>
      <c r="L392" s="15" t="s">
        <v>78</v>
      </c>
      <c r="M392" s="15">
        <v>20</v>
      </c>
      <c r="N392" s="15">
        <v>1200</v>
      </c>
      <c r="O392" s="15">
        <v>15</v>
      </c>
      <c r="P392" s="15">
        <v>20400</v>
      </c>
      <c r="Q392" s="15">
        <v>4</v>
      </c>
      <c r="R392" s="15" t="s">
        <v>79</v>
      </c>
      <c r="S392" s="15" t="s">
        <v>35</v>
      </c>
      <c r="T392" s="15" t="s">
        <v>144</v>
      </c>
      <c r="U392" s="17" t="s">
        <v>1715</v>
      </c>
      <c r="V392" s="15" t="s">
        <v>64</v>
      </c>
    </row>
    <row r="393" spans="1:22">
      <c r="A393" s="18" t="s">
        <v>1716</v>
      </c>
      <c r="B393" s="18" t="s">
        <v>53</v>
      </c>
      <c r="C393" s="18" t="s">
        <v>222</v>
      </c>
      <c r="D393" s="18" t="s">
        <v>1717</v>
      </c>
      <c r="E393" s="18" t="s">
        <v>1718</v>
      </c>
      <c r="F393" s="18" t="s">
        <v>163</v>
      </c>
      <c r="G393" s="18" t="s">
        <v>28</v>
      </c>
      <c r="H393" s="18" t="s">
        <v>1719</v>
      </c>
      <c r="I393" s="18" t="s">
        <v>30</v>
      </c>
      <c r="J393" s="18" t="s">
        <v>31</v>
      </c>
      <c r="K393" s="18" t="s">
        <v>122</v>
      </c>
      <c r="L393" s="18" t="s">
        <v>227</v>
      </c>
      <c r="M393" s="18">
        <v>13</v>
      </c>
      <c r="N393" s="18">
        <v>20</v>
      </c>
      <c r="O393" s="18">
        <v>15</v>
      </c>
      <c r="P393" s="18">
        <v>221</v>
      </c>
      <c r="Q393" s="18">
        <v>4</v>
      </c>
      <c r="R393" s="18" t="s">
        <v>34</v>
      </c>
      <c r="S393" s="18" t="s">
        <v>35</v>
      </c>
      <c r="T393" s="18" t="s">
        <v>62</v>
      </c>
      <c r="U393" s="19" t="s">
        <v>1720</v>
      </c>
      <c r="V393" s="18" t="s">
        <v>64</v>
      </c>
    </row>
    <row r="394" spans="1:22">
      <c r="A394" s="15" t="s">
        <v>1721</v>
      </c>
      <c r="B394" s="15" t="s">
        <v>251</v>
      </c>
      <c r="C394" s="15" t="s">
        <v>72</v>
      </c>
      <c r="D394" s="15" t="s">
        <v>205</v>
      </c>
      <c r="E394" s="15" t="s">
        <v>206</v>
      </c>
      <c r="F394" s="15" t="s">
        <v>254</v>
      </c>
      <c r="G394" s="15" t="s">
        <v>28</v>
      </c>
      <c r="H394" s="15" t="s">
        <v>1722</v>
      </c>
      <c r="I394" s="15" t="s">
        <v>44</v>
      </c>
      <c r="J394" s="15" t="s">
        <v>45</v>
      </c>
      <c r="K394" s="15" t="s">
        <v>46</v>
      </c>
      <c r="L394" s="15" t="s">
        <v>78</v>
      </c>
      <c r="M394" s="15">
        <v>12</v>
      </c>
      <c r="N394" s="15">
        <v>1200</v>
      </c>
      <c r="O394" s="15">
        <v>10</v>
      </c>
      <c r="P394" s="15">
        <v>12960</v>
      </c>
      <c r="Q394" s="15">
        <v>3</v>
      </c>
      <c r="R394" s="15" t="s">
        <v>48</v>
      </c>
      <c r="S394" s="15" t="s">
        <v>35</v>
      </c>
      <c r="T394" s="15" t="s">
        <v>256</v>
      </c>
      <c r="U394" s="17" t="s">
        <v>1723</v>
      </c>
      <c r="V394" s="15" t="s">
        <v>64</v>
      </c>
    </row>
    <row r="395" spans="1:22">
      <c r="A395" s="18" t="s">
        <v>1724</v>
      </c>
      <c r="B395" s="18" t="s">
        <v>100</v>
      </c>
      <c r="C395" s="18" t="s">
        <v>169</v>
      </c>
      <c r="D395" s="18" t="s">
        <v>1705</v>
      </c>
      <c r="E395" s="18" t="s">
        <v>783</v>
      </c>
      <c r="F395" s="18" t="s">
        <v>103</v>
      </c>
      <c r="G395" s="18" t="s">
        <v>28</v>
      </c>
      <c r="H395" s="18" t="s">
        <v>1725</v>
      </c>
      <c r="I395" s="18" t="s">
        <v>294</v>
      </c>
      <c r="J395" s="18" t="s">
        <v>295</v>
      </c>
      <c r="K395" s="18" t="s">
        <v>32</v>
      </c>
      <c r="L395" s="18" t="s">
        <v>174</v>
      </c>
      <c r="M395" s="18">
        <v>6</v>
      </c>
      <c r="N395" s="18">
        <v>8500</v>
      </c>
      <c r="O395" s="18">
        <v>5</v>
      </c>
      <c r="P395" s="18">
        <v>48450</v>
      </c>
      <c r="Q395" s="18">
        <v>5</v>
      </c>
      <c r="R395" s="18" t="s">
        <v>34</v>
      </c>
      <c r="S395" s="18" t="s">
        <v>115</v>
      </c>
      <c r="T395" s="18" t="s">
        <v>144</v>
      </c>
      <c r="U395" s="19" t="s">
        <v>1726</v>
      </c>
      <c r="V395" s="18" t="s">
        <v>69</v>
      </c>
    </row>
    <row r="396" spans="1:22">
      <c r="A396" s="15" t="s">
        <v>1727</v>
      </c>
      <c r="B396" s="15" t="s">
        <v>23</v>
      </c>
      <c r="C396" s="15" t="s">
        <v>169</v>
      </c>
      <c r="D396" s="15" t="s">
        <v>1302</v>
      </c>
      <c r="E396" s="15" t="s">
        <v>1728</v>
      </c>
      <c r="F396" s="15" t="s">
        <v>27</v>
      </c>
      <c r="G396" s="15" t="s">
        <v>28</v>
      </c>
      <c r="H396" s="15" t="s">
        <v>1729</v>
      </c>
      <c r="I396" s="15" t="s">
        <v>138</v>
      </c>
      <c r="J396" s="15" t="s">
        <v>106</v>
      </c>
      <c r="K396" s="15" t="s">
        <v>32</v>
      </c>
      <c r="L396" s="15" t="s">
        <v>174</v>
      </c>
      <c r="M396" s="15">
        <v>15</v>
      </c>
      <c r="N396" s="15">
        <v>8500</v>
      </c>
      <c r="O396" s="15">
        <v>10</v>
      </c>
      <c r="P396" s="15">
        <v>114750</v>
      </c>
      <c r="Q396" s="15">
        <v>1</v>
      </c>
      <c r="R396" s="15" t="s">
        <v>34</v>
      </c>
      <c r="S396" s="15" t="s">
        <v>115</v>
      </c>
      <c r="T396" s="15" t="s">
        <v>50</v>
      </c>
      <c r="U396" s="17" t="s">
        <v>1730</v>
      </c>
      <c r="V396" s="15" t="s">
        <v>38</v>
      </c>
    </row>
    <row r="397" spans="1:22">
      <c r="A397" s="18" t="s">
        <v>1731</v>
      </c>
      <c r="B397" s="18" t="s">
        <v>127</v>
      </c>
      <c r="C397" s="18" t="s">
        <v>40</v>
      </c>
      <c r="D397" s="18" t="s">
        <v>1732</v>
      </c>
      <c r="E397" s="18" t="s">
        <v>1733</v>
      </c>
      <c r="F397" s="18" t="s">
        <v>200</v>
      </c>
      <c r="G397" s="18" t="s">
        <v>76</v>
      </c>
      <c r="H397" s="18" t="s">
        <v>1734</v>
      </c>
      <c r="I397" s="18" t="s">
        <v>30</v>
      </c>
      <c r="J397" s="18" t="s">
        <v>31</v>
      </c>
      <c r="K397" s="18" t="s">
        <v>46</v>
      </c>
      <c r="L397" s="18" t="s">
        <v>47</v>
      </c>
      <c r="M397" s="18">
        <v>19</v>
      </c>
      <c r="N397" s="18">
        <v>12000</v>
      </c>
      <c r="O397" s="18">
        <v>20</v>
      </c>
      <c r="P397" s="18">
        <v>182400</v>
      </c>
      <c r="Q397" s="18">
        <v>5</v>
      </c>
      <c r="R397" s="18" t="s">
        <v>34</v>
      </c>
      <c r="S397" s="18" t="s">
        <v>115</v>
      </c>
      <c r="T397" s="18" t="s">
        <v>132</v>
      </c>
      <c r="U397" s="19" t="s">
        <v>1735</v>
      </c>
      <c r="V397" s="18" t="s">
        <v>38</v>
      </c>
    </row>
    <row r="398" spans="1:22">
      <c r="A398" s="15" t="s">
        <v>1736</v>
      </c>
      <c r="B398" s="15" t="s">
        <v>83</v>
      </c>
      <c r="C398" s="15" t="s">
        <v>184</v>
      </c>
      <c r="D398" s="15" t="s">
        <v>142</v>
      </c>
      <c r="E398" s="15" t="s">
        <v>1737</v>
      </c>
      <c r="F398" s="15" t="s">
        <v>180</v>
      </c>
      <c r="G398" s="15" t="s">
        <v>76</v>
      </c>
      <c r="H398" s="15" t="s">
        <v>1738</v>
      </c>
      <c r="I398" s="15" t="s">
        <v>44</v>
      </c>
      <c r="J398" s="15" t="s">
        <v>45</v>
      </c>
      <c r="K398" s="15" t="s">
        <v>46</v>
      </c>
      <c r="L398" s="15" t="s">
        <v>189</v>
      </c>
      <c r="M398" s="15">
        <v>5</v>
      </c>
      <c r="N398" s="15">
        <v>700</v>
      </c>
      <c r="O398" s="15">
        <v>0</v>
      </c>
      <c r="P398" s="15">
        <v>3500</v>
      </c>
      <c r="Q398" s="15">
        <v>2</v>
      </c>
      <c r="R398" s="15" t="s">
        <v>79</v>
      </c>
      <c r="S398" s="15" t="s">
        <v>61</v>
      </c>
      <c r="T398" s="15" t="s">
        <v>89</v>
      </c>
      <c r="U398" s="17" t="s">
        <v>1739</v>
      </c>
      <c r="V398" s="15" t="s">
        <v>69</v>
      </c>
    </row>
    <row r="399" spans="1:22">
      <c r="A399" s="18" t="s">
        <v>1740</v>
      </c>
      <c r="B399" s="18" t="s">
        <v>83</v>
      </c>
      <c r="C399" s="18" t="s">
        <v>40</v>
      </c>
      <c r="D399" s="18" t="s">
        <v>1654</v>
      </c>
      <c r="E399" s="18" t="s">
        <v>765</v>
      </c>
      <c r="F399" s="18" t="s">
        <v>180</v>
      </c>
      <c r="G399" s="18" t="s">
        <v>76</v>
      </c>
      <c r="H399" s="18" t="s">
        <v>1741</v>
      </c>
      <c r="I399" s="18" t="s">
        <v>294</v>
      </c>
      <c r="J399" s="18" t="s">
        <v>295</v>
      </c>
      <c r="K399" s="18" t="s">
        <v>46</v>
      </c>
      <c r="L399" s="18" t="s">
        <v>47</v>
      </c>
      <c r="M399" s="18">
        <v>19</v>
      </c>
      <c r="N399" s="18">
        <v>12000</v>
      </c>
      <c r="O399" s="18">
        <v>0</v>
      </c>
      <c r="P399" s="18">
        <v>228000</v>
      </c>
      <c r="Q399" s="18">
        <v>4</v>
      </c>
      <c r="R399" s="18" t="s">
        <v>88</v>
      </c>
      <c r="S399" s="18" t="s">
        <v>61</v>
      </c>
      <c r="T399" s="18" t="s">
        <v>89</v>
      </c>
      <c r="U399" s="19" t="s">
        <v>1742</v>
      </c>
      <c r="V399" s="18" t="s">
        <v>64</v>
      </c>
    </row>
    <row r="400" spans="1:22">
      <c r="A400" s="15" t="s">
        <v>1743</v>
      </c>
      <c r="B400" s="15" t="s">
        <v>327</v>
      </c>
      <c r="C400" s="15" t="s">
        <v>184</v>
      </c>
      <c r="D400" s="15"/>
      <c r="E400" s="15" t="s">
        <v>1225</v>
      </c>
      <c r="F400" s="15" t="s">
        <v>394</v>
      </c>
      <c r="G400" s="15" t="s">
        <v>76</v>
      </c>
      <c r="H400" s="15" t="s">
        <v>1744</v>
      </c>
      <c r="I400" s="15" t="s">
        <v>59</v>
      </c>
      <c r="J400" s="15" t="s">
        <v>31</v>
      </c>
      <c r="K400" s="15" t="s">
        <v>46</v>
      </c>
      <c r="L400" s="15" t="s">
        <v>189</v>
      </c>
      <c r="M400" s="15">
        <v>12</v>
      </c>
      <c r="N400" s="15">
        <v>700</v>
      </c>
      <c r="O400" s="15">
        <v>15</v>
      </c>
      <c r="P400" s="15">
        <v>7140</v>
      </c>
      <c r="Q400" s="15">
        <v>3</v>
      </c>
      <c r="R400" s="15" t="s">
        <v>79</v>
      </c>
      <c r="S400" s="15" t="s">
        <v>35</v>
      </c>
      <c r="T400" s="15" t="s">
        <v>332</v>
      </c>
      <c r="U400" s="17" t="s">
        <v>1745</v>
      </c>
      <c r="V400" s="15" t="s">
        <v>38</v>
      </c>
    </row>
    <row r="401" spans="1:22">
      <c r="A401" s="18" t="s">
        <v>1746</v>
      </c>
      <c r="B401" s="18" t="s">
        <v>23</v>
      </c>
      <c r="C401" s="18" t="s">
        <v>72</v>
      </c>
      <c r="D401" s="18" t="s">
        <v>1747</v>
      </c>
      <c r="E401" s="18" t="s">
        <v>707</v>
      </c>
      <c r="F401" s="18" t="s">
        <v>27</v>
      </c>
      <c r="G401" s="18" t="s">
        <v>28</v>
      </c>
      <c r="H401" s="18" t="s">
        <v>1748</v>
      </c>
      <c r="I401" s="18" t="s">
        <v>44</v>
      </c>
      <c r="J401" s="18" t="s">
        <v>45</v>
      </c>
      <c r="K401" s="18" t="s">
        <v>46</v>
      </c>
      <c r="L401" s="18" t="s">
        <v>78</v>
      </c>
      <c r="M401" s="18">
        <v>16</v>
      </c>
      <c r="N401" s="18">
        <v>1200</v>
      </c>
      <c r="O401" s="18">
        <v>20</v>
      </c>
      <c r="P401" s="18">
        <v>15360</v>
      </c>
      <c r="Q401" s="18">
        <v>1</v>
      </c>
      <c r="R401" s="18" t="s">
        <v>34</v>
      </c>
      <c r="S401" s="18" t="s">
        <v>49</v>
      </c>
      <c r="T401" s="18" t="s">
        <v>50</v>
      </c>
      <c r="U401" s="19" t="s">
        <v>1749</v>
      </c>
      <c r="V401" s="18" t="s">
        <v>64</v>
      </c>
    </row>
    <row r="402" spans="1:22">
      <c r="A402" s="15" t="s">
        <v>1750</v>
      </c>
      <c r="B402" s="15" t="s">
        <v>71</v>
      </c>
      <c r="C402" s="15" t="s">
        <v>169</v>
      </c>
      <c r="D402" s="15" t="s">
        <v>1052</v>
      </c>
      <c r="E402" s="15" t="s">
        <v>84</v>
      </c>
      <c r="F402" s="15" t="s">
        <v>217</v>
      </c>
      <c r="G402" s="15" t="s">
        <v>76</v>
      </c>
      <c r="H402" s="15" t="s">
        <v>1751</v>
      </c>
      <c r="I402" s="15" t="s">
        <v>30</v>
      </c>
      <c r="J402" s="15" t="s">
        <v>31</v>
      </c>
      <c r="K402" s="15" t="s">
        <v>32</v>
      </c>
      <c r="L402" s="15" t="s">
        <v>174</v>
      </c>
      <c r="M402" s="15">
        <v>10</v>
      </c>
      <c r="N402" s="15">
        <v>8500</v>
      </c>
      <c r="O402" s="15">
        <v>5</v>
      </c>
      <c r="P402" s="15">
        <v>80750</v>
      </c>
      <c r="Q402" s="15">
        <v>5</v>
      </c>
      <c r="R402" s="15" t="s">
        <v>48</v>
      </c>
      <c r="S402" s="15" t="s">
        <v>35</v>
      </c>
      <c r="T402" s="15" t="s">
        <v>80</v>
      </c>
      <c r="U402" s="17" t="s">
        <v>1752</v>
      </c>
      <c r="V402" s="15" t="s">
        <v>38</v>
      </c>
    </row>
    <row r="403" spans="1:22">
      <c r="A403" s="18" t="s">
        <v>1753</v>
      </c>
      <c r="B403" s="18" t="s">
        <v>23</v>
      </c>
      <c r="C403" s="18" t="s">
        <v>222</v>
      </c>
      <c r="D403" s="18" t="s">
        <v>1373</v>
      </c>
      <c r="E403" s="18" t="s">
        <v>386</v>
      </c>
      <c r="F403" s="18" t="s">
        <v>27</v>
      </c>
      <c r="G403" s="18" t="s">
        <v>28</v>
      </c>
      <c r="H403" s="18" t="s">
        <v>1754</v>
      </c>
      <c r="I403" s="18" t="s">
        <v>138</v>
      </c>
      <c r="J403" s="18" t="s">
        <v>106</v>
      </c>
      <c r="K403" s="18" t="s">
        <v>122</v>
      </c>
      <c r="L403" s="18" t="s">
        <v>227</v>
      </c>
      <c r="M403" s="18">
        <v>18</v>
      </c>
      <c r="N403" s="18">
        <v>20</v>
      </c>
      <c r="O403" s="18">
        <v>20</v>
      </c>
      <c r="P403" s="18">
        <v>288</v>
      </c>
      <c r="Q403" s="18">
        <v>1</v>
      </c>
      <c r="R403" s="18" t="s">
        <v>88</v>
      </c>
      <c r="S403" s="18" t="s">
        <v>35</v>
      </c>
      <c r="T403" s="18" t="s">
        <v>50</v>
      </c>
      <c r="U403" s="19" t="s">
        <v>1755</v>
      </c>
      <c r="V403" s="18" t="s">
        <v>64</v>
      </c>
    </row>
    <row r="404" spans="1:22">
      <c r="A404" s="15" t="s">
        <v>1756</v>
      </c>
      <c r="B404" s="15" t="s">
        <v>71</v>
      </c>
      <c r="C404" s="15" t="s">
        <v>169</v>
      </c>
      <c r="D404" s="15" t="s">
        <v>241</v>
      </c>
      <c r="E404" s="15" t="s">
        <v>404</v>
      </c>
      <c r="F404" s="15" t="s">
        <v>217</v>
      </c>
      <c r="G404" s="15" t="s">
        <v>76</v>
      </c>
      <c r="H404" s="15" t="s">
        <v>1757</v>
      </c>
      <c r="I404" s="15" t="s">
        <v>105</v>
      </c>
      <c r="J404" s="15" t="s">
        <v>106</v>
      </c>
      <c r="K404" s="15" t="s">
        <v>32</v>
      </c>
      <c r="L404" s="15" t="s">
        <v>174</v>
      </c>
      <c r="M404" s="15">
        <v>9</v>
      </c>
      <c r="N404" s="15">
        <v>8500</v>
      </c>
      <c r="O404" s="15">
        <v>0</v>
      </c>
      <c r="P404" s="15">
        <v>76500</v>
      </c>
      <c r="Q404" s="15">
        <v>2</v>
      </c>
      <c r="R404" s="15" t="s">
        <v>79</v>
      </c>
      <c r="S404" s="15" t="s">
        <v>35</v>
      </c>
      <c r="T404" s="15" t="s">
        <v>80</v>
      </c>
      <c r="U404" s="17" t="s">
        <v>1758</v>
      </c>
      <c r="V404" s="15" t="s">
        <v>64</v>
      </c>
    </row>
    <row r="405" spans="1:22">
      <c r="A405" s="18" t="s">
        <v>1759</v>
      </c>
      <c r="B405" s="18" t="s">
        <v>23</v>
      </c>
      <c r="C405" s="18" t="s">
        <v>169</v>
      </c>
      <c r="D405" s="18" t="s">
        <v>1221</v>
      </c>
      <c r="E405" s="18" t="s">
        <v>1760</v>
      </c>
      <c r="F405" s="18" t="s">
        <v>27</v>
      </c>
      <c r="G405" s="18" t="s">
        <v>28</v>
      </c>
      <c r="H405" s="18" t="s">
        <v>1761</v>
      </c>
      <c r="I405" s="18" t="s">
        <v>105</v>
      </c>
      <c r="J405" s="18" t="s">
        <v>106</v>
      </c>
      <c r="K405" s="18" t="s">
        <v>32</v>
      </c>
      <c r="L405" s="18" t="s">
        <v>174</v>
      </c>
      <c r="M405" s="18">
        <v>8</v>
      </c>
      <c r="N405" s="18">
        <v>8500</v>
      </c>
      <c r="O405" s="18">
        <v>10</v>
      </c>
      <c r="P405" s="18">
        <v>61200</v>
      </c>
      <c r="Q405" s="18">
        <v>4</v>
      </c>
      <c r="R405" s="18" t="s">
        <v>34</v>
      </c>
      <c r="S405" s="18" t="s">
        <v>115</v>
      </c>
      <c r="T405" s="18" t="s">
        <v>50</v>
      </c>
      <c r="U405" s="19" t="s">
        <v>1762</v>
      </c>
      <c r="V405" s="18" t="s">
        <v>69</v>
      </c>
    </row>
    <row r="406" spans="1:22">
      <c r="A406" s="15" t="s">
        <v>1763</v>
      </c>
      <c r="B406" s="15" t="s">
        <v>53</v>
      </c>
      <c r="C406" s="15" t="s">
        <v>222</v>
      </c>
      <c r="D406" s="15" t="s">
        <v>483</v>
      </c>
      <c r="E406" s="15" t="s">
        <v>1764</v>
      </c>
      <c r="F406" s="15" t="s">
        <v>163</v>
      </c>
      <c r="G406" s="15" t="s">
        <v>28</v>
      </c>
      <c r="H406" s="15" t="s">
        <v>1765</v>
      </c>
      <c r="I406" s="15" t="s">
        <v>114</v>
      </c>
      <c r="J406" s="15" t="s">
        <v>106</v>
      </c>
      <c r="K406" s="15" t="s">
        <v>122</v>
      </c>
      <c r="L406" s="15" t="s">
        <v>227</v>
      </c>
      <c r="M406" s="15">
        <v>3</v>
      </c>
      <c r="N406" s="15">
        <v>20</v>
      </c>
      <c r="O406" s="15">
        <v>10</v>
      </c>
      <c r="P406" s="15">
        <v>54</v>
      </c>
      <c r="Q406" s="15">
        <v>3</v>
      </c>
      <c r="R406" s="15" t="s">
        <v>79</v>
      </c>
      <c r="S406" s="15" t="s">
        <v>151</v>
      </c>
      <c r="T406" s="15" t="s">
        <v>62</v>
      </c>
      <c r="U406" s="17" t="s">
        <v>1766</v>
      </c>
      <c r="V406" s="15" t="s">
        <v>64</v>
      </c>
    </row>
    <row r="407" spans="1:22">
      <c r="A407" s="18" t="s">
        <v>1767</v>
      </c>
      <c r="B407" s="18" t="s">
        <v>168</v>
      </c>
      <c r="C407" s="18" t="s">
        <v>169</v>
      </c>
      <c r="D407" s="18" t="s">
        <v>232</v>
      </c>
      <c r="E407" s="18" t="s">
        <v>641</v>
      </c>
      <c r="F407" s="18" t="s">
        <v>361</v>
      </c>
      <c r="G407" s="18" t="s">
        <v>28</v>
      </c>
      <c r="H407" s="18" t="s">
        <v>1768</v>
      </c>
      <c r="I407" s="18" t="s">
        <v>294</v>
      </c>
      <c r="J407" s="18" t="s">
        <v>295</v>
      </c>
      <c r="K407" s="18" t="s">
        <v>32</v>
      </c>
      <c r="L407" s="18" t="s">
        <v>174</v>
      </c>
      <c r="M407" s="18">
        <v>18</v>
      </c>
      <c r="N407" s="18">
        <v>8500</v>
      </c>
      <c r="O407" s="18">
        <v>10</v>
      </c>
      <c r="P407" s="18">
        <v>137700</v>
      </c>
      <c r="Q407" s="18">
        <v>4</v>
      </c>
      <c r="R407" s="18" t="s">
        <v>34</v>
      </c>
      <c r="S407" s="18" t="s">
        <v>49</v>
      </c>
      <c r="T407" s="18" t="s">
        <v>175</v>
      </c>
      <c r="U407" s="19" t="s">
        <v>1769</v>
      </c>
      <c r="V407" s="18" t="s">
        <v>69</v>
      </c>
    </row>
    <row r="408" spans="1:22">
      <c r="A408" s="15" t="s">
        <v>1770</v>
      </c>
      <c r="B408" s="15" t="s">
        <v>53</v>
      </c>
      <c r="C408" s="15" t="s">
        <v>259</v>
      </c>
      <c r="D408" s="15" t="s">
        <v>308</v>
      </c>
      <c r="E408" s="15" t="s">
        <v>281</v>
      </c>
      <c r="F408" s="15" t="s">
        <v>163</v>
      </c>
      <c r="G408" s="15" t="s">
        <v>28</v>
      </c>
      <c r="H408" s="15" t="s">
        <v>1771</v>
      </c>
      <c r="I408" s="15" t="s">
        <v>114</v>
      </c>
      <c r="J408" s="15" t="s">
        <v>106</v>
      </c>
      <c r="K408" s="15" t="s">
        <v>122</v>
      </c>
      <c r="L408" s="15" t="s">
        <v>263</v>
      </c>
      <c r="M408" s="15">
        <v>5</v>
      </c>
      <c r="N408" s="15">
        <v>45</v>
      </c>
      <c r="O408" s="15">
        <v>10</v>
      </c>
      <c r="P408" s="15">
        <v>202.5</v>
      </c>
      <c r="Q408" s="15">
        <v>3</v>
      </c>
      <c r="R408" s="15" t="s">
        <v>34</v>
      </c>
      <c r="S408" s="15" t="s">
        <v>115</v>
      </c>
      <c r="T408" s="15" t="s">
        <v>62</v>
      </c>
      <c r="U408" s="17" t="s">
        <v>1772</v>
      </c>
      <c r="V408" s="15" t="s">
        <v>64</v>
      </c>
    </row>
    <row r="409" spans="1:22">
      <c r="A409" s="18" t="s">
        <v>1773</v>
      </c>
      <c r="B409" s="18" t="s">
        <v>71</v>
      </c>
      <c r="C409" s="18" t="s">
        <v>259</v>
      </c>
      <c r="D409" s="18" t="s">
        <v>683</v>
      </c>
      <c r="E409" s="18" t="s">
        <v>684</v>
      </c>
      <c r="F409" s="18" t="s">
        <v>217</v>
      </c>
      <c r="G409" s="18" t="s">
        <v>76</v>
      </c>
      <c r="H409" s="18" t="s">
        <v>1774</v>
      </c>
      <c r="I409" s="18" t="s">
        <v>105</v>
      </c>
      <c r="J409" s="18" t="s">
        <v>106</v>
      </c>
      <c r="K409" s="18" t="s">
        <v>122</v>
      </c>
      <c r="L409" s="18" t="s">
        <v>263</v>
      </c>
      <c r="M409" s="18">
        <v>2</v>
      </c>
      <c r="N409" s="18">
        <v>45</v>
      </c>
      <c r="O409" s="18">
        <v>20</v>
      </c>
      <c r="P409" s="18">
        <v>72</v>
      </c>
      <c r="Q409" s="18">
        <v>5</v>
      </c>
      <c r="R409" s="18" t="s">
        <v>88</v>
      </c>
      <c r="S409" s="18" t="s">
        <v>61</v>
      </c>
      <c r="T409" s="18" t="s">
        <v>80</v>
      </c>
      <c r="U409" s="19" t="s">
        <v>1775</v>
      </c>
      <c r="V409" s="18" t="s">
        <v>69</v>
      </c>
    </row>
    <row r="410" spans="1:22">
      <c r="A410" s="15" t="s">
        <v>1776</v>
      </c>
      <c r="B410" s="15" t="s">
        <v>100</v>
      </c>
      <c r="C410" s="15" t="s">
        <v>259</v>
      </c>
      <c r="D410" s="15" t="s">
        <v>1379</v>
      </c>
      <c r="E410" s="15" t="s">
        <v>900</v>
      </c>
      <c r="F410" s="15" t="s">
        <v>103</v>
      </c>
      <c r="G410" s="15" t="s">
        <v>28</v>
      </c>
      <c r="H410" s="15" t="s">
        <v>1777</v>
      </c>
      <c r="I410" s="15" t="s">
        <v>30</v>
      </c>
      <c r="J410" s="15" t="s">
        <v>31</v>
      </c>
      <c r="K410" s="15" t="s">
        <v>122</v>
      </c>
      <c r="L410" s="15" t="s">
        <v>263</v>
      </c>
      <c r="M410" s="15">
        <v>18</v>
      </c>
      <c r="N410" s="15">
        <v>45</v>
      </c>
      <c r="O410" s="15">
        <v>10</v>
      </c>
      <c r="P410" s="15">
        <v>729</v>
      </c>
      <c r="Q410" s="15">
        <v>2</v>
      </c>
      <c r="R410" s="15" t="s">
        <v>48</v>
      </c>
      <c r="S410" s="15" t="s">
        <v>115</v>
      </c>
      <c r="T410" s="15" t="s">
        <v>144</v>
      </c>
      <c r="U410" s="17" t="s">
        <v>1778</v>
      </c>
      <c r="V410" s="15" t="s">
        <v>64</v>
      </c>
    </row>
    <row r="411" spans="1:22">
      <c r="A411" s="18" t="s">
        <v>1779</v>
      </c>
      <c r="B411" s="18" t="s">
        <v>127</v>
      </c>
      <c r="C411" s="18" t="s">
        <v>72</v>
      </c>
      <c r="D411" s="18" t="s">
        <v>463</v>
      </c>
      <c r="E411" s="18" t="s">
        <v>216</v>
      </c>
      <c r="F411" s="18" t="s">
        <v>200</v>
      </c>
      <c r="G411" s="18" t="s">
        <v>76</v>
      </c>
      <c r="H411" s="18" t="s">
        <v>1780</v>
      </c>
      <c r="I411" s="18" t="s">
        <v>294</v>
      </c>
      <c r="J411" s="18" t="s">
        <v>295</v>
      </c>
      <c r="K411" s="18" t="s">
        <v>46</v>
      </c>
      <c r="L411" s="18" t="s">
        <v>78</v>
      </c>
      <c r="M411" s="18">
        <v>13</v>
      </c>
      <c r="N411" s="18">
        <v>1200</v>
      </c>
      <c r="O411" s="18">
        <v>5</v>
      </c>
      <c r="P411" s="18">
        <v>14820</v>
      </c>
      <c r="Q411" s="18">
        <v>4</v>
      </c>
      <c r="R411" s="18" t="s">
        <v>79</v>
      </c>
      <c r="S411" s="18" t="s">
        <v>115</v>
      </c>
      <c r="T411" s="18" t="s">
        <v>132</v>
      </c>
      <c r="U411" s="19" t="s">
        <v>1781</v>
      </c>
      <c r="V411" s="18" t="s">
        <v>38</v>
      </c>
    </row>
    <row r="412" spans="1:22">
      <c r="A412" s="15" t="s">
        <v>1782</v>
      </c>
      <c r="B412" s="15" t="s">
        <v>23</v>
      </c>
      <c r="C412" s="15" t="s">
        <v>222</v>
      </c>
      <c r="D412" s="15" t="s">
        <v>1344</v>
      </c>
      <c r="E412" s="15" t="s">
        <v>1783</v>
      </c>
      <c r="F412" s="15" t="s">
        <v>27</v>
      </c>
      <c r="G412" s="15" t="s">
        <v>28</v>
      </c>
      <c r="H412" s="15" t="s">
        <v>1784</v>
      </c>
      <c r="I412" s="15" t="s">
        <v>30</v>
      </c>
      <c r="J412" s="15" t="s">
        <v>31</v>
      </c>
      <c r="K412" s="15" t="s">
        <v>122</v>
      </c>
      <c r="L412" s="15" t="s">
        <v>227</v>
      </c>
      <c r="M412" s="15">
        <v>14</v>
      </c>
      <c r="N412" s="15">
        <v>20</v>
      </c>
      <c r="O412" s="15">
        <v>20</v>
      </c>
      <c r="P412" s="15">
        <v>224</v>
      </c>
      <c r="Q412" s="15">
        <v>5</v>
      </c>
      <c r="R412" s="15" t="s">
        <v>88</v>
      </c>
      <c r="S412" s="15" t="s">
        <v>49</v>
      </c>
      <c r="T412" s="15" t="s">
        <v>50</v>
      </c>
      <c r="U412" s="17" t="s">
        <v>1785</v>
      </c>
      <c r="V412" s="15" t="s">
        <v>64</v>
      </c>
    </row>
    <row r="413" spans="1:22">
      <c r="A413" s="18" t="s">
        <v>1786</v>
      </c>
      <c r="B413" s="18" t="s">
        <v>100</v>
      </c>
      <c r="C413" s="18" t="s">
        <v>92</v>
      </c>
      <c r="D413" s="18" t="s">
        <v>1787</v>
      </c>
      <c r="E413" s="18" t="s">
        <v>1689</v>
      </c>
      <c r="F413" s="18" t="s">
        <v>103</v>
      </c>
      <c r="G413" s="18" t="s">
        <v>28</v>
      </c>
      <c r="H413" s="18" t="s">
        <v>1788</v>
      </c>
      <c r="I413" s="18" t="s">
        <v>30</v>
      </c>
      <c r="J413" s="18" t="s">
        <v>31</v>
      </c>
      <c r="K413" s="18" t="s">
        <v>32</v>
      </c>
      <c r="L413" s="18" t="s">
        <v>97</v>
      </c>
      <c r="M413" s="18">
        <v>16</v>
      </c>
      <c r="N413" s="18">
        <v>3500</v>
      </c>
      <c r="O413" s="18">
        <v>15</v>
      </c>
      <c r="P413" s="18">
        <v>47600</v>
      </c>
      <c r="Q413" s="18">
        <v>3</v>
      </c>
      <c r="R413" s="18" t="s">
        <v>88</v>
      </c>
      <c r="S413" s="18" t="s">
        <v>61</v>
      </c>
      <c r="T413" s="18" t="s">
        <v>144</v>
      </c>
      <c r="U413" s="19" t="s">
        <v>1789</v>
      </c>
      <c r="V413" s="18" t="s">
        <v>69</v>
      </c>
    </row>
    <row r="414" spans="1:22">
      <c r="A414" s="15" t="s">
        <v>1790</v>
      </c>
      <c r="B414" s="15" t="s">
        <v>251</v>
      </c>
      <c r="C414" s="15" t="s">
        <v>222</v>
      </c>
      <c r="D414" s="15" t="s">
        <v>987</v>
      </c>
      <c r="E414" s="15" t="s">
        <v>1110</v>
      </c>
      <c r="F414" s="15" t="s">
        <v>254</v>
      </c>
      <c r="G414" s="15" t="s">
        <v>28</v>
      </c>
      <c r="H414" s="15" t="s">
        <v>1791</v>
      </c>
      <c r="I414" s="15" t="s">
        <v>59</v>
      </c>
      <c r="J414" s="15" t="s">
        <v>31</v>
      </c>
      <c r="K414" s="15" t="s">
        <v>122</v>
      </c>
      <c r="L414" s="15" t="s">
        <v>227</v>
      </c>
      <c r="M414" s="15">
        <v>20</v>
      </c>
      <c r="N414" s="15">
        <v>20</v>
      </c>
      <c r="O414" s="15">
        <v>15</v>
      </c>
      <c r="P414" s="15">
        <v>340</v>
      </c>
      <c r="Q414" s="15">
        <v>1</v>
      </c>
      <c r="R414" s="15" t="s">
        <v>48</v>
      </c>
      <c r="S414" s="15" t="s">
        <v>61</v>
      </c>
      <c r="T414" s="15" t="s">
        <v>256</v>
      </c>
      <c r="U414" s="17" t="s">
        <v>1792</v>
      </c>
      <c r="V414" s="15" t="s">
        <v>69</v>
      </c>
    </row>
    <row r="415" spans="1:22">
      <c r="A415" s="18" t="s">
        <v>1793</v>
      </c>
      <c r="B415" s="18" t="s">
        <v>168</v>
      </c>
      <c r="C415" s="18" t="s">
        <v>54</v>
      </c>
      <c r="D415" s="18" t="s">
        <v>652</v>
      </c>
      <c r="E415" s="18" t="s">
        <v>666</v>
      </c>
      <c r="F415" s="18" t="s">
        <v>361</v>
      </c>
      <c r="G415" s="18" t="s">
        <v>28</v>
      </c>
      <c r="H415" s="18" t="s">
        <v>1794</v>
      </c>
      <c r="I415" s="18" t="s">
        <v>138</v>
      </c>
      <c r="J415" s="18" t="s">
        <v>106</v>
      </c>
      <c r="K415" s="18" t="s">
        <v>46</v>
      </c>
      <c r="L415" s="18" t="s">
        <v>60</v>
      </c>
      <c r="M415" s="18">
        <v>1</v>
      </c>
      <c r="N415" s="18">
        <v>55000</v>
      </c>
      <c r="O415" s="18">
        <v>15</v>
      </c>
      <c r="P415" s="18">
        <v>46750</v>
      </c>
      <c r="Q415" s="18">
        <v>2</v>
      </c>
      <c r="R415" s="18" t="s">
        <v>88</v>
      </c>
      <c r="S415" s="18" t="s">
        <v>115</v>
      </c>
      <c r="T415" s="18" t="s">
        <v>175</v>
      </c>
      <c r="U415" s="19" t="s">
        <v>1795</v>
      </c>
      <c r="V415" s="18" t="s">
        <v>69</v>
      </c>
    </row>
    <row r="416" spans="1:22">
      <c r="A416" s="15" t="s">
        <v>1796</v>
      </c>
      <c r="B416" s="15" t="s">
        <v>100</v>
      </c>
      <c r="C416" s="15" t="s">
        <v>118</v>
      </c>
      <c r="D416" s="15" t="s">
        <v>142</v>
      </c>
      <c r="E416" s="15" t="s">
        <v>620</v>
      </c>
      <c r="F416" s="15" t="s">
        <v>103</v>
      </c>
      <c r="G416" s="15" t="s">
        <v>28</v>
      </c>
      <c r="H416" s="15" t="s">
        <v>1797</v>
      </c>
      <c r="I416" s="15" t="s">
        <v>138</v>
      </c>
      <c r="J416" s="15" t="s">
        <v>106</v>
      </c>
      <c r="K416" s="15" t="s">
        <v>122</v>
      </c>
      <c r="L416" s="15" t="s">
        <v>123</v>
      </c>
      <c r="M416" s="15">
        <v>15</v>
      </c>
      <c r="N416" s="15">
        <v>60</v>
      </c>
      <c r="O416" s="15">
        <v>5</v>
      </c>
      <c r="P416" s="15">
        <v>855</v>
      </c>
      <c r="Q416" s="15">
        <v>4</v>
      </c>
      <c r="R416" s="15" t="s">
        <v>48</v>
      </c>
      <c r="S416" s="15" t="s">
        <v>61</v>
      </c>
      <c r="T416" s="15" t="s">
        <v>144</v>
      </c>
      <c r="U416" s="17" t="s">
        <v>1798</v>
      </c>
      <c r="V416" s="15" t="s">
        <v>38</v>
      </c>
    </row>
    <row r="417" spans="1:22">
      <c r="A417" s="18" t="s">
        <v>1799</v>
      </c>
      <c r="B417" s="18" t="s">
        <v>83</v>
      </c>
      <c r="C417" s="18" t="s">
        <v>184</v>
      </c>
      <c r="D417" s="18" t="s">
        <v>1800</v>
      </c>
      <c r="E417" s="18" t="s">
        <v>66</v>
      </c>
      <c r="F417" s="18" t="s">
        <v>180</v>
      </c>
      <c r="G417" s="18" t="s">
        <v>76</v>
      </c>
      <c r="H417" s="18" t="s">
        <v>1801</v>
      </c>
      <c r="I417" s="18" t="s">
        <v>105</v>
      </c>
      <c r="J417" s="18" t="s">
        <v>106</v>
      </c>
      <c r="K417" s="18" t="s">
        <v>46</v>
      </c>
      <c r="L417" s="18" t="s">
        <v>189</v>
      </c>
      <c r="M417" s="18">
        <v>15</v>
      </c>
      <c r="N417" s="18">
        <v>700</v>
      </c>
      <c r="O417" s="18">
        <v>0</v>
      </c>
      <c r="P417" s="18">
        <v>10500</v>
      </c>
      <c r="Q417" s="18">
        <v>5</v>
      </c>
      <c r="R417" s="18" t="s">
        <v>48</v>
      </c>
      <c r="S417" s="18" t="s">
        <v>115</v>
      </c>
      <c r="T417" s="18" t="s">
        <v>89</v>
      </c>
      <c r="U417" s="19" t="s">
        <v>1802</v>
      </c>
      <c r="V417" s="18" t="s">
        <v>38</v>
      </c>
    </row>
    <row r="418" spans="1:22">
      <c r="A418" s="15" t="s">
        <v>1803</v>
      </c>
      <c r="B418" s="15" t="s">
        <v>221</v>
      </c>
      <c r="C418" s="15" t="s">
        <v>40</v>
      </c>
      <c r="D418" s="15" t="s">
        <v>1199</v>
      </c>
      <c r="E418" s="15" t="s">
        <v>440</v>
      </c>
      <c r="F418" s="15" t="s">
        <v>225</v>
      </c>
      <c r="G418" s="15" t="s">
        <v>76</v>
      </c>
      <c r="H418" s="15" t="s">
        <v>1804</v>
      </c>
      <c r="I418" s="15" t="s">
        <v>294</v>
      </c>
      <c r="J418" s="15" t="s">
        <v>295</v>
      </c>
      <c r="K418" s="15" t="s">
        <v>46</v>
      </c>
      <c r="L418" s="15" t="s">
        <v>47</v>
      </c>
      <c r="M418" s="15">
        <v>13</v>
      </c>
      <c r="N418" s="15">
        <v>12000</v>
      </c>
      <c r="O418" s="15">
        <v>10</v>
      </c>
      <c r="P418" s="15">
        <v>140400</v>
      </c>
      <c r="Q418" s="15">
        <v>1</v>
      </c>
      <c r="R418" s="15" t="s">
        <v>34</v>
      </c>
      <c r="S418" s="15" t="s">
        <v>151</v>
      </c>
      <c r="T418" s="15" t="s">
        <v>228</v>
      </c>
      <c r="U418" s="17" t="s">
        <v>1805</v>
      </c>
      <c r="V418" s="15" t="s">
        <v>69</v>
      </c>
    </row>
    <row r="419" spans="1:22">
      <c r="A419" s="18" t="s">
        <v>1806</v>
      </c>
      <c r="B419" s="18" t="s">
        <v>83</v>
      </c>
      <c r="C419" s="18" t="s">
        <v>40</v>
      </c>
      <c r="D419" s="18" t="s">
        <v>1807</v>
      </c>
      <c r="E419" s="18" t="s">
        <v>1081</v>
      </c>
      <c r="F419" s="18" t="s">
        <v>180</v>
      </c>
      <c r="G419" s="18" t="s">
        <v>76</v>
      </c>
      <c r="H419" s="18" t="s">
        <v>1808</v>
      </c>
      <c r="I419" s="18" t="s">
        <v>30</v>
      </c>
      <c r="J419" s="18" t="s">
        <v>31</v>
      </c>
      <c r="K419" s="18" t="s">
        <v>46</v>
      </c>
      <c r="L419" s="18" t="s">
        <v>47</v>
      </c>
      <c r="M419" s="18">
        <v>12</v>
      </c>
      <c r="N419" s="18">
        <v>12000</v>
      </c>
      <c r="O419" s="18">
        <v>20</v>
      </c>
      <c r="P419" s="18">
        <v>115200</v>
      </c>
      <c r="Q419" s="18">
        <v>2</v>
      </c>
      <c r="R419" s="18" t="s">
        <v>34</v>
      </c>
      <c r="S419" s="18" t="s">
        <v>35</v>
      </c>
      <c r="T419" s="18" t="s">
        <v>89</v>
      </c>
      <c r="U419" s="19" t="s">
        <v>1809</v>
      </c>
      <c r="V419" s="18" t="s">
        <v>38</v>
      </c>
    </row>
    <row r="420" spans="1:22">
      <c r="A420" s="15" t="s">
        <v>1810</v>
      </c>
      <c r="B420" s="15" t="s">
        <v>83</v>
      </c>
      <c r="C420" s="15" t="s">
        <v>259</v>
      </c>
      <c r="D420" s="15" t="s">
        <v>119</v>
      </c>
      <c r="E420" s="15" t="s">
        <v>1298</v>
      </c>
      <c r="F420" s="15" t="s">
        <v>180</v>
      </c>
      <c r="G420" s="15" t="s">
        <v>76</v>
      </c>
      <c r="H420" s="15" t="s">
        <v>1811</v>
      </c>
      <c r="I420" s="15" t="s">
        <v>105</v>
      </c>
      <c r="J420" s="15" t="s">
        <v>106</v>
      </c>
      <c r="K420" s="15" t="s">
        <v>122</v>
      </c>
      <c r="L420" s="15" t="s">
        <v>263</v>
      </c>
      <c r="M420" s="15">
        <v>10</v>
      </c>
      <c r="N420" s="15">
        <v>45</v>
      </c>
      <c r="O420" s="15">
        <v>0</v>
      </c>
      <c r="P420" s="15">
        <v>450</v>
      </c>
      <c r="Q420" s="15">
        <v>5</v>
      </c>
      <c r="R420" s="15" t="s">
        <v>79</v>
      </c>
      <c r="S420" s="15" t="s">
        <v>115</v>
      </c>
      <c r="T420" s="15" t="s">
        <v>89</v>
      </c>
      <c r="U420" s="17" t="s">
        <v>1812</v>
      </c>
      <c r="V420" s="15" t="s">
        <v>69</v>
      </c>
    </row>
    <row r="421" spans="1:22">
      <c r="A421" s="18" t="s">
        <v>1813</v>
      </c>
      <c r="B421" s="18" t="s">
        <v>127</v>
      </c>
      <c r="C421" s="18" t="s">
        <v>72</v>
      </c>
      <c r="D421" s="18" t="s">
        <v>41</v>
      </c>
      <c r="E421" s="18" t="s">
        <v>596</v>
      </c>
      <c r="F421" s="18" t="s">
        <v>200</v>
      </c>
      <c r="G421" s="18" t="s">
        <v>76</v>
      </c>
      <c r="H421" s="18" t="s">
        <v>1814</v>
      </c>
      <c r="I421" s="18" t="s">
        <v>105</v>
      </c>
      <c r="J421" s="18" t="s">
        <v>106</v>
      </c>
      <c r="K421" s="18" t="s">
        <v>46</v>
      </c>
      <c r="L421" s="18" t="s">
        <v>78</v>
      </c>
      <c r="M421" s="18">
        <v>20</v>
      </c>
      <c r="N421" s="18">
        <v>1200</v>
      </c>
      <c r="O421" s="18">
        <v>20</v>
      </c>
      <c r="P421" s="18">
        <v>19200</v>
      </c>
      <c r="Q421" s="18">
        <v>5</v>
      </c>
      <c r="R421" s="18" t="s">
        <v>48</v>
      </c>
      <c r="S421" s="18" t="s">
        <v>61</v>
      </c>
      <c r="T421" s="18" t="s">
        <v>132</v>
      </c>
      <c r="U421" s="19" t="s">
        <v>1815</v>
      </c>
      <c r="V421" s="18" t="s">
        <v>69</v>
      </c>
    </row>
    <row r="422" spans="1:22">
      <c r="A422" s="15" t="s">
        <v>1816</v>
      </c>
      <c r="B422" s="15" t="s">
        <v>71</v>
      </c>
      <c r="C422" s="15" t="s">
        <v>72</v>
      </c>
      <c r="D422" s="15" t="s">
        <v>128</v>
      </c>
      <c r="E422" s="15" t="s">
        <v>1817</v>
      </c>
      <c r="F422" s="15" t="s">
        <v>217</v>
      </c>
      <c r="G422" s="15" t="s">
        <v>76</v>
      </c>
      <c r="H422" s="15" t="s">
        <v>1818</v>
      </c>
      <c r="I422" s="15" t="s">
        <v>114</v>
      </c>
      <c r="J422" s="15" t="s">
        <v>106</v>
      </c>
      <c r="K422" s="15" t="s">
        <v>46</v>
      </c>
      <c r="L422" s="15" t="s">
        <v>78</v>
      </c>
      <c r="M422" s="15">
        <v>8</v>
      </c>
      <c r="N422" s="15">
        <v>1200</v>
      </c>
      <c r="O422" s="15">
        <v>10</v>
      </c>
      <c r="P422" s="15">
        <v>8640</v>
      </c>
      <c r="Q422" s="15">
        <v>4</v>
      </c>
      <c r="R422" s="15" t="s">
        <v>48</v>
      </c>
      <c r="S422" s="15" t="s">
        <v>61</v>
      </c>
      <c r="T422" s="15" t="s">
        <v>80</v>
      </c>
      <c r="U422" s="17" t="s">
        <v>1819</v>
      </c>
      <c r="V422" s="15" t="s">
        <v>38</v>
      </c>
    </row>
    <row r="423" spans="1:22">
      <c r="A423" s="18" t="s">
        <v>1820</v>
      </c>
      <c r="B423" s="18" t="s">
        <v>127</v>
      </c>
      <c r="C423" s="18" t="s">
        <v>72</v>
      </c>
      <c r="D423" s="18" t="s">
        <v>1085</v>
      </c>
      <c r="E423" s="18" t="s">
        <v>1086</v>
      </c>
      <c r="F423" s="18" t="s">
        <v>200</v>
      </c>
      <c r="G423" s="18" t="s">
        <v>76</v>
      </c>
      <c r="H423" s="18" t="s">
        <v>1821</v>
      </c>
      <c r="I423" s="18" t="s">
        <v>212</v>
      </c>
      <c r="J423" s="18" t="s">
        <v>45</v>
      </c>
      <c r="K423" s="18" t="s">
        <v>46</v>
      </c>
      <c r="L423" s="18" t="s">
        <v>78</v>
      </c>
      <c r="M423" s="18">
        <v>8</v>
      </c>
      <c r="N423" s="18">
        <v>1200</v>
      </c>
      <c r="O423" s="18">
        <v>10</v>
      </c>
      <c r="P423" s="18">
        <v>8640</v>
      </c>
      <c r="Q423" s="18">
        <v>5</v>
      </c>
      <c r="R423" s="18" t="s">
        <v>79</v>
      </c>
      <c r="S423" s="18" t="s">
        <v>49</v>
      </c>
      <c r="T423" s="18" t="s">
        <v>132</v>
      </c>
      <c r="U423" s="19" t="s">
        <v>1822</v>
      </c>
      <c r="V423" s="18" t="s">
        <v>69</v>
      </c>
    </row>
    <row r="424" spans="1:22">
      <c r="A424" s="15" t="s">
        <v>1823</v>
      </c>
      <c r="B424" s="15" t="s">
        <v>327</v>
      </c>
      <c r="C424" s="15" t="s">
        <v>24</v>
      </c>
      <c r="D424" s="15" t="s">
        <v>1824</v>
      </c>
      <c r="E424" s="15" t="s">
        <v>1444</v>
      </c>
      <c r="F424" s="15" t="s">
        <v>394</v>
      </c>
      <c r="G424" s="15" t="s">
        <v>76</v>
      </c>
      <c r="H424" s="15" t="s">
        <v>1825</v>
      </c>
      <c r="I424" s="15" t="s">
        <v>212</v>
      </c>
      <c r="J424" s="15" t="s">
        <v>45</v>
      </c>
      <c r="K424" s="15" t="s">
        <v>32</v>
      </c>
      <c r="L424" s="15" t="s">
        <v>33</v>
      </c>
      <c r="M424" s="15">
        <v>9</v>
      </c>
      <c r="N424" s="15">
        <v>2200</v>
      </c>
      <c r="O424" s="15">
        <v>20</v>
      </c>
      <c r="P424" s="15">
        <v>15840</v>
      </c>
      <c r="Q424" s="15">
        <v>1</v>
      </c>
      <c r="R424" s="15" t="s">
        <v>48</v>
      </c>
      <c r="S424" s="15" t="s">
        <v>115</v>
      </c>
      <c r="T424" s="15" t="s">
        <v>332</v>
      </c>
      <c r="U424" s="17" t="s">
        <v>1826</v>
      </c>
      <c r="V424" s="15" t="s">
        <v>38</v>
      </c>
    </row>
    <row r="425" spans="1:22">
      <c r="A425" s="18" t="s">
        <v>1827</v>
      </c>
      <c r="B425" s="18" t="s">
        <v>127</v>
      </c>
      <c r="C425" s="18" t="s">
        <v>222</v>
      </c>
      <c r="D425" s="18" t="s">
        <v>1268</v>
      </c>
      <c r="E425" s="18" t="s">
        <v>760</v>
      </c>
      <c r="F425" s="18" t="s">
        <v>200</v>
      </c>
      <c r="G425" s="18" t="s">
        <v>76</v>
      </c>
      <c r="H425" s="18" t="s">
        <v>1828</v>
      </c>
      <c r="I425" s="18" t="s">
        <v>294</v>
      </c>
      <c r="J425" s="18" t="s">
        <v>295</v>
      </c>
      <c r="K425" s="18" t="s">
        <v>122</v>
      </c>
      <c r="L425" s="18" t="s">
        <v>227</v>
      </c>
      <c r="M425" s="18">
        <v>8</v>
      </c>
      <c r="N425" s="18">
        <v>20</v>
      </c>
      <c r="O425" s="18">
        <v>20</v>
      </c>
      <c r="P425" s="18">
        <v>128</v>
      </c>
      <c r="Q425" s="18">
        <v>4</v>
      </c>
      <c r="R425" s="18" t="s">
        <v>34</v>
      </c>
      <c r="S425" s="18" t="s">
        <v>35</v>
      </c>
      <c r="T425" s="18" t="s">
        <v>132</v>
      </c>
      <c r="U425" s="19" t="s">
        <v>1829</v>
      </c>
      <c r="V425" s="18" t="s">
        <v>69</v>
      </c>
    </row>
    <row r="426" spans="1:22">
      <c r="A426" s="15" t="s">
        <v>1830</v>
      </c>
      <c r="B426" s="15" t="s">
        <v>221</v>
      </c>
      <c r="C426" s="15" t="s">
        <v>54</v>
      </c>
      <c r="D426" s="15" t="s">
        <v>1176</v>
      </c>
      <c r="E426" s="15" t="s">
        <v>1831</v>
      </c>
      <c r="F426" s="15" t="s">
        <v>225</v>
      </c>
      <c r="G426" s="15" t="s">
        <v>76</v>
      </c>
      <c r="H426" s="15" t="s">
        <v>1006</v>
      </c>
      <c r="I426" s="15" t="s">
        <v>114</v>
      </c>
      <c r="J426" s="15" t="s">
        <v>106</v>
      </c>
      <c r="K426" s="15" t="s">
        <v>46</v>
      </c>
      <c r="L426" s="15" t="s">
        <v>60</v>
      </c>
      <c r="M426" s="15">
        <v>5</v>
      </c>
      <c r="N426" s="15">
        <v>55000</v>
      </c>
      <c r="O426" s="15">
        <v>0</v>
      </c>
      <c r="P426" s="15">
        <v>275000</v>
      </c>
      <c r="Q426" s="15">
        <v>1</v>
      </c>
      <c r="R426" s="15" t="s">
        <v>79</v>
      </c>
      <c r="S426" s="15" t="s">
        <v>115</v>
      </c>
      <c r="T426" s="15" t="s">
        <v>228</v>
      </c>
      <c r="U426" s="17" t="s">
        <v>1832</v>
      </c>
      <c r="V426" s="15" t="s">
        <v>38</v>
      </c>
    </row>
    <row r="427" spans="1:22">
      <c r="A427" s="18" t="s">
        <v>1833</v>
      </c>
      <c r="B427" s="18" t="s">
        <v>100</v>
      </c>
      <c r="C427" s="18" t="s">
        <v>72</v>
      </c>
      <c r="D427" s="18" t="s">
        <v>1834</v>
      </c>
      <c r="E427" s="18" t="s">
        <v>636</v>
      </c>
      <c r="F427" s="18" t="s">
        <v>103</v>
      </c>
      <c r="G427" s="18" t="s">
        <v>28</v>
      </c>
      <c r="H427" s="18" t="s">
        <v>1835</v>
      </c>
      <c r="I427" s="18" t="s">
        <v>105</v>
      </c>
      <c r="J427" s="18" t="s">
        <v>106</v>
      </c>
      <c r="K427" s="18" t="s">
        <v>46</v>
      </c>
      <c r="L427" s="18" t="s">
        <v>78</v>
      </c>
      <c r="M427" s="18">
        <v>13</v>
      </c>
      <c r="N427" s="18">
        <v>1200</v>
      </c>
      <c r="O427" s="18">
        <v>5</v>
      </c>
      <c r="P427" s="18">
        <v>14820</v>
      </c>
      <c r="Q427" s="18">
        <v>2</v>
      </c>
      <c r="R427" s="18" t="s">
        <v>79</v>
      </c>
      <c r="S427" s="18" t="s">
        <v>35</v>
      </c>
      <c r="T427" s="18" t="s">
        <v>144</v>
      </c>
      <c r="U427" s="19" t="s">
        <v>1836</v>
      </c>
      <c r="V427" s="18" t="s">
        <v>69</v>
      </c>
    </row>
    <row r="428" spans="1:22">
      <c r="A428" s="15" t="s">
        <v>1837</v>
      </c>
      <c r="B428" s="15" t="s">
        <v>83</v>
      </c>
      <c r="C428" s="15" t="s">
        <v>169</v>
      </c>
      <c r="D428" s="15" t="s">
        <v>1484</v>
      </c>
      <c r="E428" s="15" t="s">
        <v>1838</v>
      </c>
      <c r="F428" s="15" t="s">
        <v>180</v>
      </c>
      <c r="G428" s="15" t="s">
        <v>76</v>
      </c>
      <c r="H428" s="15" t="s">
        <v>1839</v>
      </c>
      <c r="I428" s="15" t="s">
        <v>212</v>
      </c>
      <c r="J428" s="15" t="s">
        <v>45</v>
      </c>
      <c r="K428" s="15" t="s">
        <v>32</v>
      </c>
      <c r="L428" s="15" t="s">
        <v>174</v>
      </c>
      <c r="M428" s="15">
        <v>13</v>
      </c>
      <c r="N428" s="15">
        <v>8500</v>
      </c>
      <c r="O428" s="15">
        <v>20</v>
      </c>
      <c r="P428" s="15">
        <v>88400</v>
      </c>
      <c r="Q428" s="15">
        <v>5</v>
      </c>
      <c r="R428" s="15" t="s">
        <v>34</v>
      </c>
      <c r="S428" s="15" t="s">
        <v>49</v>
      </c>
      <c r="T428" s="15" t="s">
        <v>89</v>
      </c>
      <c r="U428" s="17" t="s">
        <v>1840</v>
      </c>
      <c r="V428" s="15" t="s">
        <v>64</v>
      </c>
    </row>
    <row r="429" spans="1:22">
      <c r="A429" s="18" t="s">
        <v>1841</v>
      </c>
      <c r="B429" s="18" t="s">
        <v>71</v>
      </c>
      <c r="C429" s="18" t="s">
        <v>118</v>
      </c>
      <c r="D429" s="18" t="s">
        <v>765</v>
      </c>
      <c r="E429" s="18" t="s">
        <v>1842</v>
      </c>
      <c r="F429" s="18" t="s">
        <v>217</v>
      </c>
      <c r="G429" s="18" t="s">
        <v>76</v>
      </c>
      <c r="H429" s="18" t="s">
        <v>1843</v>
      </c>
      <c r="I429" s="18" t="s">
        <v>114</v>
      </c>
      <c r="J429" s="18" t="s">
        <v>106</v>
      </c>
      <c r="K429" s="18" t="s">
        <v>122</v>
      </c>
      <c r="L429" s="18" t="s">
        <v>123</v>
      </c>
      <c r="M429" s="18">
        <v>14</v>
      </c>
      <c r="N429" s="18">
        <v>60</v>
      </c>
      <c r="O429" s="18">
        <v>10</v>
      </c>
      <c r="P429" s="18">
        <v>756</v>
      </c>
      <c r="Q429" s="18">
        <v>1</v>
      </c>
      <c r="R429" s="18" t="s">
        <v>34</v>
      </c>
      <c r="S429" s="18" t="s">
        <v>61</v>
      </c>
      <c r="T429" s="18" t="s">
        <v>80</v>
      </c>
      <c r="U429" s="19" t="s">
        <v>1844</v>
      </c>
      <c r="V429" s="18" t="s">
        <v>69</v>
      </c>
    </row>
    <row r="430" spans="1:22">
      <c r="A430" s="15" t="s">
        <v>1845</v>
      </c>
      <c r="B430" s="15" t="s">
        <v>251</v>
      </c>
      <c r="C430" s="15" t="s">
        <v>24</v>
      </c>
      <c r="D430" s="15" t="s">
        <v>336</v>
      </c>
      <c r="E430" s="15" t="s">
        <v>606</v>
      </c>
      <c r="F430" s="15" t="s">
        <v>254</v>
      </c>
      <c r="G430" s="15" t="s">
        <v>28</v>
      </c>
      <c r="H430" s="15" t="s">
        <v>1846</v>
      </c>
      <c r="I430" s="15" t="s">
        <v>59</v>
      </c>
      <c r="J430" s="15" t="s">
        <v>31</v>
      </c>
      <c r="K430" s="15" t="s">
        <v>32</v>
      </c>
      <c r="L430" s="15" t="s">
        <v>33</v>
      </c>
      <c r="M430" s="15">
        <v>15</v>
      </c>
      <c r="N430" s="15">
        <v>2200</v>
      </c>
      <c r="O430" s="15">
        <v>0</v>
      </c>
      <c r="P430" s="15">
        <v>33000</v>
      </c>
      <c r="Q430" s="15">
        <v>1</v>
      </c>
      <c r="R430" s="15" t="s">
        <v>34</v>
      </c>
      <c r="S430" s="15" t="s">
        <v>61</v>
      </c>
      <c r="T430" s="15" t="s">
        <v>256</v>
      </c>
      <c r="U430" s="17" t="s">
        <v>1847</v>
      </c>
      <c r="V430" s="15" t="s">
        <v>38</v>
      </c>
    </row>
    <row r="431" spans="1:22">
      <c r="A431" s="18" t="s">
        <v>1848</v>
      </c>
      <c r="B431" s="18" t="s">
        <v>83</v>
      </c>
      <c r="C431" s="18" t="s">
        <v>118</v>
      </c>
      <c r="D431" s="18" t="s">
        <v>1849</v>
      </c>
      <c r="E431" s="18" t="s">
        <v>1850</v>
      </c>
      <c r="F431" s="18" t="s">
        <v>180</v>
      </c>
      <c r="G431" s="18" t="s">
        <v>76</v>
      </c>
      <c r="H431" s="18" t="s">
        <v>1851</v>
      </c>
      <c r="I431" s="18" t="s">
        <v>212</v>
      </c>
      <c r="J431" s="18" t="s">
        <v>45</v>
      </c>
      <c r="K431" s="18" t="s">
        <v>122</v>
      </c>
      <c r="L431" s="18" t="s">
        <v>123</v>
      </c>
      <c r="M431" s="18">
        <v>19</v>
      </c>
      <c r="N431" s="18">
        <v>60</v>
      </c>
      <c r="O431" s="18">
        <v>20</v>
      </c>
      <c r="P431" s="18">
        <v>912</v>
      </c>
      <c r="Q431" s="18">
        <v>3</v>
      </c>
      <c r="R431" s="18" t="s">
        <v>34</v>
      </c>
      <c r="S431" s="18" t="s">
        <v>151</v>
      </c>
      <c r="T431" s="18" t="s">
        <v>89</v>
      </c>
      <c r="U431" s="19" t="s">
        <v>1852</v>
      </c>
      <c r="V431" s="18" t="s">
        <v>64</v>
      </c>
    </row>
    <row r="432" spans="1:22">
      <c r="A432" s="15" t="s">
        <v>1853</v>
      </c>
      <c r="B432" s="15" t="s">
        <v>53</v>
      </c>
      <c r="C432" s="15" t="s">
        <v>259</v>
      </c>
      <c r="D432" s="15" t="s">
        <v>1760</v>
      </c>
      <c r="E432" s="15" t="s">
        <v>341</v>
      </c>
      <c r="F432" s="15" t="s">
        <v>163</v>
      </c>
      <c r="G432" s="15" t="s">
        <v>28</v>
      </c>
      <c r="H432" s="15" t="s">
        <v>1854</v>
      </c>
      <c r="I432" s="15" t="s">
        <v>212</v>
      </c>
      <c r="J432" s="15" t="s">
        <v>45</v>
      </c>
      <c r="K432" s="15" t="s">
        <v>122</v>
      </c>
      <c r="L432" s="15" t="s">
        <v>263</v>
      </c>
      <c r="M432" s="15">
        <v>13</v>
      </c>
      <c r="N432" s="15">
        <v>45</v>
      </c>
      <c r="O432" s="15">
        <v>15</v>
      </c>
      <c r="P432" s="15">
        <v>497.25</v>
      </c>
      <c r="Q432" s="15">
        <v>2</v>
      </c>
      <c r="R432" s="15" t="s">
        <v>34</v>
      </c>
      <c r="S432" s="15" t="s">
        <v>49</v>
      </c>
      <c r="T432" s="15" t="s">
        <v>62</v>
      </c>
      <c r="U432" s="17" t="s">
        <v>1855</v>
      </c>
      <c r="V432" s="15" t="s">
        <v>38</v>
      </c>
    </row>
    <row r="433" spans="1:22">
      <c r="A433" s="18" t="s">
        <v>1856</v>
      </c>
      <c r="B433" s="18" t="s">
        <v>251</v>
      </c>
      <c r="C433" s="18" t="s">
        <v>40</v>
      </c>
      <c r="D433" s="18" t="s">
        <v>998</v>
      </c>
      <c r="E433" s="18" t="s">
        <v>1128</v>
      </c>
      <c r="F433" s="18" t="s">
        <v>254</v>
      </c>
      <c r="G433" s="18" t="s">
        <v>28</v>
      </c>
      <c r="H433" s="18" t="s">
        <v>1857</v>
      </c>
      <c r="I433" s="18" t="s">
        <v>105</v>
      </c>
      <c r="J433" s="18" t="s">
        <v>106</v>
      </c>
      <c r="K433" s="18" t="s">
        <v>46</v>
      </c>
      <c r="L433" s="18" t="s">
        <v>47</v>
      </c>
      <c r="M433" s="18">
        <v>7</v>
      </c>
      <c r="N433" s="18">
        <v>12000</v>
      </c>
      <c r="O433" s="18">
        <v>5</v>
      </c>
      <c r="P433" s="18">
        <v>79800</v>
      </c>
      <c r="Q433" s="18">
        <v>4</v>
      </c>
      <c r="R433" s="18" t="s">
        <v>79</v>
      </c>
      <c r="S433" s="18" t="s">
        <v>151</v>
      </c>
      <c r="T433" s="18" t="s">
        <v>256</v>
      </c>
      <c r="U433" s="19" t="s">
        <v>1858</v>
      </c>
      <c r="V433" s="18" t="s">
        <v>69</v>
      </c>
    </row>
    <row r="434" spans="1:22">
      <c r="A434" s="15" t="s">
        <v>1859</v>
      </c>
      <c r="B434" s="15" t="s">
        <v>327</v>
      </c>
      <c r="C434" s="15" t="s">
        <v>222</v>
      </c>
      <c r="D434" s="15" t="s">
        <v>601</v>
      </c>
      <c r="E434" s="15"/>
      <c r="F434" s="15" t="s">
        <v>394</v>
      </c>
      <c r="G434" s="15" t="s">
        <v>76</v>
      </c>
      <c r="H434" s="15" t="s">
        <v>1860</v>
      </c>
      <c r="I434" s="15" t="s">
        <v>294</v>
      </c>
      <c r="J434" s="15" t="s">
        <v>295</v>
      </c>
      <c r="K434" s="15" t="s">
        <v>122</v>
      </c>
      <c r="L434" s="15" t="s">
        <v>227</v>
      </c>
      <c r="M434" s="15">
        <v>8</v>
      </c>
      <c r="N434" s="15">
        <v>20</v>
      </c>
      <c r="O434" s="15">
        <v>0</v>
      </c>
      <c r="P434" s="15">
        <v>160</v>
      </c>
      <c r="Q434" s="15">
        <v>4</v>
      </c>
      <c r="R434" s="15" t="s">
        <v>79</v>
      </c>
      <c r="S434" s="15" t="s">
        <v>61</v>
      </c>
      <c r="T434" s="15" t="s">
        <v>332</v>
      </c>
      <c r="U434" s="17" t="s">
        <v>1861</v>
      </c>
      <c r="V434" s="15" t="s">
        <v>64</v>
      </c>
    </row>
    <row r="435" spans="1:22">
      <c r="A435" s="18" t="s">
        <v>1862</v>
      </c>
      <c r="B435" s="18" t="s">
        <v>23</v>
      </c>
      <c r="C435" s="18" t="s">
        <v>92</v>
      </c>
      <c r="D435" s="18" t="s">
        <v>1863</v>
      </c>
      <c r="E435" s="18" t="s">
        <v>900</v>
      </c>
      <c r="F435" s="18" t="s">
        <v>27</v>
      </c>
      <c r="G435" s="18" t="s">
        <v>28</v>
      </c>
      <c r="H435" s="18" t="s">
        <v>1864</v>
      </c>
      <c r="I435" s="18" t="s">
        <v>294</v>
      </c>
      <c r="J435" s="18" t="s">
        <v>295</v>
      </c>
      <c r="K435" s="18" t="s">
        <v>32</v>
      </c>
      <c r="L435" s="18" t="s">
        <v>97</v>
      </c>
      <c r="M435" s="18">
        <v>16</v>
      </c>
      <c r="N435" s="18">
        <v>3500</v>
      </c>
      <c r="O435" s="18">
        <v>5</v>
      </c>
      <c r="P435" s="18">
        <v>53200</v>
      </c>
      <c r="Q435" s="18">
        <v>1</v>
      </c>
      <c r="R435" s="18" t="s">
        <v>79</v>
      </c>
      <c r="S435" s="18" t="s">
        <v>61</v>
      </c>
      <c r="T435" s="18" t="s">
        <v>50</v>
      </c>
      <c r="U435" s="19" t="s">
        <v>1865</v>
      </c>
      <c r="V435" s="18" t="s">
        <v>69</v>
      </c>
    </row>
    <row r="436" spans="1:22">
      <c r="A436" s="15" t="s">
        <v>1866</v>
      </c>
      <c r="B436" s="15" t="s">
        <v>327</v>
      </c>
      <c r="C436" s="15" t="s">
        <v>169</v>
      </c>
      <c r="D436" s="15" t="s">
        <v>1867</v>
      </c>
      <c r="E436" s="15" t="s">
        <v>1157</v>
      </c>
      <c r="F436" s="15" t="s">
        <v>394</v>
      </c>
      <c r="G436" s="15" t="s">
        <v>76</v>
      </c>
      <c r="H436" s="15" t="s">
        <v>1868</v>
      </c>
      <c r="I436" s="15" t="s">
        <v>105</v>
      </c>
      <c r="J436" s="15" t="s">
        <v>106</v>
      </c>
      <c r="K436" s="15" t="s">
        <v>32</v>
      </c>
      <c r="L436" s="15" t="s">
        <v>174</v>
      </c>
      <c r="M436" s="15">
        <v>12</v>
      </c>
      <c r="N436" s="15">
        <v>8500</v>
      </c>
      <c r="O436" s="15">
        <v>10</v>
      </c>
      <c r="P436" s="15">
        <v>91800</v>
      </c>
      <c r="Q436" s="15">
        <v>3</v>
      </c>
      <c r="R436" s="15" t="s">
        <v>79</v>
      </c>
      <c r="S436" s="15" t="s">
        <v>35</v>
      </c>
      <c r="T436" s="15" t="s">
        <v>332</v>
      </c>
      <c r="U436" s="17" t="s">
        <v>1869</v>
      </c>
      <c r="V436" s="15" t="s">
        <v>38</v>
      </c>
    </row>
    <row r="437" spans="1:22">
      <c r="A437" s="18" t="s">
        <v>1870</v>
      </c>
      <c r="B437" s="18" t="s">
        <v>23</v>
      </c>
      <c r="C437" s="18" t="s">
        <v>118</v>
      </c>
      <c r="D437" s="18" t="s">
        <v>539</v>
      </c>
      <c r="E437" s="18" t="s">
        <v>1114</v>
      </c>
      <c r="F437" s="18" t="s">
        <v>27</v>
      </c>
      <c r="G437" s="18" t="s">
        <v>28</v>
      </c>
      <c r="H437" s="18" t="s">
        <v>1871</v>
      </c>
      <c r="I437" s="18" t="s">
        <v>138</v>
      </c>
      <c r="J437" s="18" t="s">
        <v>106</v>
      </c>
      <c r="K437" s="18" t="s">
        <v>122</v>
      </c>
      <c r="L437" s="18" t="s">
        <v>123</v>
      </c>
      <c r="M437" s="18">
        <v>1</v>
      </c>
      <c r="N437" s="18">
        <v>60</v>
      </c>
      <c r="O437" s="18">
        <v>20</v>
      </c>
      <c r="P437" s="18">
        <v>48</v>
      </c>
      <c r="Q437" s="18">
        <v>2</v>
      </c>
      <c r="R437" s="18" t="s">
        <v>79</v>
      </c>
      <c r="S437" s="18" t="s">
        <v>151</v>
      </c>
      <c r="T437" s="18" t="s">
        <v>50</v>
      </c>
      <c r="U437" s="19" t="s">
        <v>1872</v>
      </c>
      <c r="V437" s="18" t="s">
        <v>38</v>
      </c>
    </row>
    <row r="438" spans="1:22">
      <c r="A438" s="15" t="s">
        <v>1873</v>
      </c>
      <c r="B438" s="15" t="s">
        <v>127</v>
      </c>
      <c r="C438" s="15" t="s">
        <v>118</v>
      </c>
      <c r="D438" s="15" t="s">
        <v>507</v>
      </c>
      <c r="E438" s="15" t="s">
        <v>535</v>
      </c>
      <c r="F438" s="15" t="s">
        <v>200</v>
      </c>
      <c r="G438" s="15" t="s">
        <v>76</v>
      </c>
      <c r="H438" s="15" t="s">
        <v>1874</v>
      </c>
      <c r="I438" s="15" t="s">
        <v>30</v>
      </c>
      <c r="J438" s="15" t="s">
        <v>31</v>
      </c>
      <c r="K438" s="15" t="s">
        <v>122</v>
      </c>
      <c r="L438" s="15" t="s">
        <v>123</v>
      </c>
      <c r="M438" s="15">
        <v>3</v>
      </c>
      <c r="N438" s="15">
        <v>60</v>
      </c>
      <c r="O438" s="15">
        <v>15</v>
      </c>
      <c r="P438" s="15">
        <v>153</v>
      </c>
      <c r="Q438" s="15">
        <v>4</v>
      </c>
      <c r="R438" s="15" t="s">
        <v>79</v>
      </c>
      <c r="S438" s="15" t="s">
        <v>35</v>
      </c>
      <c r="T438" s="15" t="s">
        <v>132</v>
      </c>
      <c r="U438" s="17" t="s">
        <v>1875</v>
      </c>
      <c r="V438" s="15" t="s">
        <v>38</v>
      </c>
    </row>
    <row r="439" spans="1:22">
      <c r="A439" s="18" t="s">
        <v>1876</v>
      </c>
      <c r="B439" s="18" t="s">
        <v>100</v>
      </c>
      <c r="C439" s="18" t="s">
        <v>184</v>
      </c>
      <c r="D439" s="18" t="s">
        <v>568</v>
      </c>
      <c r="E439" s="18" t="s">
        <v>119</v>
      </c>
      <c r="F439" s="18" t="s">
        <v>103</v>
      </c>
      <c r="G439" s="18" t="s">
        <v>28</v>
      </c>
      <c r="H439" s="18" t="s">
        <v>1877</v>
      </c>
      <c r="I439" s="18" t="s">
        <v>294</v>
      </c>
      <c r="J439" s="18" t="s">
        <v>295</v>
      </c>
      <c r="K439" s="18" t="s">
        <v>46</v>
      </c>
      <c r="L439" s="18" t="s">
        <v>189</v>
      </c>
      <c r="M439" s="18">
        <v>10</v>
      </c>
      <c r="N439" s="18">
        <v>700</v>
      </c>
      <c r="O439" s="18">
        <v>15</v>
      </c>
      <c r="P439" s="18">
        <v>5950</v>
      </c>
      <c r="Q439" s="18">
        <v>3</v>
      </c>
      <c r="R439" s="18" t="s">
        <v>48</v>
      </c>
      <c r="S439" s="18" t="s">
        <v>35</v>
      </c>
      <c r="T439" s="18" t="s">
        <v>144</v>
      </c>
      <c r="U439" s="19" t="s">
        <v>1878</v>
      </c>
      <c r="V439" s="18" t="s">
        <v>64</v>
      </c>
    </row>
    <row r="440" spans="1:22">
      <c r="A440" s="15" t="s">
        <v>1879</v>
      </c>
      <c r="B440" s="15" t="s">
        <v>83</v>
      </c>
      <c r="C440" s="15" t="s">
        <v>222</v>
      </c>
      <c r="D440" s="15" t="s">
        <v>1880</v>
      </c>
      <c r="E440" s="15" t="s">
        <v>1881</v>
      </c>
      <c r="F440" s="15" t="s">
        <v>180</v>
      </c>
      <c r="G440" s="15" t="s">
        <v>76</v>
      </c>
      <c r="H440" s="15" t="s">
        <v>1882</v>
      </c>
      <c r="I440" s="15" t="s">
        <v>138</v>
      </c>
      <c r="J440" s="15" t="s">
        <v>106</v>
      </c>
      <c r="K440" s="15" t="s">
        <v>122</v>
      </c>
      <c r="L440" s="15" t="s">
        <v>227</v>
      </c>
      <c r="M440" s="15">
        <v>2</v>
      </c>
      <c r="N440" s="15">
        <v>20</v>
      </c>
      <c r="O440" s="15">
        <v>10</v>
      </c>
      <c r="P440" s="15">
        <v>36</v>
      </c>
      <c r="Q440" s="15">
        <v>2</v>
      </c>
      <c r="R440" s="15" t="s">
        <v>88</v>
      </c>
      <c r="S440" s="15" t="s">
        <v>61</v>
      </c>
      <c r="T440" s="15" t="s">
        <v>89</v>
      </c>
      <c r="U440" s="17" t="s">
        <v>1883</v>
      </c>
      <c r="V440" s="15" t="s">
        <v>38</v>
      </c>
    </row>
    <row r="441" spans="1:22">
      <c r="A441" s="18" t="s">
        <v>1884</v>
      </c>
      <c r="B441" s="18" t="s">
        <v>83</v>
      </c>
      <c r="C441" s="18" t="s">
        <v>222</v>
      </c>
      <c r="D441" s="18" t="s">
        <v>1885</v>
      </c>
      <c r="E441" s="18" t="s">
        <v>1199</v>
      </c>
      <c r="F441" s="18" t="s">
        <v>180</v>
      </c>
      <c r="G441" s="18" t="s">
        <v>76</v>
      </c>
      <c r="H441" s="18" t="s">
        <v>1886</v>
      </c>
      <c r="I441" s="18" t="s">
        <v>44</v>
      </c>
      <c r="J441" s="18" t="s">
        <v>45</v>
      </c>
      <c r="K441" s="18" t="s">
        <v>122</v>
      </c>
      <c r="L441" s="18" t="s">
        <v>227</v>
      </c>
      <c r="M441" s="18">
        <v>14</v>
      </c>
      <c r="N441" s="18">
        <v>20</v>
      </c>
      <c r="O441" s="18">
        <v>20</v>
      </c>
      <c r="P441" s="18">
        <v>224</v>
      </c>
      <c r="Q441" s="18">
        <v>5</v>
      </c>
      <c r="R441" s="18" t="s">
        <v>34</v>
      </c>
      <c r="S441" s="18" t="s">
        <v>151</v>
      </c>
      <c r="T441" s="18" t="s">
        <v>89</v>
      </c>
      <c r="U441" s="19" t="s">
        <v>1887</v>
      </c>
      <c r="V441" s="18" t="s">
        <v>64</v>
      </c>
    </row>
    <row r="442" spans="1:22">
      <c r="A442" s="15" t="s">
        <v>1888</v>
      </c>
      <c r="B442" s="15" t="s">
        <v>327</v>
      </c>
      <c r="C442" s="15" t="s">
        <v>92</v>
      </c>
      <c r="D442" s="15" t="s">
        <v>1713</v>
      </c>
      <c r="E442" s="15" t="s">
        <v>193</v>
      </c>
      <c r="F442" s="15" t="s">
        <v>394</v>
      </c>
      <c r="G442" s="15" t="s">
        <v>76</v>
      </c>
      <c r="H442" s="15" t="s">
        <v>1889</v>
      </c>
      <c r="I442" s="15" t="s">
        <v>138</v>
      </c>
      <c r="J442" s="15" t="s">
        <v>106</v>
      </c>
      <c r="K442" s="15" t="s">
        <v>32</v>
      </c>
      <c r="L442" s="15" t="s">
        <v>97</v>
      </c>
      <c r="M442" s="15">
        <v>4</v>
      </c>
      <c r="N442" s="15">
        <v>3500</v>
      </c>
      <c r="O442" s="15">
        <v>0</v>
      </c>
      <c r="P442" s="15">
        <v>14000</v>
      </c>
      <c r="Q442" s="15">
        <v>2</v>
      </c>
      <c r="R442" s="15" t="s">
        <v>88</v>
      </c>
      <c r="S442" s="15" t="s">
        <v>35</v>
      </c>
      <c r="T442" s="15" t="s">
        <v>332</v>
      </c>
      <c r="U442" s="17" t="s">
        <v>1890</v>
      </c>
      <c r="V442" s="15" t="s">
        <v>69</v>
      </c>
    </row>
    <row r="443" spans="1:22">
      <c r="A443" s="18" t="s">
        <v>1891</v>
      </c>
      <c r="B443" s="18" t="s">
        <v>83</v>
      </c>
      <c r="C443" s="18" t="s">
        <v>92</v>
      </c>
      <c r="D443" s="18" t="s">
        <v>318</v>
      </c>
      <c r="E443" s="18" t="s">
        <v>1119</v>
      </c>
      <c r="F443" s="18" t="s">
        <v>180</v>
      </c>
      <c r="G443" s="18" t="s">
        <v>76</v>
      </c>
      <c r="H443" s="18" t="s">
        <v>1892</v>
      </c>
      <c r="I443" s="18" t="s">
        <v>212</v>
      </c>
      <c r="J443" s="18" t="s">
        <v>45</v>
      </c>
      <c r="K443" s="18" t="s">
        <v>32</v>
      </c>
      <c r="L443" s="18" t="s">
        <v>97</v>
      </c>
      <c r="M443" s="18">
        <v>9</v>
      </c>
      <c r="N443" s="18">
        <v>3500</v>
      </c>
      <c r="O443" s="18">
        <v>5</v>
      </c>
      <c r="P443" s="18">
        <v>29925</v>
      </c>
      <c r="Q443" s="18">
        <v>3</v>
      </c>
      <c r="R443" s="18" t="s">
        <v>79</v>
      </c>
      <c r="S443" s="18" t="s">
        <v>61</v>
      </c>
      <c r="T443" s="18" t="s">
        <v>89</v>
      </c>
      <c r="U443" s="19" t="s">
        <v>1893</v>
      </c>
      <c r="V443" s="18" t="s">
        <v>38</v>
      </c>
    </row>
    <row r="444" spans="1:22">
      <c r="A444" s="15" t="s">
        <v>1894</v>
      </c>
      <c r="B444" s="15" t="s">
        <v>127</v>
      </c>
      <c r="C444" s="15" t="s">
        <v>118</v>
      </c>
      <c r="D444" s="15" t="s">
        <v>683</v>
      </c>
      <c r="E444" s="15" t="s">
        <v>1465</v>
      </c>
      <c r="F444" s="15" t="s">
        <v>200</v>
      </c>
      <c r="G444" s="15" t="s">
        <v>76</v>
      </c>
      <c r="H444" s="15" t="s">
        <v>1895</v>
      </c>
      <c r="I444" s="15" t="s">
        <v>105</v>
      </c>
      <c r="J444" s="15" t="s">
        <v>106</v>
      </c>
      <c r="K444" s="15" t="s">
        <v>122</v>
      </c>
      <c r="L444" s="15" t="s">
        <v>123</v>
      </c>
      <c r="M444" s="15">
        <v>9</v>
      </c>
      <c r="N444" s="15">
        <v>60</v>
      </c>
      <c r="O444" s="15">
        <v>0</v>
      </c>
      <c r="P444" s="15">
        <v>540</v>
      </c>
      <c r="Q444" s="15">
        <v>3</v>
      </c>
      <c r="R444" s="15" t="s">
        <v>88</v>
      </c>
      <c r="S444" s="15" t="s">
        <v>35</v>
      </c>
      <c r="T444" s="15" t="s">
        <v>132</v>
      </c>
      <c r="U444" s="17" t="s">
        <v>1896</v>
      </c>
      <c r="V444" s="15" t="s">
        <v>64</v>
      </c>
    </row>
    <row r="445" spans="1:22">
      <c r="A445" s="18" t="s">
        <v>1897</v>
      </c>
      <c r="B445" s="18" t="s">
        <v>168</v>
      </c>
      <c r="C445" s="18" t="s">
        <v>72</v>
      </c>
      <c r="D445" s="18" t="s">
        <v>1898</v>
      </c>
      <c r="E445" s="18" t="s">
        <v>1263</v>
      </c>
      <c r="F445" s="18" t="s">
        <v>361</v>
      </c>
      <c r="G445" s="18" t="s">
        <v>28</v>
      </c>
      <c r="H445" s="18" t="s">
        <v>1899</v>
      </c>
      <c r="I445" s="18" t="s">
        <v>138</v>
      </c>
      <c r="J445" s="18" t="s">
        <v>106</v>
      </c>
      <c r="K445" s="18" t="s">
        <v>46</v>
      </c>
      <c r="L445" s="18" t="s">
        <v>78</v>
      </c>
      <c r="M445" s="18">
        <v>4</v>
      </c>
      <c r="N445" s="18">
        <v>1200</v>
      </c>
      <c r="O445" s="18">
        <v>0</v>
      </c>
      <c r="P445" s="18">
        <v>4800</v>
      </c>
      <c r="Q445" s="18">
        <v>1</v>
      </c>
      <c r="R445" s="18" t="s">
        <v>48</v>
      </c>
      <c r="S445" s="18" t="s">
        <v>61</v>
      </c>
      <c r="T445" s="18" t="s">
        <v>175</v>
      </c>
      <c r="U445" s="19" t="s">
        <v>1900</v>
      </c>
      <c r="V445" s="18" t="s">
        <v>38</v>
      </c>
    </row>
    <row r="446" spans="1:22">
      <c r="A446" s="15" t="s">
        <v>1901</v>
      </c>
      <c r="B446" s="15" t="s">
        <v>53</v>
      </c>
      <c r="C446" s="15" t="s">
        <v>54</v>
      </c>
      <c r="D446" s="15" t="s">
        <v>1620</v>
      </c>
      <c r="E446" s="15" t="s">
        <v>302</v>
      </c>
      <c r="F446" s="15" t="s">
        <v>163</v>
      </c>
      <c r="G446" s="15" t="s">
        <v>28</v>
      </c>
      <c r="H446" s="15" t="s">
        <v>1902</v>
      </c>
      <c r="I446" s="15" t="s">
        <v>30</v>
      </c>
      <c r="J446" s="15" t="s">
        <v>31</v>
      </c>
      <c r="K446" s="15" t="s">
        <v>46</v>
      </c>
      <c r="L446" s="15" t="s">
        <v>60</v>
      </c>
      <c r="M446" s="15">
        <v>10</v>
      </c>
      <c r="N446" s="15">
        <v>55000</v>
      </c>
      <c r="O446" s="15">
        <v>5</v>
      </c>
      <c r="P446" s="15">
        <v>522500</v>
      </c>
      <c r="Q446" s="15">
        <v>5</v>
      </c>
      <c r="R446" s="15" t="s">
        <v>88</v>
      </c>
      <c r="S446" s="15" t="s">
        <v>115</v>
      </c>
      <c r="T446" s="15" t="s">
        <v>62</v>
      </c>
      <c r="U446" s="17" t="s">
        <v>1903</v>
      </c>
      <c r="V446" s="15" t="s">
        <v>38</v>
      </c>
    </row>
    <row r="447" spans="1:22">
      <c r="A447" s="18" t="s">
        <v>1904</v>
      </c>
      <c r="B447" s="18" t="s">
        <v>221</v>
      </c>
      <c r="C447" s="18" t="s">
        <v>259</v>
      </c>
      <c r="D447" s="18" t="s">
        <v>1905</v>
      </c>
      <c r="E447" s="18" t="s">
        <v>881</v>
      </c>
      <c r="F447" s="18" t="s">
        <v>225</v>
      </c>
      <c r="G447" s="18" t="s">
        <v>76</v>
      </c>
      <c r="H447" s="18" t="s">
        <v>1906</v>
      </c>
      <c r="I447" s="18" t="s">
        <v>30</v>
      </c>
      <c r="J447" s="18" t="s">
        <v>31</v>
      </c>
      <c r="K447" s="18" t="s">
        <v>122</v>
      </c>
      <c r="L447" s="18" t="s">
        <v>263</v>
      </c>
      <c r="M447" s="18">
        <v>20</v>
      </c>
      <c r="N447" s="18">
        <v>45</v>
      </c>
      <c r="O447" s="18">
        <v>15</v>
      </c>
      <c r="P447" s="18">
        <v>765</v>
      </c>
      <c r="Q447" s="18">
        <v>2</v>
      </c>
      <c r="R447" s="18" t="s">
        <v>79</v>
      </c>
      <c r="S447" s="18" t="s">
        <v>35</v>
      </c>
      <c r="T447" s="18" t="s">
        <v>228</v>
      </c>
      <c r="U447" s="19" t="s">
        <v>1907</v>
      </c>
      <c r="V447" s="18" t="s">
        <v>69</v>
      </c>
    </row>
    <row r="448" spans="1:22">
      <c r="A448" s="15" t="s">
        <v>1908</v>
      </c>
      <c r="B448" s="15" t="s">
        <v>23</v>
      </c>
      <c r="C448" s="15" t="s">
        <v>222</v>
      </c>
      <c r="D448" s="15" t="s">
        <v>314</v>
      </c>
      <c r="E448" s="15" t="s">
        <v>170</v>
      </c>
      <c r="F448" s="15" t="s">
        <v>27</v>
      </c>
      <c r="G448" s="15" t="s">
        <v>28</v>
      </c>
      <c r="H448" s="15" t="s">
        <v>1909</v>
      </c>
      <c r="I448" s="15" t="s">
        <v>105</v>
      </c>
      <c r="J448" s="15" t="s">
        <v>106</v>
      </c>
      <c r="K448" s="15" t="s">
        <v>122</v>
      </c>
      <c r="L448" s="15" t="s">
        <v>227</v>
      </c>
      <c r="M448" s="15">
        <v>9</v>
      </c>
      <c r="N448" s="15">
        <v>20</v>
      </c>
      <c r="O448" s="15">
        <v>20</v>
      </c>
      <c r="P448" s="15">
        <v>144</v>
      </c>
      <c r="Q448" s="15">
        <v>3</v>
      </c>
      <c r="R448" s="15" t="s">
        <v>79</v>
      </c>
      <c r="S448" s="15" t="s">
        <v>61</v>
      </c>
      <c r="T448" s="15" t="s">
        <v>50</v>
      </c>
      <c r="U448" s="17" t="s">
        <v>1910</v>
      </c>
      <c r="V448" s="15" t="s">
        <v>38</v>
      </c>
    </row>
    <row r="449" spans="1:22">
      <c r="A449" s="18" t="s">
        <v>1911</v>
      </c>
      <c r="B449" s="18" t="s">
        <v>23</v>
      </c>
      <c r="C449" s="18" t="s">
        <v>54</v>
      </c>
      <c r="D449" s="18" t="s">
        <v>1912</v>
      </c>
      <c r="E449" s="18" t="s">
        <v>910</v>
      </c>
      <c r="F449" s="18" t="s">
        <v>27</v>
      </c>
      <c r="G449" s="18" t="s">
        <v>28</v>
      </c>
      <c r="H449" s="18" t="s">
        <v>1913</v>
      </c>
      <c r="I449" s="18" t="s">
        <v>114</v>
      </c>
      <c r="J449" s="18" t="s">
        <v>106</v>
      </c>
      <c r="K449" s="18" t="s">
        <v>46</v>
      </c>
      <c r="L449" s="18" t="s">
        <v>60</v>
      </c>
      <c r="M449" s="18">
        <v>8</v>
      </c>
      <c r="N449" s="18">
        <v>55000</v>
      </c>
      <c r="O449" s="18">
        <v>0</v>
      </c>
      <c r="P449" s="18">
        <v>440000</v>
      </c>
      <c r="Q449" s="18">
        <v>4</v>
      </c>
      <c r="R449" s="18" t="s">
        <v>34</v>
      </c>
      <c r="S449" s="18" t="s">
        <v>115</v>
      </c>
      <c r="T449" s="18" t="s">
        <v>50</v>
      </c>
      <c r="U449" s="19" t="s">
        <v>1914</v>
      </c>
      <c r="V449" s="18" t="s">
        <v>38</v>
      </c>
    </row>
    <row r="450" spans="1:22">
      <c r="A450" s="15" t="s">
        <v>1915</v>
      </c>
      <c r="B450" s="15" t="s">
        <v>327</v>
      </c>
      <c r="C450" s="15" t="s">
        <v>72</v>
      </c>
      <c r="D450" s="15" t="s">
        <v>1916</v>
      </c>
      <c r="E450" s="15" t="s">
        <v>1430</v>
      </c>
      <c r="F450" s="15" t="s">
        <v>394</v>
      </c>
      <c r="G450" s="15" t="s">
        <v>76</v>
      </c>
      <c r="H450" s="15" t="s">
        <v>1917</v>
      </c>
      <c r="I450" s="15" t="s">
        <v>138</v>
      </c>
      <c r="J450" s="15" t="s">
        <v>106</v>
      </c>
      <c r="K450" s="15" t="s">
        <v>46</v>
      </c>
      <c r="L450" s="15" t="s">
        <v>78</v>
      </c>
      <c r="M450" s="15">
        <v>4</v>
      </c>
      <c r="N450" s="15">
        <v>1200</v>
      </c>
      <c r="O450" s="15">
        <v>10</v>
      </c>
      <c r="P450" s="15">
        <v>4320</v>
      </c>
      <c r="Q450" s="15">
        <v>4</v>
      </c>
      <c r="R450" s="15" t="s">
        <v>88</v>
      </c>
      <c r="S450" s="15" t="s">
        <v>35</v>
      </c>
      <c r="T450" s="16" t="s">
        <v>1918</v>
      </c>
      <c r="U450" s="17" t="s">
        <v>1919</v>
      </c>
      <c r="V450" s="15" t="s">
        <v>69</v>
      </c>
    </row>
    <row r="451" spans="1:22">
      <c r="A451" s="18" t="s">
        <v>1920</v>
      </c>
      <c r="B451" s="18" t="s">
        <v>327</v>
      </c>
      <c r="C451" s="18" t="s">
        <v>169</v>
      </c>
      <c r="D451" s="18" t="s">
        <v>518</v>
      </c>
      <c r="E451" s="18" t="s">
        <v>426</v>
      </c>
      <c r="F451" s="18" t="s">
        <v>394</v>
      </c>
      <c r="G451" s="18" t="s">
        <v>76</v>
      </c>
      <c r="H451" s="18" t="s">
        <v>1921</v>
      </c>
      <c r="I451" s="18" t="s">
        <v>294</v>
      </c>
      <c r="J451" s="18" t="s">
        <v>295</v>
      </c>
      <c r="K451" s="18" t="s">
        <v>32</v>
      </c>
      <c r="L451" s="18" t="s">
        <v>174</v>
      </c>
      <c r="M451" s="18">
        <v>14</v>
      </c>
      <c r="N451" s="18">
        <v>8500</v>
      </c>
      <c r="O451" s="18">
        <v>10</v>
      </c>
      <c r="P451" s="18">
        <v>107100</v>
      </c>
      <c r="Q451" s="18">
        <v>4</v>
      </c>
      <c r="R451" s="18" t="s">
        <v>34</v>
      </c>
      <c r="S451" s="18" t="s">
        <v>35</v>
      </c>
      <c r="T451" s="18" t="s">
        <v>332</v>
      </c>
      <c r="U451" s="19" t="s">
        <v>1922</v>
      </c>
      <c r="V451" s="18" t="s">
        <v>38</v>
      </c>
    </row>
    <row r="452" spans="1:22">
      <c r="A452" s="15" t="s">
        <v>1923</v>
      </c>
      <c r="B452" s="15" t="s">
        <v>71</v>
      </c>
      <c r="C452" s="15" t="s">
        <v>259</v>
      </c>
      <c r="D452" s="15" t="s">
        <v>683</v>
      </c>
      <c r="E452" s="15" t="s">
        <v>1924</v>
      </c>
      <c r="F452" s="15" t="s">
        <v>217</v>
      </c>
      <c r="G452" s="15" t="s">
        <v>76</v>
      </c>
      <c r="H452" s="15" t="s">
        <v>1925</v>
      </c>
      <c r="I452" s="15" t="s">
        <v>30</v>
      </c>
      <c r="J452" s="15" t="s">
        <v>31</v>
      </c>
      <c r="K452" s="15" t="s">
        <v>122</v>
      </c>
      <c r="L452" s="15" t="s">
        <v>263</v>
      </c>
      <c r="M452" s="15">
        <v>1</v>
      </c>
      <c r="N452" s="15">
        <v>45</v>
      </c>
      <c r="O452" s="15">
        <v>0</v>
      </c>
      <c r="P452" s="15">
        <v>45</v>
      </c>
      <c r="Q452" s="15">
        <v>3</v>
      </c>
      <c r="R452" s="15" t="s">
        <v>88</v>
      </c>
      <c r="S452" s="15" t="s">
        <v>151</v>
      </c>
      <c r="T452" s="15" t="s">
        <v>80</v>
      </c>
      <c r="U452" s="17" t="s">
        <v>1926</v>
      </c>
      <c r="V452" s="15" t="s">
        <v>69</v>
      </c>
    </row>
    <row r="453" spans="1:22">
      <c r="A453" s="18" t="s">
        <v>1927</v>
      </c>
      <c r="B453" s="18" t="s">
        <v>71</v>
      </c>
      <c r="C453" s="18" t="s">
        <v>54</v>
      </c>
      <c r="D453" s="18" t="s">
        <v>901</v>
      </c>
      <c r="E453" s="18" t="s">
        <v>1069</v>
      </c>
      <c r="F453" s="18" t="s">
        <v>217</v>
      </c>
      <c r="G453" s="18" t="s">
        <v>76</v>
      </c>
      <c r="H453" s="18" t="s">
        <v>1928</v>
      </c>
      <c r="I453" s="18" t="s">
        <v>44</v>
      </c>
      <c r="J453" s="18" t="s">
        <v>45</v>
      </c>
      <c r="K453" s="18" t="s">
        <v>46</v>
      </c>
      <c r="L453" s="18" t="s">
        <v>60</v>
      </c>
      <c r="M453" s="18">
        <v>16</v>
      </c>
      <c r="N453" s="18">
        <v>55000</v>
      </c>
      <c r="O453" s="18">
        <v>15</v>
      </c>
      <c r="P453" s="18">
        <v>748000</v>
      </c>
      <c r="Q453" s="18">
        <v>1</v>
      </c>
      <c r="R453" s="18" t="s">
        <v>79</v>
      </c>
      <c r="S453" s="18" t="s">
        <v>151</v>
      </c>
      <c r="T453" s="18" t="s">
        <v>80</v>
      </c>
      <c r="U453" s="19" t="s">
        <v>1929</v>
      </c>
      <c r="V453" s="18" t="s">
        <v>69</v>
      </c>
    </row>
    <row r="454" spans="1:22">
      <c r="A454" s="15" t="s">
        <v>1930</v>
      </c>
      <c r="B454" s="15" t="s">
        <v>53</v>
      </c>
      <c r="C454" s="15" t="s">
        <v>184</v>
      </c>
      <c r="D454" s="15" t="s">
        <v>1931</v>
      </c>
      <c r="E454" s="15" t="s">
        <v>1932</v>
      </c>
      <c r="F454" s="15" t="s">
        <v>163</v>
      </c>
      <c r="G454" s="15" t="s">
        <v>28</v>
      </c>
      <c r="H454" s="15" t="s">
        <v>1933</v>
      </c>
      <c r="I454" s="15" t="s">
        <v>138</v>
      </c>
      <c r="J454" s="15" t="s">
        <v>106</v>
      </c>
      <c r="K454" s="15" t="s">
        <v>46</v>
      </c>
      <c r="L454" s="15" t="s">
        <v>189</v>
      </c>
      <c r="M454" s="15">
        <v>8</v>
      </c>
      <c r="N454" s="15">
        <v>700</v>
      </c>
      <c r="O454" s="15">
        <v>0</v>
      </c>
      <c r="P454" s="15">
        <v>5600</v>
      </c>
      <c r="Q454" s="15">
        <v>3</v>
      </c>
      <c r="R454" s="15" t="s">
        <v>34</v>
      </c>
      <c r="S454" s="15" t="s">
        <v>49</v>
      </c>
      <c r="T454" s="15" t="s">
        <v>62</v>
      </c>
      <c r="U454" s="17" t="s">
        <v>1934</v>
      </c>
      <c r="V454" s="15" t="s">
        <v>38</v>
      </c>
    </row>
    <row r="455" spans="1:22">
      <c r="A455" s="18" t="s">
        <v>1935</v>
      </c>
      <c r="B455" s="18" t="s">
        <v>251</v>
      </c>
      <c r="C455" s="18" t="s">
        <v>72</v>
      </c>
      <c r="D455" s="18" t="s">
        <v>66</v>
      </c>
      <c r="E455" s="18" t="s">
        <v>1936</v>
      </c>
      <c r="F455" s="18" t="s">
        <v>254</v>
      </c>
      <c r="G455" s="18" t="s">
        <v>28</v>
      </c>
      <c r="H455" s="18" t="s">
        <v>1937</v>
      </c>
      <c r="I455" s="18" t="s">
        <v>138</v>
      </c>
      <c r="J455" s="18" t="s">
        <v>106</v>
      </c>
      <c r="K455" s="18" t="s">
        <v>46</v>
      </c>
      <c r="L455" s="18" t="s">
        <v>78</v>
      </c>
      <c r="M455" s="18">
        <v>3</v>
      </c>
      <c r="N455" s="18">
        <v>1200</v>
      </c>
      <c r="O455" s="18">
        <v>0</v>
      </c>
      <c r="P455" s="18">
        <v>3600</v>
      </c>
      <c r="Q455" s="18">
        <v>1</v>
      </c>
      <c r="R455" s="18" t="s">
        <v>79</v>
      </c>
      <c r="S455" s="18" t="s">
        <v>49</v>
      </c>
      <c r="T455" s="18" t="s">
        <v>256</v>
      </c>
      <c r="U455" s="19" t="s">
        <v>1938</v>
      </c>
      <c r="V455" s="18" t="s">
        <v>69</v>
      </c>
    </row>
    <row r="456" spans="1:22">
      <c r="A456" s="15" t="s">
        <v>1939</v>
      </c>
      <c r="B456" s="15" t="s">
        <v>71</v>
      </c>
      <c r="C456" s="15" t="s">
        <v>92</v>
      </c>
      <c r="D456" s="15" t="s">
        <v>988</v>
      </c>
      <c r="E456" s="15" t="s">
        <v>387</v>
      </c>
      <c r="F456" s="15" t="s">
        <v>217</v>
      </c>
      <c r="G456" s="15" t="s">
        <v>76</v>
      </c>
      <c r="H456" s="15" t="s">
        <v>1940</v>
      </c>
      <c r="I456" s="15" t="s">
        <v>294</v>
      </c>
      <c r="J456" s="15" t="s">
        <v>295</v>
      </c>
      <c r="K456" s="15" t="s">
        <v>32</v>
      </c>
      <c r="L456" s="15" t="s">
        <v>97</v>
      </c>
      <c r="M456" s="15">
        <v>7</v>
      </c>
      <c r="N456" s="15">
        <v>3500</v>
      </c>
      <c r="O456" s="15">
        <v>15</v>
      </c>
      <c r="P456" s="15">
        <v>20825</v>
      </c>
      <c r="Q456" s="15">
        <v>4</v>
      </c>
      <c r="R456" s="15" t="s">
        <v>79</v>
      </c>
      <c r="S456" s="15" t="s">
        <v>61</v>
      </c>
      <c r="T456" s="15" t="s">
        <v>80</v>
      </c>
      <c r="U456" s="17" t="s">
        <v>1941</v>
      </c>
      <c r="V456" s="15" t="s">
        <v>64</v>
      </c>
    </row>
    <row r="457" spans="1:22">
      <c r="A457" s="18" t="s">
        <v>1942</v>
      </c>
      <c r="B457" s="18" t="s">
        <v>53</v>
      </c>
      <c r="C457" s="18" t="s">
        <v>54</v>
      </c>
      <c r="D457" s="18" t="s">
        <v>1932</v>
      </c>
      <c r="E457" s="18" t="s">
        <v>740</v>
      </c>
      <c r="F457" s="18" t="s">
        <v>163</v>
      </c>
      <c r="G457" s="18" t="s">
        <v>28</v>
      </c>
      <c r="H457" s="18" t="s">
        <v>1943</v>
      </c>
      <c r="I457" s="18" t="s">
        <v>114</v>
      </c>
      <c r="J457" s="18" t="s">
        <v>106</v>
      </c>
      <c r="K457" s="18" t="s">
        <v>46</v>
      </c>
      <c r="L457" s="18" t="s">
        <v>60</v>
      </c>
      <c r="M457" s="18">
        <v>9</v>
      </c>
      <c r="N457" s="18">
        <v>55000</v>
      </c>
      <c r="O457" s="18">
        <v>15</v>
      </c>
      <c r="P457" s="18">
        <v>420750</v>
      </c>
      <c r="Q457" s="18">
        <v>3</v>
      </c>
      <c r="R457" s="18" t="s">
        <v>88</v>
      </c>
      <c r="S457" s="18" t="s">
        <v>35</v>
      </c>
      <c r="T457" s="18" t="s">
        <v>62</v>
      </c>
      <c r="U457" s="19" t="s">
        <v>1944</v>
      </c>
      <c r="V457" s="18" t="s">
        <v>69</v>
      </c>
    </row>
    <row r="458" spans="1:22">
      <c r="A458" s="15" t="s">
        <v>1945</v>
      </c>
      <c r="B458" s="15" t="s">
        <v>327</v>
      </c>
      <c r="C458" s="15" t="s">
        <v>40</v>
      </c>
      <c r="D458" s="15" t="s">
        <v>185</v>
      </c>
      <c r="E458" s="15" t="s">
        <v>918</v>
      </c>
      <c r="F458" s="15" t="s">
        <v>394</v>
      </c>
      <c r="G458" s="15" t="s">
        <v>76</v>
      </c>
      <c r="H458" s="15" t="s">
        <v>1946</v>
      </c>
      <c r="I458" s="15" t="s">
        <v>59</v>
      </c>
      <c r="J458" s="15" t="s">
        <v>31</v>
      </c>
      <c r="K458" s="15" t="s">
        <v>46</v>
      </c>
      <c r="L458" s="15" t="s">
        <v>47</v>
      </c>
      <c r="M458" s="15">
        <v>12</v>
      </c>
      <c r="N458" s="15">
        <v>12000</v>
      </c>
      <c r="O458" s="15">
        <v>0</v>
      </c>
      <c r="P458" s="15">
        <v>144000</v>
      </c>
      <c r="Q458" s="15">
        <v>3</v>
      </c>
      <c r="R458" s="15" t="s">
        <v>79</v>
      </c>
      <c r="S458" s="15" t="s">
        <v>151</v>
      </c>
      <c r="T458" s="15" t="s">
        <v>332</v>
      </c>
      <c r="U458" s="17" t="s">
        <v>1947</v>
      </c>
      <c r="V458" s="15" t="s">
        <v>69</v>
      </c>
    </row>
    <row r="459" spans="1:22">
      <c r="A459" s="18" t="s">
        <v>1948</v>
      </c>
      <c r="B459" s="18" t="s">
        <v>100</v>
      </c>
      <c r="C459" s="18" t="s">
        <v>118</v>
      </c>
      <c r="D459" s="18" t="s">
        <v>42</v>
      </c>
      <c r="E459" s="18" t="s">
        <v>597</v>
      </c>
      <c r="F459" s="18" t="s">
        <v>103</v>
      </c>
      <c r="G459" s="18" t="s">
        <v>28</v>
      </c>
      <c r="H459" s="18" t="s">
        <v>1949</v>
      </c>
      <c r="I459" s="18" t="s">
        <v>138</v>
      </c>
      <c r="J459" s="18" t="s">
        <v>106</v>
      </c>
      <c r="K459" s="18" t="s">
        <v>122</v>
      </c>
      <c r="L459" s="18" t="s">
        <v>123</v>
      </c>
      <c r="M459" s="18">
        <v>7</v>
      </c>
      <c r="N459" s="18">
        <v>60</v>
      </c>
      <c r="O459" s="18">
        <v>10</v>
      </c>
      <c r="P459" s="18">
        <v>378</v>
      </c>
      <c r="Q459" s="18">
        <v>4</v>
      </c>
      <c r="R459" s="18" t="s">
        <v>34</v>
      </c>
      <c r="S459" s="18" t="s">
        <v>49</v>
      </c>
      <c r="T459" s="18" t="s">
        <v>144</v>
      </c>
      <c r="U459" s="19" t="s">
        <v>1950</v>
      </c>
      <c r="V459" s="18" t="s">
        <v>69</v>
      </c>
    </row>
    <row r="460" spans="1:22">
      <c r="A460" s="15" t="s">
        <v>1951</v>
      </c>
      <c r="B460" s="15" t="s">
        <v>221</v>
      </c>
      <c r="C460" s="15" t="s">
        <v>24</v>
      </c>
      <c r="D460" s="15" t="s">
        <v>377</v>
      </c>
      <c r="E460" s="15" t="s">
        <v>674</v>
      </c>
      <c r="F460" s="15" t="s">
        <v>225</v>
      </c>
      <c r="G460" s="15" t="s">
        <v>76</v>
      </c>
      <c r="H460" s="15" t="s">
        <v>1952</v>
      </c>
      <c r="I460" s="15" t="s">
        <v>105</v>
      </c>
      <c r="J460" s="15" t="s">
        <v>106</v>
      </c>
      <c r="K460" s="15" t="s">
        <v>32</v>
      </c>
      <c r="L460" s="15" t="s">
        <v>33</v>
      </c>
      <c r="M460" s="15">
        <v>17</v>
      </c>
      <c r="N460" s="15">
        <v>2200</v>
      </c>
      <c r="O460" s="15">
        <v>15</v>
      </c>
      <c r="P460" s="15">
        <v>31790</v>
      </c>
      <c r="Q460" s="15">
        <v>3</v>
      </c>
      <c r="R460" s="15" t="s">
        <v>88</v>
      </c>
      <c r="S460" s="15" t="s">
        <v>151</v>
      </c>
      <c r="T460" s="15" t="s">
        <v>228</v>
      </c>
      <c r="U460" s="17" t="s">
        <v>1953</v>
      </c>
      <c r="V460" s="15" t="s">
        <v>64</v>
      </c>
    </row>
    <row r="461" spans="1:22">
      <c r="A461" s="18" t="s">
        <v>1954</v>
      </c>
      <c r="B461" s="18" t="s">
        <v>327</v>
      </c>
      <c r="C461" s="18" t="s">
        <v>184</v>
      </c>
      <c r="D461" s="18" t="s">
        <v>351</v>
      </c>
      <c r="E461" s="18" t="s">
        <v>1537</v>
      </c>
      <c r="F461" s="18" t="s">
        <v>394</v>
      </c>
      <c r="G461" s="18" t="s">
        <v>76</v>
      </c>
      <c r="H461" s="18" t="s">
        <v>1955</v>
      </c>
      <c r="I461" s="18" t="s">
        <v>59</v>
      </c>
      <c r="J461" s="18" t="s">
        <v>31</v>
      </c>
      <c r="K461" s="18" t="s">
        <v>46</v>
      </c>
      <c r="L461" s="18" t="s">
        <v>189</v>
      </c>
      <c r="M461" s="18">
        <v>17</v>
      </c>
      <c r="N461" s="18">
        <v>700</v>
      </c>
      <c r="O461" s="18">
        <v>10</v>
      </c>
      <c r="P461" s="18">
        <v>10710</v>
      </c>
      <c r="Q461" s="18">
        <v>2</v>
      </c>
      <c r="R461" s="18" t="s">
        <v>34</v>
      </c>
      <c r="S461" s="18" t="s">
        <v>61</v>
      </c>
      <c r="T461" s="18" t="s">
        <v>332</v>
      </c>
      <c r="U461" s="19" t="s">
        <v>1956</v>
      </c>
      <c r="V461" s="18" t="s">
        <v>64</v>
      </c>
    </row>
    <row r="462" spans="1:22">
      <c r="A462" s="15" t="s">
        <v>1957</v>
      </c>
      <c r="B462" s="15" t="s">
        <v>327</v>
      </c>
      <c r="C462" s="15" t="s">
        <v>54</v>
      </c>
      <c r="D462" s="15" t="s">
        <v>1958</v>
      </c>
      <c r="E462" s="15" t="s">
        <v>1188</v>
      </c>
      <c r="F462" s="15" t="s">
        <v>394</v>
      </c>
      <c r="G462" s="15" t="s">
        <v>76</v>
      </c>
      <c r="H462" s="15" t="s">
        <v>1959</v>
      </c>
      <c r="I462" s="15" t="s">
        <v>44</v>
      </c>
      <c r="J462" s="15" t="s">
        <v>45</v>
      </c>
      <c r="K462" s="15" t="s">
        <v>46</v>
      </c>
      <c r="L462" s="15" t="s">
        <v>60</v>
      </c>
      <c r="M462" s="15">
        <v>19</v>
      </c>
      <c r="N462" s="15">
        <v>55000</v>
      </c>
      <c r="O462" s="15">
        <v>20</v>
      </c>
      <c r="P462" s="15">
        <v>836000</v>
      </c>
      <c r="Q462" s="15">
        <v>5</v>
      </c>
      <c r="R462" s="15" t="s">
        <v>48</v>
      </c>
      <c r="S462" s="15" t="s">
        <v>61</v>
      </c>
      <c r="T462" s="15" t="s">
        <v>332</v>
      </c>
      <c r="U462" s="17" t="s">
        <v>1960</v>
      </c>
      <c r="V462" s="15" t="s">
        <v>38</v>
      </c>
    </row>
    <row r="463" spans="1:22">
      <c r="A463" s="18" t="s">
        <v>1961</v>
      </c>
      <c r="B463" s="18" t="s">
        <v>127</v>
      </c>
      <c r="C463" s="18" t="s">
        <v>118</v>
      </c>
      <c r="D463" s="18" t="s">
        <v>1172</v>
      </c>
      <c r="E463" s="18" t="s">
        <v>128</v>
      </c>
      <c r="F463" s="18" t="s">
        <v>200</v>
      </c>
      <c r="G463" s="18" t="s">
        <v>76</v>
      </c>
      <c r="H463" s="18" t="s">
        <v>1962</v>
      </c>
      <c r="I463" s="18" t="s">
        <v>44</v>
      </c>
      <c r="J463" s="18" t="s">
        <v>45</v>
      </c>
      <c r="K463" s="18" t="s">
        <v>122</v>
      </c>
      <c r="L463" s="18" t="s">
        <v>123</v>
      </c>
      <c r="M463" s="18">
        <v>1</v>
      </c>
      <c r="N463" s="18">
        <v>60</v>
      </c>
      <c r="O463" s="18">
        <v>10</v>
      </c>
      <c r="P463" s="18">
        <v>54</v>
      </c>
      <c r="Q463" s="18">
        <v>4</v>
      </c>
      <c r="R463" s="18" t="s">
        <v>48</v>
      </c>
      <c r="S463" s="18"/>
      <c r="T463" s="20" t="s">
        <v>1963</v>
      </c>
      <c r="U463" s="19" t="s">
        <v>1964</v>
      </c>
      <c r="V463" s="18" t="s">
        <v>69</v>
      </c>
    </row>
    <row r="464" spans="1:22">
      <c r="A464" s="15" t="s">
        <v>1965</v>
      </c>
      <c r="B464" s="15" t="s">
        <v>71</v>
      </c>
      <c r="C464" s="15" t="s">
        <v>92</v>
      </c>
      <c r="D464" s="15" t="s">
        <v>1142</v>
      </c>
      <c r="E464" s="15" t="s">
        <v>554</v>
      </c>
      <c r="F464" s="15" t="s">
        <v>217</v>
      </c>
      <c r="G464" s="15" t="s">
        <v>76</v>
      </c>
      <c r="H464" s="15" t="s">
        <v>1966</v>
      </c>
      <c r="I464" s="15" t="s">
        <v>30</v>
      </c>
      <c r="J464" s="15" t="s">
        <v>31</v>
      </c>
      <c r="K464" s="15" t="s">
        <v>32</v>
      </c>
      <c r="L464" s="15" t="s">
        <v>97</v>
      </c>
      <c r="M464" s="15">
        <v>16</v>
      </c>
      <c r="N464" s="15">
        <v>3500</v>
      </c>
      <c r="O464" s="15">
        <v>0</v>
      </c>
      <c r="P464" s="15">
        <v>56000</v>
      </c>
      <c r="Q464" s="15">
        <v>4</v>
      </c>
      <c r="R464" s="15" t="s">
        <v>48</v>
      </c>
      <c r="S464" s="15" t="s">
        <v>35</v>
      </c>
      <c r="T464" s="15" t="s">
        <v>80</v>
      </c>
      <c r="U464" s="17" t="s">
        <v>1967</v>
      </c>
      <c r="V464" s="15" t="s">
        <v>64</v>
      </c>
    </row>
    <row r="465" spans="1:22">
      <c r="A465" s="18" t="s">
        <v>1968</v>
      </c>
      <c r="B465" s="18" t="s">
        <v>127</v>
      </c>
      <c r="C465" s="18" t="s">
        <v>222</v>
      </c>
      <c r="D465" s="18" t="s">
        <v>957</v>
      </c>
      <c r="E465" s="18" t="s">
        <v>766</v>
      </c>
      <c r="F465" s="18" t="s">
        <v>200</v>
      </c>
      <c r="G465" s="18" t="s">
        <v>76</v>
      </c>
      <c r="H465" s="18" t="s">
        <v>1295</v>
      </c>
      <c r="I465" s="18" t="s">
        <v>114</v>
      </c>
      <c r="J465" s="18" t="s">
        <v>106</v>
      </c>
      <c r="K465" s="18" t="s">
        <v>122</v>
      </c>
      <c r="L465" s="18" t="s">
        <v>227</v>
      </c>
      <c r="M465" s="18">
        <v>14</v>
      </c>
      <c r="N465" s="18">
        <v>20</v>
      </c>
      <c r="O465" s="18">
        <v>10</v>
      </c>
      <c r="P465" s="18">
        <v>252</v>
      </c>
      <c r="Q465" s="18">
        <v>1</v>
      </c>
      <c r="R465" s="18" t="s">
        <v>48</v>
      </c>
      <c r="S465" s="18" t="s">
        <v>61</v>
      </c>
      <c r="T465" s="18" t="s">
        <v>132</v>
      </c>
      <c r="U465" s="19" t="s">
        <v>1969</v>
      </c>
      <c r="V465" s="18" t="s">
        <v>64</v>
      </c>
    </row>
    <row r="466" spans="1:22">
      <c r="A466" s="15" t="s">
        <v>1970</v>
      </c>
      <c r="B466" s="15" t="s">
        <v>71</v>
      </c>
      <c r="C466" s="15" t="s">
        <v>24</v>
      </c>
      <c r="D466" s="15" t="s">
        <v>473</v>
      </c>
      <c r="E466" s="15" t="s">
        <v>454</v>
      </c>
      <c r="F466" s="15" t="s">
        <v>217</v>
      </c>
      <c r="G466" s="15" t="s">
        <v>76</v>
      </c>
      <c r="H466" s="15" t="s">
        <v>1971</v>
      </c>
      <c r="I466" s="15" t="s">
        <v>59</v>
      </c>
      <c r="J466" s="15" t="s">
        <v>31</v>
      </c>
      <c r="K466" s="15" t="s">
        <v>32</v>
      </c>
      <c r="L466" s="15" t="s">
        <v>33</v>
      </c>
      <c r="M466" s="15">
        <v>11</v>
      </c>
      <c r="N466" s="15">
        <v>2200</v>
      </c>
      <c r="O466" s="15">
        <v>15</v>
      </c>
      <c r="P466" s="15">
        <v>20570</v>
      </c>
      <c r="Q466" s="15">
        <v>4</v>
      </c>
      <c r="R466" s="15" t="s">
        <v>48</v>
      </c>
      <c r="S466" s="15" t="s">
        <v>49</v>
      </c>
      <c r="T466" s="15" t="s">
        <v>80</v>
      </c>
      <c r="U466" s="17" t="s">
        <v>1972</v>
      </c>
      <c r="V466" s="15" t="s">
        <v>69</v>
      </c>
    </row>
    <row r="467" spans="1:22">
      <c r="A467" s="18" t="s">
        <v>1973</v>
      </c>
      <c r="B467" s="18" t="s">
        <v>83</v>
      </c>
      <c r="C467" s="18" t="s">
        <v>54</v>
      </c>
      <c r="D467" s="18" t="s">
        <v>756</v>
      </c>
      <c r="E467" s="18" t="s">
        <v>1282</v>
      </c>
      <c r="F467" s="18" t="s">
        <v>180</v>
      </c>
      <c r="G467" s="18" t="s">
        <v>76</v>
      </c>
      <c r="H467" s="18" t="s">
        <v>1974</v>
      </c>
      <c r="I467" s="18" t="s">
        <v>212</v>
      </c>
      <c r="J467" s="18" t="s">
        <v>45</v>
      </c>
      <c r="K467" s="18" t="s">
        <v>46</v>
      </c>
      <c r="L467" s="18" t="s">
        <v>60</v>
      </c>
      <c r="M467" s="18">
        <v>2</v>
      </c>
      <c r="N467" s="18">
        <v>55000</v>
      </c>
      <c r="O467" s="18">
        <v>0</v>
      </c>
      <c r="P467" s="18">
        <v>110000</v>
      </c>
      <c r="Q467" s="18">
        <v>4</v>
      </c>
      <c r="R467" s="18" t="s">
        <v>48</v>
      </c>
      <c r="S467" s="18" t="s">
        <v>49</v>
      </c>
      <c r="T467" s="18" t="s">
        <v>89</v>
      </c>
      <c r="U467" s="19" t="s">
        <v>1975</v>
      </c>
      <c r="V467" s="18" t="s">
        <v>69</v>
      </c>
    </row>
    <row r="468" spans="1:22">
      <c r="A468" s="15" t="s">
        <v>1976</v>
      </c>
      <c r="B468" s="15" t="s">
        <v>53</v>
      </c>
      <c r="C468" s="15" t="s">
        <v>24</v>
      </c>
      <c r="D468" s="15" t="s">
        <v>512</v>
      </c>
      <c r="E468" s="15" t="s">
        <v>513</v>
      </c>
      <c r="F468" s="15" t="s">
        <v>163</v>
      </c>
      <c r="G468" s="15" t="s">
        <v>28</v>
      </c>
      <c r="H468" s="15" t="s">
        <v>1977</v>
      </c>
      <c r="I468" s="15" t="s">
        <v>114</v>
      </c>
      <c r="J468" s="15" t="s">
        <v>106</v>
      </c>
      <c r="K468" s="15" t="s">
        <v>32</v>
      </c>
      <c r="L468" s="15" t="s">
        <v>33</v>
      </c>
      <c r="M468" s="15">
        <v>7</v>
      </c>
      <c r="N468" s="15">
        <v>2200</v>
      </c>
      <c r="O468" s="15">
        <v>5</v>
      </c>
      <c r="P468" s="15">
        <v>14630</v>
      </c>
      <c r="Q468" s="15">
        <v>4</v>
      </c>
      <c r="R468" s="15" t="s">
        <v>79</v>
      </c>
      <c r="S468" s="15" t="s">
        <v>115</v>
      </c>
      <c r="T468" s="15" t="s">
        <v>62</v>
      </c>
      <c r="U468" s="17" t="s">
        <v>1978</v>
      </c>
      <c r="V468" s="15" t="s">
        <v>69</v>
      </c>
    </row>
    <row r="469" spans="1:22">
      <c r="A469" s="18" t="s">
        <v>1979</v>
      </c>
      <c r="B469" s="18" t="s">
        <v>23</v>
      </c>
      <c r="C469" s="18" t="s">
        <v>259</v>
      </c>
      <c r="D469" s="18" t="s">
        <v>1507</v>
      </c>
      <c r="E469" s="18" t="s">
        <v>577</v>
      </c>
      <c r="F469" s="18" t="s">
        <v>27</v>
      </c>
      <c r="G469" s="18" t="s">
        <v>28</v>
      </c>
      <c r="H469" s="18" t="s">
        <v>1980</v>
      </c>
      <c r="I469" s="18" t="s">
        <v>138</v>
      </c>
      <c r="J469" s="18" t="s">
        <v>106</v>
      </c>
      <c r="K469" s="18" t="s">
        <v>122</v>
      </c>
      <c r="L469" s="18" t="s">
        <v>263</v>
      </c>
      <c r="M469" s="18">
        <v>11</v>
      </c>
      <c r="N469" s="18">
        <v>45</v>
      </c>
      <c r="O469" s="18">
        <v>15</v>
      </c>
      <c r="P469" s="18">
        <v>420.75</v>
      </c>
      <c r="Q469" s="18">
        <v>4</v>
      </c>
      <c r="R469" s="18" t="s">
        <v>79</v>
      </c>
      <c r="S469" s="18" t="s">
        <v>61</v>
      </c>
      <c r="T469" s="18" t="s">
        <v>50</v>
      </c>
      <c r="U469" s="19" t="s">
        <v>1981</v>
      </c>
      <c r="V469" s="18" t="s">
        <v>64</v>
      </c>
    </row>
    <row r="470" spans="1:22">
      <c r="A470" s="15" t="s">
        <v>1982</v>
      </c>
      <c r="B470" s="15" t="s">
        <v>100</v>
      </c>
      <c r="C470" s="15" t="s">
        <v>118</v>
      </c>
      <c r="D470" s="15" t="s">
        <v>1114</v>
      </c>
      <c r="E470" s="15" t="s">
        <v>210</v>
      </c>
      <c r="F470" s="15" t="s">
        <v>103</v>
      </c>
      <c r="G470" s="15" t="s">
        <v>28</v>
      </c>
      <c r="H470" s="15" t="s">
        <v>1983</v>
      </c>
      <c r="I470" s="15" t="s">
        <v>105</v>
      </c>
      <c r="J470" s="15" t="s">
        <v>106</v>
      </c>
      <c r="K470" s="15" t="s">
        <v>122</v>
      </c>
      <c r="L470" s="15" t="s">
        <v>123</v>
      </c>
      <c r="M470" s="15">
        <v>16</v>
      </c>
      <c r="N470" s="15">
        <v>60</v>
      </c>
      <c r="O470" s="15">
        <v>5</v>
      </c>
      <c r="P470" s="15">
        <v>912</v>
      </c>
      <c r="Q470" s="15">
        <v>2</v>
      </c>
      <c r="R470" s="15" t="s">
        <v>34</v>
      </c>
      <c r="S470" s="15" t="s">
        <v>115</v>
      </c>
      <c r="T470" s="15" t="s">
        <v>144</v>
      </c>
      <c r="U470" s="17" t="s">
        <v>1984</v>
      </c>
      <c r="V470" s="15" t="s">
        <v>69</v>
      </c>
    </row>
    <row r="471" spans="1:22">
      <c r="A471" s="18" t="s">
        <v>1985</v>
      </c>
      <c r="B471" s="18" t="s">
        <v>327</v>
      </c>
      <c r="C471" s="18" t="s">
        <v>54</v>
      </c>
      <c r="D471" s="18" t="s">
        <v>1102</v>
      </c>
      <c r="E471" s="18" t="s">
        <v>864</v>
      </c>
      <c r="F471" s="18" t="s">
        <v>394</v>
      </c>
      <c r="G471" s="18" t="s">
        <v>76</v>
      </c>
      <c r="H471" s="18" t="s">
        <v>1986</v>
      </c>
      <c r="I471" s="18" t="s">
        <v>114</v>
      </c>
      <c r="J471" s="18" t="s">
        <v>106</v>
      </c>
      <c r="K471" s="18" t="s">
        <v>46</v>
      </c>
      <c r="L471" s="18" t="s">
        <v>60</v>
      </c>
      <c r="M471" s="18">
        <v>18</v>
      </c>
      <c r="N471" s="18">
        <v>55000</v>
      </c>
      <c r="O471" s="18">
        <v>0</v>
      </c>
      <c r="P471" s="18">
        <v>990000</v>
      </c>
      <c r="Q471" s="18">
        <v>5</v>
      </c>
      <c r="R471" s="18" t="s">
        <v>48</v>
      </c>
      <c r="S471" s="18" t="s">
        <v>49</v>
      </c>
      <c r="T471" s="18" t="s">
        <v>332</v>
      </c>
      <c r="U471" s="19" t="s">
        <v>1987</v>
      </c>
      <c r="V471" s="18" t="s">
        <v>64</v>
      </c>
    </row>
    <row r="472" spans="1:22">
      <c r="A472" s="15" t="s">
        <v>1988</v>
      </c>
      <c r="B472" s="15" t="s">
        <v>23</v>
      </c>
      <c r="C472" s="15" t="s">
        <v>72</v>
      </c>
      <c r="D472" s="15" t="s">
        <v>1989</v>
      </c>
      <c r="E472" s="15" t="s">
        <v>1880</v>
      </c>
      <c r="F472" s="15" t="s">
        <v>27</v>
      </c>
      <c r="G472" s="15" t="s">
        <v>28</v>
      </c>
      <c r="H472" s="15" t="s">
        <v>1990</v>
      </c>
      <c r="I472" s="15" t="s">
        <v>59</v>
      </c>
      <c r="J472" s="15" t="s">
        <v>31</v>
      </c>
      <c r="K472" s="15" t="s">
        <v>46</v>
      </c>
      <c r="L472" s="15" t="s">
        <v>78</v>
      </c>
      <c r="M472" s="15">
        <v>17</v>
      </c>
      <c r="N472" s="15">
        <v>1200</v>
      </c>
      <c r="O472" s="15">
        <v>5</v>
      </c>
      <c r="P472" s="15">
        <v>19380</v>
      </c>
      <c r="Q472" s="15">
        <v>1</v>
      </c>
      <c r="R472" s="15" t="s">
        <v>48</v>
      </c>
      <c r="S472" s="15" t="s">
        <v>35</v>
      </c>
      <c r="T472" s="15" t="s">
        <v>50</v>
      </c>
      <c r="U472" s="17" t="s">
        <v>1991</v>
      </c>
      <c r="V472" s="15" t="s">
        <v>64</v>
      </c>
    </row>
    <row r="473" spans="1:22">
      <c r="A473" s="18" t="s">
        <v>1992</v>
      </c>
      <c r="B473" s="18" t="s">
        <v>53</v>
      </c>
      <c r="C473" s="18" t="s">
        <v>54</v>
      </c>
      <c r="D473" s="18" t="s">
        <v>41</v>
      </c>
      <c r="E473" s="18" t="s">
        <v>199</v>
      </c>
      <c r="F473" s="18" t="s">
        <v>163</v>
      </c>
      <c r="G473" s="18" t="s">
        <v>28</v>
      </c>
      <c r="H473" s="18" t="s">
        <v>1993</v>
      </c>
      <c r="I473" s="18" t="s">
        <v>114</v>
      </c>
      <c r="J473" s="18" t="s">
        <v>106</v>
      </c>
      <c r="K473" s="18" t="s">
        <v>46</v>
      </c>
      <c r="L473" s="18" t="s">
        <v>60</v>
      </c>
      <c r="M473" s="18">
        <v>11</v>
      </c>
      <c r="N473" s="18">
        <v>55000</v>
      </c>
      <c r="O473" s="18">
        <v>0</v>
      </c>
      <c r="P473" s="18">
        <v>605000</v>
      </c>
      <c r="Q473" s="18">
        <v>2</v>
      </c>
      <c r="R473" s="18" t="s">
        <v>34</v>
      </c>
      <c r="S473" s="18" t="s">
        <v>61</v>
      </c>
      <c r="T473" s="18" t="s">
        <v>62</v>
      </c>
      <c r="U473" s="19" t="s">
        <v>1994</v>
      </c>
      <c r="V473" s="18" t="s">
        <v>64</v>
      </c>
    </row>
    <row r="474" spans="1:22">
      <c r="A474" s="15" t="s">
        <v>1995</v>
      </c>
      <c r="B474" s="15" t="s">
        <v>251</v>
      </c>
      <c r="C474" s="15" t="s">
        <v>184</v>
      </c>
      <c r="D474" s="15" t="s">
        <v>236</v>
      </c>
      <c r="E474" s="15" t="s">
        <v>678</v>
      </c>
      <c r="F474" s="15" t="s">
        <v>254</v>
      </c>
      <c r="G474" s="15" t="s">
        <v>28</v>
      </c>
      <c r="H474" s="15" t="s">
        <v>1996</v>
      </c>
      <c r="I474" s="15" t="s">
        <v>44</v>
      </c>
      <c r="J474" s="15" t="s">
        <v>45</v>
      </c>
      <c r="K474" s="15" t="s">
        <v>46</v>
      </c>
      <c r="L474" s="15" t="s">
        <v>189</v>
      </c>
      <c r="M474" s="15">
        <v>20</v>
      </c>
      <c r="N474" s="15">
        <v>700</v>
      </c>
      <c r="O474" s="15">
        <v>20</v>
      </c>
      <c r="P474" s="15">
        <v>11200</v>
      </c>
      <c r="Q474" s="15">
        <v>5</v>
      </c>
      <c r="R474" s="15" t="s">
        <v>48</v>
      </c>
      <c r="S474" s="15" t="s">
        <v>61</v>
      </c>
      <c r="T474" s="15" t="s">
        <v>256</v>
      </c>
      <c r="U474" s="17" t="s">
        <v>1997</v>
      </c>
      <c r="V474" s="15" t="s">
        <v>38</v>
      </c>
    </row>
    <row r="475" spans="1:22">
      <c r="A475" s="18" t="s">
        <v>1998</v>
      </c>
      <c r="B475" s="18" t="s">
        <v>71</v>
      </c>
      <c r="C475" s="18" t="s">
        <v>222</v>
      </c>
      <c r="D475" s="18" t="s">
        <v>484</v>
      </c>
      <c r="E475" s="18" t="s">
        <v>322</v>
      </c>
      <c r="F475" s="18" t="s">
        <v>217</v>
      </c>
      <c r="G475" s="18" t="s">
        <v>76</v>
      </c>
      <c r="H475" s="18" t="s">
        <v>1999</v>
      </c>
      <c r="I475" s="18" t="s">
        <v>44</v>
      </c>
      <c r="J475" s="18" t="s">
        <v>45</v>
      </c>
      <c r="K475" s="18" t="s">
        <v>122</v>
      </c>
      <c r="L475" s="18" t="s">
        <v>227</v>
      </c>
      <c r="M475" s="18">
        <v>5</v>
      </c>
      <c r="N475" s="18">
        <v>20</v>
      </c>
      <c r="O475" s="18">
        <v>5</v>
      </c>
      <c r="P475" s="18">
        <v>95</v>
      </c>
      <c r="Q475" s="18">
        <v>4</v>
      </c>
      <c r="R475" s="18" t="s">
        <v>34</v>
      </c>
      <c r="S475" s="18" t="s">
        <v>49</v>
      </c>
      <c r="T475" s="18" t="s">
        <v>80</v>
      </c>
      <c r="U475" s="19" t="s">
        <v>2000</v>
      </c>
      <c r="V475" s="18" t="s">
        <v>69</v>
      </c>
    </row>
    <row r="476" spans="1:22">
      <c r="A476" s="15" t="s">
        <v>2001</v>
      </c>
      <c r="B476" s="15" t="s">
        <v>327</v>
      </c>
      <c r="C476" s="15" t="s">
        <v>54</v>
      </c>
      <c r="D476" s="15" t="s">
        <v>765</v>
      </c>
      <c r="E476" s="15" t="s">
        <v>1373</v>
      </c>
      <c r="F476" s="15" t="s">
        <v>394</v>
      </c>
      <c r="G476" s="15" t="s">
        <v>76</v>
      </c>
      <c r="H476" s="15" t="s">
        <v>2002</v>
      </c>
      <c r="I476" s="15" t="s">
        <v>105</v>
      </c>
      <c r="J476" s="15" t="s">
        <v>106</v>
      </c>
      <c r="K476" s="15" t="s">
        <v>46</v>
      </c>
      <c r="L476" s="15" t="s">
        <v>60</v>
      </c>
      <c r="M476" s="15">
        <v>13</v>
      </c>
      <c r="N476" s="15">
        <v>55000</v>
      </c>
      <c r="O476" s="15">
        <v>5</v>
      </c>
      <c r="P476" s="15">
        <v>679250</v>
      </c>
      <c r="Q476" s="15">
        <v>1</v>
      </c>
      <c r="R476" s="15" t="s">
        <v>48</v>
      </c>
      <c r="S476" s="15" t="s">
        <v>49</v>
      </c>
      <c r="T476" s="15" t="s">
        <v>332</v>
      </c>
      <c r="U476" s="17" t="s">
        <v>2003</v>
      </c>
      <c r="V476" s="15" t="s">
        <v>64</v>
      </c>
    </row>
    <row r="477" spans="1:22">
      <c r="A477" s="18" t="s">
        <v>2004</v>
      </c>
      <c r="B477" s="18" t="s">
        <v>127</v>
      </c>
      <c r="C477" s="18" t="s">
        <v>54</v>
      </c>
      <c r="D477" s="18" t="s">
        <v>102</v>
      </c>
      <c r="E477" s="18" t="s">
        <v>1114</v>
      </c>
      <c r="F477" s="18" t="s">
        <v>200</v>
      </c>
      <c r="G477" s="18" t="s">
        <v>76</v>
      </c>
      <c r="H477" s="18" t="s">
        <v>2005</v>
      </c>
      <c r="I477" s="18" t="s">
        <v>294</v>
      </c>
      <c r="J477" s="18" t="s">
        <v>295</v>
      </c>
      <c r="K477" s="18" t="s">
        <v>46</v>
      </c>
      <c r="L477" s="18" t="s">
        <v>60</v>
      </c>
      <c r="M477" s="18">
        <v>12</v>
      </c>
      <c r="N477" s="18">
        <v>55000</v>
      </c>
      <c r="O477" s="18">
        <v>5</v>
      </c>
      <c r="P477" s="18">
        <v>627000</v>
      </c>
      <c r="Q477" s="18">
        <v>1</v>
      </c>
      <c r="R477" s="18" t="s">
        <v>48</v>
      </c>
      <c r="S477" s="18" t="s">
        <v>115</v>
      </c>
      <c r="T477" s="18" t="s">
        <v>132</v>
      </c>
      <c r="U477" s="19" t="s">
        <v>2006</v>
      </c>
      <c r="V477" s="18" t="s">
        <v>69</v>
      </c>
    </row>
    <row r="478" spans="1:22">
      <c r="A478" s="15" t="s">
        <v>2007</v>
      </c>
      <c r="B478" s="15" t="s">
        <v>53</v>
      </c>
      <c r="C478" s="15" t="s">
        <v>259</v>
      </c>
      <c r="D478" s="15" t="s">
        <v>761</v>
      </c>
      <c r="E478" s="15" t="s">
        <v>1705</v>
      </c>
      <c r="F478" s="15" t="s">
        <v>163</v>
      </c>
      <c r="G478" s="15" t="s">
        <v>28</v>
      </c>
      <c r="H478" s="15" t="s">
        <v>2008</v>
      </c>
      <c r="I478" s="15" t="s">
        <v>105</v>
      </c>
      <c r="J478" s="15" t="s">
        <v>106</v>
      </c>
      <c r="K478" s="15" t="s">
        <v>122</v>
      </c>
      <c r="L478" s="15" t="s">
        <v>263</v>
      </c>
      <c r="M478" s="15">
        <v>16</v>
      </c>
      <c r="N478" s="15">
        <v>45</v>
      </c>
      <c r="O478" s="15">
        <v>20</v>
      </c>
      <c r="P478" s="15">
        <v>576</v>
      </c>
      <c r="Q478" s="15">
        <v>2</v>
      </c>
      <c r="R478" s="15" t="s">
        <v>34</v>
      </c>
      <c r="S478" s="15" t="s">
        <v>49</v>
      </c>
      <c r="T478" s="15" t="s">
        <v>62</v>
      </c>
      <c r="U478" s="17" t="s">
        <v>2009</v>
      </c>
      <c r="V478" s="15" t="s">
        <v>64</v>
      </c>
    </row>
    <row r="479" spans="1:22">
      <c r="A479" s="18" t="s">
        <v>2010</v>
      </c>
      <c r="B479" s="18" t="s">
        <v>23</v>
      </c>
      <c r="C479" s="18" t="s">
        <v>72</v>
      </c>
      <c r="D479" s="18" t="s">
        <v>25</v>
      </c>
      <c r="E479" s="18" t="s">
        <v>73</v>
      </c>
      <c r="F479" s="18" t="s">
        <v>27</v>
      </c>
      <c r="G479" s="18" t="s">
        <v>28</v>
      </c>
      <c r="H479" s="18" t="s">
        <v>2011</v>
      </c>
      <c r="I479" s="18" t="s">
        <v>59</v>
      </c>
      <c r="J479" s="18" t="s">
        <v>31</v>
      </c>
      <c r="K479" s="18" t="s">
        <v>46</v>
      </c>
      <c r="L479" s="18" t="s">
        <v>78</v>
      </c>
      <c r="M479" s="18">
        <v>5</v>
      </c>
      <c r="N479" s="18">
        <v>1200</v>
      </c>
      <c r="O479" s="18">
        <v>10</v>
      </c>
      <c r="P479" s="18">
        <v>5400</v>
      </c>
      <c r="Q479" s="18">
        <v>1</v>
      </c>
      <c r="R479" s="18" t="s">
        <v>34</v>
      </c>
      <c r="S479" s="18"/>
      <c r="T479" s="20" t="s">
        <v>2012</v>
      </c>
      <c r="U479" s="19" t="s">
        <v>2013</v>
      </c>
      <c r="V479" s="18" t="s">
        <v>38</v>
      </c>
    </row>
    <row r="480" spans="1:22">
      <c r="A480" s="15" t="s">
        <v>2014</v>
      </c>
      <c r="B480" s="15" t="s">
        <v>168</v>
      </c>
      <c r="C480" s="15" t="s">
        <v>259</v>
      </c>
      <c r="D480" s="15" t="s">
        <v>282</v>
      </c>
      <c r="E480" s="15" t="s">
        <v>702</v>
      </c>
      <c r="F480" s="15" t="s">
        <v>2015</v>
      </c>
      <c r="G480" s="15" t="s">
        <v>28</v>
      </c>
      <c r="H480" s="15" t="s">
        <v>2016</v>
      </c>
      <c r="I480" s="15" t="s">
        <v>294</v>
      </c>
      <c r="J480" s="15" t="s">
        <v>295</v>
      </c>
      <c r="K480" s="15" t="s">
        <v>122</v>
      </c>
      <c r="L480" s="15" t="s">
        <v>263</v>
      </c>
      <c r="M480" s="15">
        <v>2</v>
      </c>
      <c r="N480" s="15">
        <v>45</v>
      </c>
      <c r="O480" s="15">
        <v>10</v>
      </c>
      <c r="P480" s="15">
        <v>81</v>
      </c>
      <c r="Q480" s="15">
        <v>4</v>
      </c>
      <c r="R480" s="15" t="s">
        <v>88</v>
      </c>
      <c r="S480" s="15" t="s">
        <v>49</v>
      </c>
      <c r="T480" s="15" t="s">
        <v>175</v>
      </c>
      <c r="U480" s="17" t="s">
        <v>2017</v>
      </c>
      <c r="V480" s="15" t="s">
        <v>64</v>
      </c>
    </row>
    <row r="481" spans="1:22">
      <c r="A481" s="18" t="s">
        <v>2018</v>
      </c>
      <c r="B481" s="18" t="s">
        <v>127</v>
      </c>
      <c r="C481" s="18" t="s">
        <v>40</v>
      </c>
      <c r="D481" s="18" t="s">
        <v>85</v>
      </c>
      <c r="E481" s="18" t="s">
        <v>587</v>
      </c>
      <c r="F481" s="18" t="s">
        <v>200</v>
      </c>
      <c r="G481" s="18" t="s">
        <v>76</v>
      </c>
      <c r="H481" s="18" t="s">
        <v>2019</v>
      </c>
      <c r="I481" s="18" t="s">
        <v>138</v>
      </c>
      <c r="J481" s="18" t="s">
        <v>106</v>
      </c>
      <c r="K481" s="18" t="s">
        <v>46</v>
      </c>
      <c r="L481" s="18" t="s">
        <v>47</v>
      </c>
      <c r="M481" s="18">
        <v>3</v>
      </c>
      <c r="N481" s="18">
        <v>12000</v>
      </c>
      <c r="O481" s="18">
        <v>0</v>
      </c>
      <c r="P481" s="18">
        <v>36000</v>
      </c>
      <c r="Q481" s="18">
        <v>2</v>
      </c>
      <c r="R481" s="18" t="s">
        <v>88</v>
      </c>
      <c r="S481" s="18" t="s">
        <v>151</v>
      </c>
      <c r="T481" s="18" t="s">
        <v>132</v>
      </c>
      <c r="U481" s="19" t="s">
        <v>2020</v>
      </c>
      <c r="V481" s="18" t="s">
        <v>64</v>
      </c>
    </row>
    <row r="482" spans="1:22">
      <c r="A482" s="15" t="s">
        <v>2021</v>
      </c>
      <c r="B482" s="15" t="s">
        <v>23</v>
      </c>
      <c r="C482" s="15" t="s">
        <v>40</v>
      </c>
      <c r="D482" s="15" t="s">
        <v>2022</v>
      </c>
      <c r="E482" s="15" t="s">
        <v>1863</v>
      </c>
      <c r="F482" s="15" t="s">
        <v>95</v>
      </c>
      <c r="G482" s="15" t="s">
        <v>28</v>
      </c>
      <c r="H482" s="15" t="s">
        <v>2023</v>
      </c>
      <c r="I482" s="15" t="s">
        <v>59</v>
      </c>
      <c r="J482" s="15" t="s">
        <v>31</v>
      </c>
      <c r="K482" s="15" t="s">
        <v>46</v>
      </c>
      <c r="L482" s="15" t="s">
        <v>47</v>
      </c>
      <c r="M482" s="15">
        <v>3</v>
      </c>
      <c r="N482" s="15">
        <v>12000</v>
      </c>
      <c r="O482" s="15">
        <v>20</v>
      </c>
      <c r="P482" s="15">
        <v>28800</v>
      </c>
      <c r="Q482" s="15">
        <v>3</v>
      </c>
      <c r="R482" s="15" t="s">
        <v>88</v>
      </c>
      <c r="S482" s="15" t="s">
        <v>115</v>
      </c>
      <c r="T482" s="15" t="s">
        <v>50</v>
      </c>
      <c r="U482" s="17" t="s">
        <v>2024</v>
      </c>
      <c r="V482" s="15" t="s">
        <v>38</v>
      </c>
    </row>
    <row r="483" spans="1:22">
      <c r="A483" s="18" t="s">
        <v>2025</v>
      </c>
      <c r="B483" s="18" t="s">
        <v>127</v>
      </c>
      <c r="C483" s="18" t="s">
        <v>169</v>
      </c>
      <c r="D483" s="18" t="s">
        <v>892</v>
      </c>
      <c r="E483" s="18" t="s">
        <v>161</v>
      </c>
      <c r="F483" s="18" t="s">
        <v>200</v>
      </c>
      <c r="G483" s="18" t="s">
        <v>76</v>
      </c>
      <c r="H483" s="18" t="s">
        <v>2026</v>
      </c>
      <c r="I483" s="18" t="s">
        <v>294</v>
      </c>
      <c r="J483" s="18" t="s">
        <v>295</v>
      </c>
      <c r="K483" s="18" t="s">
        <v>32</v>
      </c>
      <c r="L483" s="18" t="s">
        <v>174</v>
      </c>
      <c r="M483" s="18">
        <v>9</v>
      </c>
      <c r="N483" s="18">
        <v>8500</v>
      </c>
      <c r="O483" s="18">
        <v>15</v>
      </c>
      <c r="P483" s="18">
        <v>65025</v>
      </c>
      <c r="Q483" s="18">
        <v>5</v>
      </c>
      <c r="R483" s="18" t="s">
        <v>34</v>
      </c>
      <c r="S483" s="18" t="s">
        <v>49</v>
      </c>
      <c r="T483" s="18" t="s">
        <v>132</v>
      </c>
      <c r="U483" s="19" t="s">
        <v>2027</v>
      </c>
      <c r="V483" s="18" t="s">
        <v>64</v>
      </c>
    </row>
    <row r="484" spans="1:22">
      <c r="A484" s="15" t="s">
        <v>2028</v>
      </c>
      <c r="B484" s="15" t="s">
        <v>71</v>
      </c>
      <c r="C484" s="15" t="s">
        <v>184</v>
      </c>
      <c r="D484" s="15" t="s">
        <v>261</v>
      </c>
      <c r="E484" s="15" t="s">
        <v>881</v>
      </c>
      <c r="F484" s="15" t="s">
        <v>2029</v>
      </c>
      <c r="G484" s="15" t="s">
        <v>76</v>
      </c>
      <c r="H484" s="15" t="s">
        <v>2030</v>
      </c>
      <c r="I484" s="15" t="s">
        <v>294</v>
      </c>
      <c r="J484" s="15" t="s">
        <v>295</v>
      </c>
      <c r="K484" s="15" t="s">
        <v>46</v>
      </c>
      <c r="L484" s="15" t="s">
        <v>189</v>
      </c>
      <c r="M484" s="15">
        <v>17</v>
      </c>
      <c r="N484" s="15">
        <v>700</v>
      </c>
      <c r="O484" s="15">
        <v>0</v>
      </c>
      <c r="P484" s="15">
        <v>11900</v>
      </c>
      <c r="Q484" s="15">
        <v>2</v>
      </c>
      <c r="R484" s="15" t="s">
        <v>34</v>
      </c>
      <c r="S484" s="15" t="s">
        <v>61</v>
      </c>
      <c r="T484" s="15" t="s">
        <v>80</v>
      </c>
      <c r="U484" s="17" t="s">
        <v>2031</v>
      </c>
      <c r="V484" s="15" t="s">
        <v>69</v>
      </c>
    </row>
    <row r="485" spans="1:22">
      <c r="A485" s="18" t="s">
        <v>2032</v>
      </c>
      <c r="B485" s="18" t="s">
        <v>23</v>
      </c>
      <c r="C485" s="18" t="s">
        <v>184</v>
      </c>
      <c r="D485" s="18" t="s">
        <v>1249</v>
      </c>
      <c r="E485" s="18" t="s">
        <v>1572</v>
      </c>
      <c r="F485" s="18" t="s">
        <v>27</v>
      </c>
      <c r="G485" s="18" t="s">
        <v>28</v>
      </c>
      <c r="H485" s="18" t="s">
        <v>2033</v>
      </c>
      <c r="I485" s="18" t="s">
        <v>30</v>
      </c>
      <c r="J485" s="18" t="s">
        <v>31</v>
      </c>
      <c r="K485" s="18" t="s">
        <v>46</v>
      </c>
      <c r="L485" s="18" t="s">
        <v>189</v>
      </c>
      <c r="M485" s="18">
        <v>20</v>
      </c>
      <c r="N485" s="18">
        <v>700</v>
      </c>
      <c r="O485" s="18">
        <v>5</v>
      </c>
      <c r="P485" s="18">
        <v>13300</v>
      </c>
      <c r="Q485" s="18">
        <v>2</v>
      </c>
      <c r="R485" s="18" t="s">
        <v>88</v>
      </c>
      <c r="S485" s="18" t="s">
        <v>35</v>
      </c>
      <c r="T485" s="18" t="s">
        <v>50</v>
      </c>
      <c r="U485" s="19" t="s">
        <v>2034</v>
      </c>
      <c r="V485" s="18" t="s">
        <v>38</v>
      </c>
    </row>
    <row r="486" spans="1:22">
      <c r="A486" s="15" t="s">
        <v>2035</v>
      </c>
      <c r="B486" s="15" t="s">
        <v>327</v>
      </c>
      <c r="C486" s="15" t="s">
        <v>72</v>
      </c>
      <c r="D486" s="15" t="s">
        <v>554</v>
      </c>
      <c r="E486" s="15" t="s">
        <v>65</v>
      </c>
      <c r="F486" s="15" t="s">
        <v>2036</v>
      </c>
      <c r="G486" s="15" t="s">
        <v>76</v>
      </c>
      <c r="H486" s="15" t="s">
        <v>2037</v>
      </c>
      <c r="I486" s="15" t="s">
        <v>138</v>
      </c>
      <c r="J486" s="15" t="s">
        <v>106</v>
      </c>
      <c r="K486" s="15" t="s">
        <v>46</v>
      </c>
      <c r="L486" s="15" t="s">
        <v>78</v>
      </c>
      <c r="M486" s="15">
        <v>13</v>
      </c>
      <c r="N486" s="15">
        <v>1200</v>
      </c>
      <c r="O486" s="15">
        <v>20</v>
      </c>
      <c r="P486" s="15">
        <v>12480</v>
      </c>
      <c r="Q486" s="15">
        <v>5</v>
      </c>
      <c r="R486" s="15" t="s">
        <v>79</v>
      </c>
      <c r="S486" s="15" t="s">
        <v>115</v>
      </c>
      <c r="T486" s="15" t="s">
        <v>332</v>
      </c>
      <c r="U486" s="17" t="s">
        <v>2038</v>
      </c>
      <c r="V486" s="15" t="s">
        <v>38</v>
      </c>
    </row>
    <row r="487" spans="1:22">
      <c r="A487" s="18" t="s">
        <v>2039</v>
      </c>
      <c r="B487" s="18" t="s">
        <v>100</v>
      </c>
      <c r="C487" s="18" t="s">
        <v>54</v>
      </c>
      <c r="D487" s="18" t="s">
        <v>2040</v>
      </c>
      <c r="E487" s="18" t="s">
        <v>1932</v>
      </c>
      <c r="F487" s="18" t="s">
        <v>103</v>
      </c>
      <c r="G487" s="18" t="s">
        <v>28</v>
      </c>
      <c r="H487" s="18" t="s">
        <v>1082</v>
      </c>
      <c r="I487" s="18" t="s">
        <v>212</v>
      </c>
      <c r="J487" s="18" t="s">
        <v>45</v>
      </c>
      <c r="K487" s="18" t="s">
        <v>46</v>
      </c>
      <c r="L487" s="18" t="s">
        <v>60</v>
      </c>
      <c r="M487" s="18">
        <v>20</v>
      </c>
      <c r="N487" s="18">
        <v>55000</v>
      </c>
      <c r="O487" s="18">
        <v>10</v>
      </c>
      <c r="P487" s="18">
        <v>990000</v>
      </c>
      <c r="Q487" s="18">
        <v>1</v>
      </c>
      <c r="R487" s="18" t="s">
        <v>88</v>
      </c>
      <c r="S487" s="18" t="s">
        <v>35</v>
      </c>
      <c r="T487" s="18" t="s">
        <v>144</v>
      </c>
      <c r="U487" s="19" t="s">
        <v>2041</v>
      </c>
      <c r="V487" s="18" t="s">
        <v>64</v>
      </c>
    </row>
    <row r="488" spans="1:22">
      <c r="A488" s="15" t="s">
        <v>2042</v>
      </c>
      <c r="B488" s="15" t="s">
        <v>251</v>
      </c>
      <c r="C488" s="15" t="s">
        <v>72</v>
      </c>
      <c r="D488" s="15" t="s">
        <v>531</v>
      </c>
      <c r="E488" s="15" t="s">
        <v>291</v>
      </c>
      <c r="F488" s="15" t="s">
        <v>254</v>
      </c>
      <c r="G488" s="15" t="s">
        <v>28</v>
      </c>
      <c r="H488" s="15" t="s">
        <v>2043</v>
      </c>
      <c r="I488" s="15" t="s">
        <v>294</v>
      </c>
      <c r="J488" s="15" t="s">
        <v>295</v>
      </c>
      <c r="K488" s="15" t="s">
        <v>46</v>
      </c>
      <c r="L488" s="15" t="s">
        <v>78</v>
      </c>
      <c r="M488" s="15">
        <v>8</v>
      </c>
      <c r="N488" s="15">
        <v>1200</v>
      </c>
      <c r="O488" s="15">
        <v>0</v>
      </c>
      <c r="P488" s="15">
        <v>9600</v>
      </c>
      <c r="Q488" s="15">
        <v>2</v>
      </c>
      <c r="R488" s="15" t="s">
        <v>48</v>
      </c>
      <c r="S488" s="15" t="s">
        <v>151</v>
      </c>
      <c r="T488" s="15" t="s">
        <v>256</v>
      </c>
      <c r="U488" s="17" t="s">
        <v>2044</v>
      </c>
      <c r="V488" s="15" t="s">
        <v>38</v>
      </c>
    </row>
    <row r="489" spans="1:22">
      <c r="A489" s="18" t="s">
        <v>2045</v>
      </c>
      <c r="B489" s="18" t="s">
        <v>53</v>
      </c>
      <c r="C489" s="18" t="s">
        <v>222</v>
      </c>
      <c r="D489" s="18" t="s">
        <v>2046</v>
      </c>
      <c r="E489" s="18" t="s">
        <v>1238</v>
      </c>
      <c r="F489" s="18" t="s">
        <v>163</v>
      </c>
      <c r="G489" s="18" t="s">
        <v>28</v>
      </c>
      <c r="H489" s="18" t="s">
        <v>2047</v>
      </c>
      <c r="I489" s="18" t="s">
        <v>294</v>
      </c>
      <c r="J489" s="18" t="s">
        <v>295</v>
      </c>
      <c r="K489" s="18" t="s">
        <v>122</v>
      </c>
      <c r="L489" s="18" t="s">
        <v>227</v>
      </c>
      <c r="M489" s="18">
        <v>18</v>
      </c>
      <c r="N489" s="18">
        <v>20</v>
      </c>
      <c r="O489" s="18">
        <v>10</v>
      </c>
      <c r="P489" s="18">
        <v>324</v>
      </c>
      <c r="Q489" s="18">
        <v>5</v>
      </c>
      <c r="R489" s="18" t="s">
        <v>79</v>
      </c>
      <c r="S489" s="18"/>
      <c r="T489" s="20" t="s">
        <v>2048</v>
      </c>
      <c r="U489" s="19" t="s">
        <v>2049</v>
      </c>
      <c r="V489" s="18" t="s">
        <v>64</v>
      </c>
    </row>
    <row r="490" spans="1:22">
      <c r="A490" s="15" t="s">
        <v>2050</v>
      </c>
      <c r="B490" s="15" t="s">
        <v>168</v>
      </c>
      <c r="C490" s="15" t="s">
        <v>40</v>
      </c>
      <c r="D490" s="15" t="s">
        <v>2051</v>
      </c>
      <c r="E490" s="15" t="s">
        <v>272</v>
      </c>
      <c r="F490" s="15" t="s">
        <v>361</v>
      </c>
      <c r="G490" s="15" t="s">
        <v>28</v>
      </c>
      <c r="H490" s="15" t="s">
        <v>2052</v>
      </c>
      <c r="I490" s="15" t="s">
        <v>114</v>
      </c>
      <c r="J490" s="15" t="s">
        <v>106</v>
      </c>
      <c r="K490" s="15" t="s">
        <v>46</v>
      </c>
      <c r="L490" s="15" t="s">
        <v>47</v>
      </c>
      <c r="M490" s="15">
        <v>11</v>
      </c>
      <c r="N490" s="15">
        <v>12000</v>
      </c>
      <c r="O490" s="15">
        <v>10</v>
      </c>
      <c r="P490" s="15">
        <v>118800</v>
      </c>
      <c r="Q490" s="15">
        <v>1</v>
      </c>
      <c r="R490" s="15" t="s">
        <v>79</v>
      </c>
      <c r="S490" s="15" t="s">
        <v>49</v>
      </c>
      <c r="T490" s="15" t="s">
        <v>175</v>
      </c>
      <c r="U490" s="17" t="s">
        <v>2053</v>
      </c>
      <c r="V490" s="15" t="s">
        <v>69</v>
      </c>
    </row>
    <row r="491" spans="1:22">
      <c r="A491" s="18" t="s">
        <v>2054</v>
      </c>
      <c r="B491" s="18" t="s">
        <v>327</v>
      </c>
      <c r="C491" s="18" t="s">
        <v>169</v>
      </c>
      <c r="D491" s="18" t="s">
        <v>142</v>
      </c>
      <c r="E491" s="18" t="s">
        <v>1378</v>
      </c>
      <c r="F491" s="18" t="s">
        <v>394</v>
      </c>
      <c r="G491" s="18" t="s">
        <v>76</v>
      </c>
      <c r="H491" s="18" t="s">
        <v>2055</v>
      </c>
      <c r="I491" s="18" t="s">
        <v>30</v>
      </c>
      <c r="J491" s="18" t="s">
        <v>31</v>
      </c>
      <c r="K491" s="18" t="s">
        <v>32</v>
      </c>
      <c r="L491" s="18" t="s">
        <v>174</v>
      </c>
      <c r="M491" s="18">
        <v>2</v>
      </c>
      <c r="N491" s="18">
        <v>8500</v>
      </c>
      <c r="O491" s="18">
        <v>5</v>
      </c>
      <c r="P491" s="18">
        <v>16150</v>
      </c>
      <c r="Q491" s="18">
        <v>1</v>
      </c>
      <c r="R491" s="18" t="s">
        <v>79</v>
      </c>
      <c r="S491" s="18" t="s">
        <v>61</v>
      </c>
      <c r="T491" s="18" t="s">
        <v>332</v>
      </c>
      <c r="U491" s="19" t="s">
        <v>2056</v>
      </c>
      <c r="V491" s="18" t="s">
        <v>38</v>
      </c>
    </row>
    <row r="492" spans="1:22">
      <c r="A492" s="15" t="s">
        <v>2057</v>
      </c>
      <c r="B492" s="15" t="s">
        <v>100</v>
      </c>
      <c r="C492" s="15" t="s">
        <v>24</v>
      </c>
      <c r="D492" s="15" t="s">
        <v>328</v>
      </c>
      <c r="E492" s="15" t="s">
        <v>1507</v>
      </c>
      <c r="F492" s="15" t="s">
        <v>2058</v>
      </c>
      <c r="G492" s="15" t="s">
        <v>28</v>
      </c>
      <c r="H492" s="15" t="s">
        <v>2059</v>
      </c>
      <c r="I492" s="15" t="s">
        <v>114</v>
      </c>
      <c r="J492" s="15" t="s">
        <v>106</v>
      </c>
      <c r="K492" s="15" t="s">
        <v>32</v>
      </c>
      <c r="L492" s="15" t="s">
        <v>33</v>
      </c>
      <c r="M492" s="15">
        <v>7</v>
      </c>
      <c r="N492" s="15">
        <v>2200</v>
      </c>
      <c r="O492" s="15">
        <v>0</v>
      </c>
      <c r="P492" s="15">
        <v>15400</v>
      </c>
      <c r="Q492" s="15">
        <v>5</v>
      </c>
      <c r="R492" s="15" t="s">
        <v>48</v>
      </c>
      <c r="S492" s="15" t="s">
        <v>35</v>
      </c>
      <c r="T492" s="15" t="s">
        <v>144</v>
      </c>
      <c r="U492" s="17" t="s">
        <v>2060</v>
      </c>
      <c r="V492" s="15" t="s">
        <v>64</v>
      </c>
    </row>
    <row r="493" spans="1:22">
      <c r="A493" s="18" t="s">
        <v>2061</v>
      </c>
      <c r="B493" s="18" t="s">
        <v>83</v>
      </c>
      <c r="C493" s="18" t="s">
        <v>169</v>
      </c>
      <c r="D493" s="18" t="s">
        <v>1916</v>
      </c>
      <c r="E493" s="18" t="s">
        <v>1098</v>
      </c>
      <c r="F493" s="18" t="s">
        <v>180</v>
      </c>
      <c r="G493" s="18" t="s">
        <v>76</v>
      </c>
      <c r="H493" s="18" t="s">
        <v>2062</v>
      </c>
      <c r="I493" s="18" t="s">
        <v>44</v>
      </c>
      <c r="J493" s="18" t="s">
        <v>45</v>
      </c>
      <c r="K493" s="18" t="s">
        <v>32</v>
      </c>
      <c r="L493" s="18" t="s">
        <v>174</v>
      </c>
      <c r="M493" s="18">
        <v>20</v>
      </c>
      <c r="N493" s="18">
        <v>8500</v>
      </c>
      <c r="O493" s="18">
        <v>0</v>
      </c>
      <c r="P493" s="18">
        <v>170000</v>
      </c>
      <c r="Q493" s="18">
        <v>3</v>
      </c>
      <c r="R493" s="18" t="s">
        <v>48</v>
      </c>
      <c r="S493" s="18" t="s">
        <v>49</v>
      </c>
      <c r="T493" s="18" t="s">
        <v>89</v>
      </c>
      <c r="U493" s="19" t="s">
        <v>2063</v>
      </c>
      <c r="V493" s="18" t="s">
        <v>38</v>
      </c>
    </row>
    <row r="494" spans="1:22">
      <c r="A494" s="15" t="s">
        <v>2064</v>
      </c>
      <c r="B494" s="15" t="s">
        <v>127</v>
      </c>
      <c r="C494" s="15" t="s">
        <v>72</v>
      </c>
      <c r="D494" s="15" t="s">
        <v>1106</v>
      </c>
      <c r="E494" s="15" t="s">
        <v>839</v>
      </c>
      <c r="F494" s="15" t="s">
        <v>2065</v>
      </c>
      <c r="G494" s="15" t="s">
        <v>76</v>
      </c>
      <c r="H494" s="15" t="s">
        <v>2066</v>
      </c>
      <c r="I494" s="15" t="s">
        <v>30</v>
      </c>
      <c r="J494" s="15" t="s">
        <v>31</v>
      </c>
      <c r="K494" s="15" t="s">
        <v>46</v>
      </c>
      <c r="L494" s="15" t="s">
        <v>78</v>
      </c>
      <c r="M494" s="15">
        <v>11</v>
      </c>
      <c r="N494" s="15">
        <v>1200</v>
      </c>
      <c r="O494" s="15">
        <v>5</v>
      </c>
      <c r="P494" s="15">
        <v>12540</v>
      </c>
      <c r="Q494" s="15">
        <v>2</v>
      </c>
      <c r="R494" s="15" t="s">
        <v>34</v>
      </c>
      <c r="S494" s="15" t="s">
        <v>35</v>
      </c>
      <c r="T494" s="15" t="s">
        <v>132</v>
      </c>
      <c r="U494" s="17" t="s">
        <v>2067</v>
      </c>
      <c r="V494" s="15" t="s">
        <v>64</v>
      </c>
    </row>
    <row r="495" spans="1:22">
      <c r="A495" s="18" t="s">
        <v>2068</v>
      </c>
      <c r="B495" s="18" t="s">
        <v>83</v>
      </c>
      <c r="C495" s="18" t="s">
        <v>184</v>
      </c>
      <c r="D495" s="18" t="s">
        <v>839</v>
      </c>
      <c r="E495" s="18" t="s">
        <v>756</v>
      </c>
      <c r="F495" s="18" t="s">
        <v>180</v>
      </c>
      <c r="G495" s="18" t="s">
        <v>76</v>
      </c>
      <c r="H495" s="18" t="s">
        <v>2069</v>
      </c>
      <c r="I495" s="18" t="s">
        <v>138</v>
      </c>
      <c r="J495" s="18" t="s">
        <v>106</v>
      </c>
      <c r="K495" s="18" t="s">
        <v>46</v>
      </c>
      <c r="L495" s="18" t="s">
        <v>189</v>
      </c>
      <c r="M495" s="18">
        <v>14</v>
      </c>
      <c r="N495" s="18">
        <v>700</v>
      </c>
      <c r="O495" s="18">
        <v>0</v>
      </c>
      <c r="P495" s="18">
        <v>9800</v>
      </c>
      <c r="Q495" s="18">
        <v>2</v>
      </c>
      <c r="R495" s="18" t="s">
        <v>79</v>
      </c>
      <c r="S495" s="18" t="s">
        <v>151</v>
      </c>
      <c r="T495" s="18" t="s">
        <v>89</v>
      </c>
      <c r="U495" s="19" t="s">
        <v>2070</v>
      </c>
      <c r="V495" s="18" t="s">
        <v>69</v>
      </c>
    </row>
    <row r="496" spans="1:22">
      <c r="A496" s="15" t="s">
        <v>2071</v>
      </c>
      <c r="B496" s="15" t="s">
        <v>71</v>
      </c>
      <c r="C496" s="15" t="s">
        <v>72</v>
      </c>
      <c r="D496" s="15" t="s">
        <v>793</v>
      </c>
      <c r="E496" s="15" t="s">
        <v>1650</v>
      </c>
      <c r="F496" s="15" t="s">
        <v>217</v>
      </c>
      <c r="G496" s="15" t="s">
        <v>76</v>
      </c>
      <c r="H496" s="15" t="s">
        <v>2072</v>
      </c>
      <c r="I496" s="15" t="s">
        <v>114</v>
      </c>
      <c r="J496" s="15" t="s">
        <v>106</v>
      </c>
      <c r="K496" s="15" t="s">
        <v>46</v>
      </c>
      <c r="L496" s="15" t="s">
        <v>78</v>
      </c>
      <c r="M496" s="15">
        <v>16</v>
      </c>
      <c r="N496" s="15">
        <v>1200</v>
      </c>
      <c r="O496" s="15">
        <v>15</v>
      </c>
      <c r="P496" s="15">
        <v>16320</v>
      </c>
      <c r="Q496" s="15">
        <v>4</v>
      </c>
      <c r="R496" s="15" t="s">
        <v>34</v>
      </c>
      <c r="S496" s="15" t="s">
        <v>151</v>
      </c>
      <c r="T496" s="15" t="s">
        <v>80</v>
      </c>
      <c r="U496" s="17" t="s">
        <v>2073</v>
      </c>
      <c r="V496" s="15" t="s">
        <v>64</v>
      </c>
    </row>
    <row r="497" spans="1:22">
      <c r="A497" s="18" t="s">
        <v>2074</v>
      </c>
      <c r="B497" s="18" t="s">
        <v>168</v>
      </c>
      <c r="C497" s="18" t="s">
        <v>24</v>
      </c>
      <c r="D497" s="18" t="s">
        <v>493</v>
      </c>
      <c r="E497" s="18" t="s">
        <v>1932</v>
      </c>
      <c r="F497" s="18" t="s">
        <v>2075</v>
      </c>
      <c r="G497" s="18" t="s">
        <v>28</v>
      </c>
      <c r="H497" s="18" t="s">
        <v>2076</v>
      </c>
      <c r="I497" s="18" t="s">
        <v>212</v>
      </c>
      <c r="J497" s="18" t="s">
        <v>45</v>
      </c>
      <c r="K497" s="18" t="s">
        <v>32</v>
      </c>
      <c r="L497" s="18" t="s">
        <v>33</v>
      </c>
      <c r="M497" s="18">
        <v>20</v>
      </c>
      <c r="N497" s="18">
        <v>2200</v>
      </c>
      <c r="O497" s="18">
        <v>0</v>
      </c>
      <c r="P497" s="18">
        <v>44000</v>
      </c>
      <c r="Q497" s="18">
        <v>5</v>
      </c>
      <c r="R497" s="18" t="s">
        <v>34</v>
      </c>
      <c r="S497" s="18" t="s">
        <v>35</v>
      </c>
      <c r="T497" s="18" t="s">
        <v>175</v>
      </c>
      <c r="U497" s="19" t="s">
        <v>2077</v>
      </c>
      <c r="V497" s="18" t="s">
        <v>69</v>
      </c>
    </row>
    <row r="498" spans="1:22">
      <c r="A498" s="15" t="s">
        <v>2078</v>
      </c>
      <c r="B498" s="15" t="s">
        <v>83</v>
      </c>
      <c r="C498" s="15" t="s">
        <v>40</v>
      </c>
      <c r="D498" s="15" t="s">
        <v>2051</v>
      </c>
      <c r="E498" s="15" t="s">
        <v>272</v>
      </c>
      <c r="F498" s="15" t="s">
        <v>180</v>
      </c>
      <c r="G498" s="15" t="s">
        <v>76</v>
      </c>
      <c r="H498" s="15" t="s">
        <v>2079</v>
      </c>
      <c r="I498" s="15" t="s">
        <v>212</v>
      </c>
      <c r="J498" s="15" t="s">
        <v>45</v>
      </c>
      <c r="K498" s="15" t="s">
        <v>46</v>
      </c>
      <c r="L498" s="15" t="s">
        <v>47</v>
      </c>
      <c r="M498" s="15">
        <v>12</v>
      </c>
      <c r="N498" s="15">
        <v>12000</v>
      </c>
      <c r="O498" s="15">
        <v>15</v>
      </c>
      <c r="P498" s="15">
        <v>122400</v>
      </c>
      <c r="Q498" s="15">
        <v>5</v>
      </c>
      <c r="R498" s="15" t="s">
        <v>34</v>
      </c>
      <c r="S498" s="15" t="s">
        <v>151</v>
      </c>
      <c r="T498" s="15" t="s">
        <v>89</v>
      </c>
      <c r="U498" s="17" t="s">
        <v>2080</v>
      </c>
      <c r="V498" s="15" t="s">
        <v>38</v>
      </c>
    </row>
    <row r="499" spans="1:22">
      <c r="A499" s="18" t="s">
        <v>2081</v>
      </c>
      <c r="B499" s="18" t="s">
        <v>221</v>
      </c>
      <c r="C499" s="18" t="s">
        <v>72</v>
      </c>
      <c r="D499" s="18" t="s">
        <v>610</v>
      </c>
      <c r="E499" s="18" t="s">
        <v>611</v>
      </c>
      <c r="F499" s="18" t="s">
        <v>225</v>
      </c>
      <c r="G499" s="18" t="s">
        <v>76</v>
      </c>
      <c r="H499" s="18" t="s">
        <v>2082</v>
      </c>
      <c r="I499" s="18" t="s">
        <v>44</v>
      </c>
      <c r="J499" s="18" t="s">
        <v>45</v>
      </c>
      <c r="K499" s="18" t="s">
        <v>46</v>
      </c>
      <c r="L499" s="18" t="s">
        <v>78</v>
      </c>
      <c r="M499" s="18">
        <v>3</v>
      </c>
      <c r="N499" s="18">
        <v>1200</v>
      </c>
      <c r="O499" s="18">
        <v>20</v>
      </c>
      <c r="P499" s="18">
        <v>2880</v>
      </c>
      <c r="Q499" s="18">
        <v>2</v>
      </c>
      <c r="R499" s="18" t="s">
        <v>48</v>
      </c>
      <c r="S499" s="18" t="s">
        <v>115</v>
      </c>
      <c r="T499" s="18" t="s">
        <v>907</v>
      </c>
      <c r="U499" s="19" t="s">
        <v>2083</v>
      </c>
      <c r="V499" s="18" t="s">
        <v>64</v>
      </c>
    </row>
    <row r="500" spans="1:22">
      <c r="A500" s="15" t="s">
        <v>2084</v>
      </c>
      <c r="B500" s="15" t="s">
        <v>100</v>
      </c>
      <c r="C500" s="15" t="s">
        <v>54</v>
      </c>
      <c r="D500" s="15" t="s">
        <v>276</v>
      </c>
      <c r="E500" s="15" t="s">
        <v>2085</v>
      </c>
      <c r="F500" s="15" t="s">
        <v>103</v>
      </c>
      <c r="G500" s="15" t="s">
        <v>28</v>
      </c>
      <c r="H500" s="15" t="s">
        <v>2086</v>
      </c>
      <c r="I500" s="15" t="s">
        <v>105</v>
      </c>
      <c r="J500" s="15" t="s">
        <v>106</v>
      </c>
      <c r="K500" s="15" t="s">
        <v>46</v>
      </c>
      <c r="L500" s="15" t="s">
        <v>2087</v>
      </c>
      <c r="M500" s="15">
        <v>6</v>
      </c>
      <c r="N500" s="15">
        <v>55000</v>
      </c>
      <c r="O500" s="15">
        <v>20</v>
      </c>
      <c r="P500" s="15">
        <v>264000</v>
      </c>
      <c r="Q500" s="15">
        <v>3</v>
      </c>
      <c r="R500" s="15" t="s">
        <v>34</v>
      </c>
      <c r="S500" s="15" t="s">
        <v>151</v>
      </c>
      <c r="T500" s="15" t="s">
        <v>144</v>
      </c>
      <c r="U500" s="17" t="s">
        <v>2088</v>
      </c>
      <c r="V500" s="15" t="s">
        <v>38</v>
      </c>
    </row>
    <row r="501" spans="1:22">
      <c r="A501" s="18" t="s">
        <v>2089</v>
      </c>
      <c r="B501" s="18" t="s">
        <v>100</v>
      </c>
      <c r="C501" s="18" t="s">
        <v>92</v>
      </c>
      <c r="D501" s="18" t="s">
        <v>2090</v>
      </c>
      <c r="E501" s="18" t="s">
        <v>129</v>
      </c>
      <c r="F501" s="18" t="s">
        <v>103</v>
      </c>
      <c r="G501" s="18" t="s">
        <v>28</v>
      </c>
      <c r="H501" s="18" t="s">
        <v>2091</v>
      </c>
      <c r="I501" s="18" t="s">
        <v>59</v>
      </c>
      <c r="J501" s="18" t="s">
        <v>31</v>
      </c>
      <c r="K501" s="18" t="s">
        <v>32</v>
      </c>
      <c r="L501" s="18" t="s">
        <v>97</v>
      </c>
      <c r="M501" s="18">
        <v>20</v>
      </c>
      <c r="N501" s="18">
        <v>3500</v>
      </c>
      <c r="O501" s="18">
        <v>0</v>
      </c>
      <c r="P501" s="18">
        <v>70000</v>
      </c>
      <c r="Q501" s="18">
        <v>1</v>
      </c>
      <c r="R501" s="18" t="s">
        <v>48</v>
      </c>
      <c r="S501" s="18" t="s">
        <v>151</v>
      </c>
      <c r="T501" s="18" t="s">
        <v>144</v>
      </c>
      <c r="U501" s="19" t="s">
        <v>2092</v>
      </c>
      <c r="V501" s="18" t="s">
        <v>64</v>
      </c>
    </row>
  </sheetData>
  <hyperlinks>
    <hyperlink ref="T2" r:id="rId1" xr:uid="{2648481C-9041-492E-98CB-3213A48D8F41}"/>
    <hyperlink ref="T5" r:id="rId2" xr:uid="{2ED87C80-536A-4498-9548-347EA3387731}"/>
    <hyperlink ref="T9" r:id="rId3" xr:uid="{FB39C5C2-464F-4D6D-8702-F1993F9CE22F}"/>
    <hyperlink ref="T11" r:id="rId4" xr:uid="{C4A51BC8-FA4C-49FE-8554-83D29FD90D9E}"/>
    <hyperlink ref="T16" r:id="rId5" xr:uid="{FBB60676-4981-4EE1-B557-AABFAB242958}"/>
    <hyperlink ref="T15" r:id="rId6" xr:uid="{349117B9-D39A-4E85-9CA2-DF12B8D3672C}"/>
    <hyperlink ref="T20" r:id="rId7" xr:uid="{2615B905-7285-48C8-A126-9A6F01ABB620}"/>
    <hyperlink ref="T61" r:id="rId8" xr:uid="{2603C8E1-0B1B-4404-B325-E806AE58C4B9}"/>
    <hyperlink ref="T72" r:id="rId9" xr:uid="{5D2E4EC7-F3B6-4AFD-92FB-07BBC0243EBA}"/>
    <hyperlink ref="T294" r:id="rId10" xr:uid="{D153BECA-011E-458D-90E8-C1AF23ADD05B}"/>
    <hyperlink ref="T489" r:id="rId11" xr:uid="{FEBDA8F9-78C9-4B39-A5A1-B97B45B527B9}"/>
    <hyperlink ref="T479" r:id="rId12" xr:uid="{7C21584A-9F4C-418E-8C32-50D7AE6EA893}"/>
    <hyperlink ref="T463" r:id="rId13" xr:uid="{5DD166D2-5455-4686-B6CC-E599A5135F5F}"/>
    <hyperlink ref="T450" r:id="rId14" xr:uid="{4C9AC586-65C8-4FDA-B8D0-9E5EEE88DA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139F-43E9-443D-B30E-7418FB55A563}">
  <dimension ref="A1:F11"/>
  <sheetViews>
    <sheetView workbookViewId="0">
      <selection sqref="A1:F11"/>
    </sheetView>
  </sheetViews>
  <sheetFormatPr defaultRowHeight="14.4"/>
  <cols>
    <col min="1" max="1" width="10.109375" bestFit="1" customWidth="1"/>
    <col min="2" max="2" width="13.33203125" bestFit="1" customWidth="1"/>
    <col min="3" max="3" width="15.109375" bestFit="1" customWidth="1"/>
    <col min="4" max="4" width="12.6640625" bestFit="1" customWidth="1"/>
    <col min="5" max="5" width="9.6640625" bestFit="1" customWidth="1"/>
    <col min="6" max="6" width="16" bestFit="1" customWidth="1"/>
  </cols>
  <sheetData>
    <row r="1" spans="1:6">
      <c r="A1" s="22" t="s">
        <v>2</v>
      </c>
      <c r="B1" s="22" t="s">
        <v>11</v>
      </c>
      <c r="C1" s="22" t="s">
        <v>10</v>
      </c>
      <c r="D1" s="22" t="s">
        <v>2097</v>
      </c>
      <c r="E1" s="22" t="s">
        <v>2098</v>
      </c>
      <c r="F1" s="22" t="s">
        <v>2099</v>
      </c>
    </row>
    <row r="2" spans="1:6">
      <c r="A2" s="21" t="s">
        <v>54</v>
      </c>
      <c r="B2" s="21" t="s">
        <v>60</v>
      </c>
      <c r="C2" s="21" t="s">
        <v>46</v>
      </c>
      <c r="D2" s="21" t="s">
        <v>2100</v>
      </c>
      <c r="E2" s="21">
        <v>41250</v>
      </c>
      <c r="F2" s="21">
        <v>12</v>
      </c>
    </row>
    <row r="3" spans="1:6">
      <c r="A3" s="21" t="s">
        <v>184</v>
      </c>
      <c r="B3" s="21" t="s">
        <v>189</v>
      </c>
      <c r="C3" s="21" t="s">
        <v>46</v>
      </c>
      <c r="D3" s="21" t="s">
        <v>2100</v>
      </c>
      <c r="E3" s="21">
        <v>525</v>
      </c>
      <c r="F3" s="21">
        <v>24</v>
      </c>
    </row>
    <row r="4" spans="1:6">
      <c r="A4" s="21" t="s">
        <v>72</v>
      </c>
      <c r="B4" s="21" t="s">
        <v>78</v>
      </c>
      <c r="C4" s="21" t="s">
        <v>46</v>
      </c>
      <c r="D4" s="21" t="s">
        <v>2100</v>
      </c>
      <c r="E4" s="21">
        <v>900</v>
      </c>
      <c r="F4" s="21">
        <v>6</v>
      </c>
    </row>
    <row r="5" spans="1:6">
      <c r="A5" s="21" t="s">
        <v>40</v>
      </c>
      <c r="B5" s="21" t="s">
        <v>47</v>
      </c>
      <c r="C5" s="21" t="s">
        <v>46</v>
      </c>
      <c r="D5" s="21" t="s">
        <v>2101</v>
      </c>
      <c r="E5" s="21">
        <v>9000</v>
      </c>
      <c r="F5" s="21">
        <v>24</v>
      </c>
    </row>
    <row r="6" spans="1:6">
      <c r="A6" s="21" t="s">
        <v>92</v>
      </c>
      <c r="B6" s="21" t="s">
        <v>97</v>
      </c>
      <c r="C6" s="21" t="s">
        <v>32</v>
      </c>
      <c r="D6" s="21" t="s">
        <v>2101</v>
      </c>
      <c r="E6" s="21">
        <v>2625</v>
      </c>
      <c r="F6" s="21">
        <v>6</v>
      </c>
    </row>
    <row r="7" spans="1:6">
      <c r="A7" s="21" t="s">
        <v>24</v>
      </c>
      <c r="B7" s="21" t="s">
        <v>33</v>
      </c>
      <c r="C7" s="21" t="s">
        <v>32</v>
      </c>
      <c r="D7" s="21" t="s">
        <v>2101</v>
      </c>
      <c r="E7" s="21">
        <v>1650</v>
      </c>
      <c r="F7" s="21">
        <v>24</v>
      </c>
    </row>
    <row r="8" spans="1:6">
      <c r="A8" s="21" t="s">
        <v>169</v>
      </c>
      <c r="B8" s="21" t="s">
        <v>174</v>
      </c>
      <c r="C8" s="21" t="s">
        <v>32</v>
      </c>
      <c r="D8" s="21" t="s">
        <v>2100</v>
      </c>
      <c r="E8" s="21">
        <v>6375</v>
      </c>
      <c r="F8" s="21">
        <v>24</v>
      </c>
    </row>
    <row r="9" spans="1:6">
      <c r="A9" s="21" t="s">
        <v>118</v>
      </c>
      <c r="B9" s="21" t="s">
        <v>123</v>
      </c>
      <c r="C9" s="21" t="s">
        <v>122</v>
      </c>
      <c r="D9" s="21" t="s">
        <v>2102</v>
      </c>
      <c r="E9" s="21">
        <v>45</v>
      </c>
      <c r="F9" s="21">
        <v>12</v>
      </c>
    </row>
    <row r="10" spans="1:6">
      <c r="A10" s="21" t="s">
        <v>222</v>
      </c>
      <c r="B10" s="21" t="s">
        <v>227</v>
      </c>
      <c r="C10" s="21" t="s">
        <v>122</v>
      </c>
      <c r="D10" s="21" t="s">
        <v>2103</v>
      </c>
      <c r="E10" s="21">
        <v>15</v>
      </c>
      <c r="F10" s="21">
        <v>12</v>
      </c>
    </row>
    <row r="11" spans="1:6">
      <c r="A11" s="21" t="s">
        <v>259</v>
      </c>
      <c r="B11" s="21" t="s">
        <v>263</v>
      </c>
      <c r="C11" s="21" t="s">
        <v>122</v>
      </c>
      <c r="D11" s="21" t="s">
        <v>2100</v>
      </c>
      <c r="E11" s="21">
        <v>33.75</v>
      </c>
      <c r="F11" s="2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3AEE-9D67-4090-BC9F-B24CA77B4988}">
  <dimension ref="A1:K11"/>
  <sheetViews>
    <sheetView workbookViewId="0">
      <selection activeCell="K1" sqref="K1"/>
    </sheetView>
  </sheetViews>
  <sheetFormatPr defaultRowHeight="14.4"/>
  <cols>
    <col min="1" max="1" width="11.6640625" bestFit="1" customWidth="1"/>
    <col min="2" max="2" width="14.88671875" bestFit="1" customWidth="1"/>
    <col min="3" max="3" width="11.109375" bestFit="1" customWidth="1"/>
    <col min="4" max="4" width="5.21875" bestFit="1" customWidth="1"/>
    <col min="5" max="5" width="5.21875" customWidth="1"/>
    <col min="6" max="6" width="7.109375" bestFit="1" customWidth="1"/>
    <col min="7" max="7" width="10.5546875" bestFit="1" customWidth="1"/>
    <col min="8" max="8" width="24.88671875" bestFit="1" customWidth="1"/>
    <col min="11" max="11" width="14.44140625" bestFit="1" customWidth="1"/>
  </cols>
  <sheetData>
    <row r="1" spans="1:11">
      <c r="A1" s="25" t="s">
        <v>1</v>
      </c>
      <c r="B1" s="25" t="s">
        <v>5</v>
      </c>
      <c r="C1" s="25" t="s">
        <v>2106</v>
      </c>
      <c r="D1" s="25" t="s">
        <v>2107</v>
      </c>
      <c r="E1" s="46"/>
      <c r="F1" s="45" t="s">
        <v>6</v>
      </c>
      <c r="G1" s="23" t="s">
        <v>7</v>
      </c>
      <c r="H1" s="23" t="s">
        <v>19</v>
      </c>
      <c r="I1" s="23" t="s">
        <v>8</v>
      </c>
      <c r="J1" s="23" t="s">
        <v>9</v>
      </c>
      <c r="K1" s="52" t="s">
        <v>2147</v>
      </c>
    </row>
    <row r="2" spans="1:11">
      <c r="A2" s="24" t="s">
        <v>327</v>
      </c>
      <c r="B2" s="24" t="s">
        <v>394</v>
      </c>
      <c r="C2" s="24" t="s">
        <v>2108</v>
      </c>
      <c r="D2" s="24" t="s">
        <v>2109</v>
      </c>
      <c r="E2" s="24"/>
      <c r="F2" s="24" t="str">
        <f>VLOOKUP($A2,Sales_data!$B:$V,6,FALSE)</f>
        <v>Male</v>
      </c>
      <c r="G2" s="30" t="str">
        <f>VLOOKUP($A2,Sales_data!$B:$V,7,FALSE)</f>
        <v>09/08/1991</v>
      </c>
      <c r="H2" s="24" t="str">
        <f>VLOOKUP($A2,Sales_data!$B:$V,19,FALSE)</f>
        <v>amit.sharma@company.com</v>
      </c>
      <c r="I2" s="24" t="str">
        <f>VLOOKUP($A2,Sales_data!$B:$V,8,FALSE)</f>
        <v>Pune</v>
      </c>
      <c r="J2" s="24" t="str">
        <f>VLOOKUP($A2,Sales_data!$B:$V,9,FALSE)</f>
        <v>West</v>
      </c>
      <c r="K2" s="24" t="str">
        <f>TEXT(IFERROR(DATEVALUE(G2), G2), "mmmm")</f>
        <v>August</v>
      </c>
    </row>
    <row r="3" spans="1:11">
      <c r="A3" s="24" t="s">
        <v>100</v>
      </c>
      <c r="B3" s="24" t="s">
        <v>103</v>
      </c>
      <c r="C3" s="24" t="s">
        <v>2110</v>
      </c>
      <c r="D3" s="24" t="s">
        <v>2111</v>
      </c>
      <c r="E3" s="24"/>
      <c r="F3" s="24" t="str">
        <f>VLOOKUP($A3,Sales_data!$B:$V,6,FALSE)</f>
        <v>Female</v>
      </c>
      <c r="G3" s="30" t="str">
        <f>VLOOKUP($A3,Sales_data!$B:$V,7,FALSE)</f>
        <v>07/03/1995</v>
      </c>
      <c r="H3" s="24" t="str">
        <f>VLOOKUP($A3,Sales_data!$B:$V,19,FALSE)</f>
        <v>priYa.patel@company.com</v>
      </c>
      <c r="I3" s="24" t="str">
        <f>VLOOKUP($A3,Sales_data!$B:$V,8,FALSE)</f>
        <v>Mumbai</v>
      </c>
      <c r="J3" s="24" t="str">
        <f>VLOOKUP($A3,Sales_data!$B:$V,9,FALSE)</f>
        <v>West</v>
      </c>
      <c r="K3" s="24" t="str">
        <f t="shared" ref="K3:K11" si="0">TEXT(IFERROR(DATEVALUE(G3), G3), "mmmm")</f>
        <v>March</v>
      </c>
    </row>
    <row r="4" spans="1:11">
      <c r="A4" s="24" t="s">
        <v>127</v>
      </c>
      <c r="B4" s="24" t="s">
        <v>200</v>
      </c>
      <c r="C4" s="24" t="s">
        <v>2112</v>
      </c>
      <c r="D4" s="24" t="s">
        <v>2113</v>
      </c>
      <c r="E4" s="24"/>
      <c r="F4" s="24" t="str">
        <f>VLOOKUP($A4,Sales_data!$B:$V,6,FALSE)</f>
        <v>Male</v>
      </c>
      <c r="G4" s="30" t="str">
        <f>VLOOKUP($A4,Sales_data!$B:$V,7,FALSE)</f>
        <v>10/05/1982</v>
      </c>
      <c r="H4" s="24" t="str">
        <f>VLOOKUP($A4,Sales_data!$B:$V,19,FALSE)</f>
        <v>rohit.singh@company.com</v>
      </c>
      <c r="I4" s="24" t="str">
        <f>VLOOKUP($A4,Sales_data!$B:$V,8,FALSE)</f>
        <v>Delhi</v>
      </c>
      <c r="J4" s="24" t="str">
        <f>VLOOKUP($A4,Sales_data!$B:$V,9,FALSE)</f>
        <v>North</v>
      </c>
      <c r="K4" s="24" t="str">
        <f t="shared" si="0"/>
        <v>May</v>
      </c>
    </row>
    <row r="5" spans="1:11">
      <c r="A5" s="24" t="s">
        <v>168</v>
      </c>
      <c r="B5" s="24" t="s">
        <v>361</v>
      </c>
      <c r="C5" s="24" t="s">
        <v>2112</v>
      </c>
      <c r="D5" s="24" t="s">
        <v>2111</v>
      </c>
      <c r="E5" s="24"/>
      <c r="F5" s="24" t="str">
        <f>VLOOKUP($A5,Sales_data!$B:$V,6,FALSE)</f>
        <v>Female</v>
      </c>
      <c r="G5" s="30" t="str">
        <f>VLOOKUP($A5,Sales_data!$B:$V,7,FALSE)</f>
        <v>16/01/2002</v>
      </c>
      <c r="H5" s="24" t="str">
        <f>VLOOKUP($A5,Sales_data!$B:$V,19,FALSE)</f>
        <v>anita.gupta@company.com</v>
      </c>
      <c r="I5" s="24" t="str">
        <f>VLOOKUP($A5,Sales_data!$B:$V,8,FALSE)</f>
        <v>Pune</v>
      </c>
      <c r="J5" s="24" t="str">
        <f>VLOOKUP($A5,Sales_data!$B:$V,9,FALSE)</f>
        <v>West</v>
      </c>
      <c r="K5" s="24" t="str">
        <f t="shared" si="0"/>
        <v>January</v>
      </c>
    </row>
    <row r="6" spans="1:11">
      <c r="A6" s="24" t="s">
        <v>221</v>
      </c>
      <c r="B6" s="24" t="s">
        <v>225</v>
      </c>
      <c r="C6" s="24" t="s">
        <v>2112</v>
      </c>
      <c r="D6" s="24" t="s">
        <v>2113</v>
      </c>
      <c r="E6" s="24"/>
      <c r="F6" s="24" t="str">
        <f>VLOOKUP($A6,Sales_data!$B:$V,6,FALSE)</f>
        <v>Male</v>
      </c>
      <c r="G6" s="30" t="str">
        <f>VLOOKUP($A6,Sales_data!$B:$V,7,FALSE)</f>
        <v>03/08/1991</v>
      </c>
      <c r="H6" s="24" t="str">
        <f>VLOOKUP($A6,Sales_data!$B:$V,19,FALSE)</f>
        <v>vikas.mehta@company.com</v>
      </c>
      <c r="I6" s="24" t="str">
        <f>VLOOKUP($A6,Sales_data!$B:$V,8,FALSE)</f>
        <v>Mumbai</v>
      </c>
      <c r="J6" s="24" t="str">
        <f>VLOOKUP($A6,Sales_data!$B:$V,9,FALSE)</f>
        <v>West</v>
      </c>
      <c r="K6" s="24" t="str">
        <f t="shared" si="0"/>
        <v>August</v>
      </c>
    </row>
    <row r="7" spans="1:11">
      <c r="A7" s="24" t="s">
        <v>251</v>
      </c>
      <c r="B7" s="24" t="s">
        <v>254</v>
      </c>
      <c r="C7" s="24" t="s">
        <v>2112</v>
      </c>
      <c r="D7" s="24" t="s">
        <v>2111</v>
      </c>
      <c r="E7" s="24"/>
      <c r="F7" s="24" t="str">
        <f>VLOOKUP($A7,Sales_data!$B:$V,6,FALSE)</f>
        <v>Female</v>
      </c>
      <c r="G7" s="30" t="str">
        <f>VLOOKUP($A7,Sales_data!$B:$V,7,FALSE)</f>
        <v>04/04/1981</v>
      </c>
      <c r="H7" s="24" t="str">
        <f>VLOOKUP($A7,Sales_data!$B:$V,19,FALSE)</f>
        <v>sneha.joshi@company.com</v>
      </c>
      <c r="I7" s="24" t="str">
        <f>VLOOKUP($A7,Sales_data!$B:$V,8,FALSE)</f>
        <v>Pune</v>
      </c>
      <c r="J7" s="24" t="str">
        <f>VLOOKUP($A7,Sales_data!$B:$V,9,FALSE)</f>
        <v>West</v>
      </c>
      <c r="K7" s="24" t="str">
        <f t="shared" si="0"/>
        <v>April</v>
      </c>
    </row>
    <row r="8" spans="1:11">
      <c r="A8" s="24" t="s">
        <v>83</v>
      </c>
      <c r="B8" s="24" t="s">
        <v>180</v>
      </c>
      <c r="C8" s="24" t="s">
        <v>2108</v>
      </c>
      <c r="D8" s="24" t="s">
        <v>2109</v>
      </c>
      <c r="E8" s="24"/>
      <c r="F8" s="24" t="str">
        <f>VLOOKUP($A8,Sales_data!$B:$V,6,FALSE)</f>
        <v>Male</v>
      </c>
      <c r="G8" s="30" t="str">
        <f>VLOOKUP($A8,Sales_data!$B:$V,7,FALSE)</f>
        <v>07/02/1988</v>
      </c>
      <c r="H8" s="24" t="str">
        <f>VLOOKUP($A8,Sales_data!$B:$V,19,FALSE)</f>
        <v>arjun.rao@company.com</v>
      </c>
      <c r="I8" s="24" t="str">
        <f>VLOOKUP($A8,Sales_data!$B:$V,8,FALSE)</f>
        <v>Hyderabad</v>
      </c>
      <c r="J8" s="24" t="str">
        <f>VLOOKUP($A8,Sales_data!$B:$V,9,FALSE)</f>
        <v>South</v>
      </c>
      <c r="K8" s="24" t="str">
        <f t="shared" si="0"/>
        <v>February</v>
      </c>
    </row>
    <row r="9" spans="1:11">
      <c r="A9" s="24" t="s">
        <v>23</v>
      </c>
      <c r="B9" s="24" t="s">
        <v>27</v>
      </c>
      <c r="C9" s="24" t="s">
        <v>2108</v>
      </c>
      <c r="D9" s="24" t="s">
        <v>2111</v>
      </c>
      <c r="E9" s="24"/>
      <c r="F9" s="24" t="str">
        <f>VLOOKUP($A9,Sales_data!$B:$V,6,FALSE)</f>
        <v>Female</v>
      </c>
      <c r="G9" s="30" t="str">
        <f>VLOOKUP($A9,Sales_data!$B:$V,7,FALSE)</f>
        <v>01/08/1976</v>
      </c>
      <c r="H9" s="24" t="str">
        <f>VLOOKUP($A9,Sales_data!$B:$V,19,FALSE)</f>
        <v>KAvya.nair@company.com</v>
      </c>
      <c r="I9" s="24" t="str">
        <f>VLOOKUP($A9,Sales_data!$B:$V,8,FALSE)</f>
        <v>Hyderabad</v>
      </c>
      <c r="J9" s="24" t="str">
        <f>VLOOKUP($A9,Sales_data!$B:$V,9,FALSE)</f>
        <v>South</v>
      </c>
      <c r="K9" s="24" t="str">
        <f t="shared" si="0"/>
        <v>August</v>
      </c>
    </row>
    <row r="10" spans="1:11">
      <c r="A10" s="24" t="s">
        <v>71</v>
      </c>
      <c r="B10" s="24" t="s">
        <v>217</v>
      </c>
      <c r="C10" s="24" t="s">
        <v>2110</v>
      </c>
      <c r="D10" s="24" t="s">
        <v>2114</v>
      </c>
      <c r="E10" s="24"/>
      <c r="F10" s="24" t="str">
        <f>VLOOKUP($A10,Sales_data!$B:$V,6,FALSE)</f>
        <v>Male</v>
      </c>
      <c r="G10" s="30" t="str">
        <f>VLOOKUP($A10,Sales_data!$B:$V,7,FALSE)</f>
        <v>13/04/1976</v>
      </c>
      <c r="H10" s="24" t="str">
        <f>VLOOKUP($A10,Sales_data!$B:$V,19,FALSE)</f>
        <v>mohit.verma@company.com</v>
      </c>
      <c r="I10" s="24" t="str">
        <f>VLOOKUP($A10,Sales_data!$B:$V,8,FALSE)</f>
        <v>Delhi</v>
      </c>
      <c r="J10" s="24" t="str">
        <f>VLOOKUP($A10,Sales_data!$B:$V,9,FALSE)</f>
        <v>North</v>
      </c>
      <c r="K10" s="24" t="str">
        <f t="shared" si="0"/>
        <v>April</v>
      </c>
    </row>
    <row r="11" spans="1:11">
      <c r="A11" s="24" t="s">
        <v>53</v>
      </c>
      <c r="B11" s="24" t="s">
        <v>163</v>
      </c>
      <c r="C11" s="24" t="s">
        <v>2108</v>
      </c>
      <c r="D11" s="24" t="s">
        <v>2111</v>
      </c>
      <c r="E11" s="24"/>
      <c r="F11" s="24" t="str">
        <f>VLOOKUP($A11,Sales_data!$B:$V,6,FALSE)</f>
        <v>Female</v>
      </c>
      <c r="G11" s="30" t="str">
        <f>VLOOKUP($A11,Sales_data!$B:$V,7,FALSE)</f>
        <v>16/09/1994</v>
      </c>
      <c r="H11" s="24" t="str">
        <f>VLOOKUP($A11,Sales_data!$B:$V,19,FALSE)</f>
        <v>pooja.shah@company.com</v>
      </c>
      <c r="I11" s="24" t="str">
        <f>VLOOKUP($A11,Sales_data!$B:$V,8,FALSE)</f>
        <v>Bengaluru</v>
      </c>
      <c r="J11" s="24" t="str">
        <f>VLOOKUP($A11,Sales_data!$B:$V,9,FALSE)</f>
        <v>South</v>
      </c>
      <c r="K11" s="24" t="str">
        <f t="shared" si="0"/>
        <v>September</v>
      </c>
    </row>
  </sheetData>
  <pageMargins left="0.7" right="0.7" top="0.75" bottom="0.75" header="0.3" footer="0.3"/>
  <ignoredErrors>
    <ignoredError sqref="F2:F11 G2:G11 H2:H11 I2:I11 J2:J11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585A-649B-450C-B59D-CD78664C7779}">
  <dimension ref="A1:K43"/>
  <sheetViews>
    <sheetView showGridLines="0" topLeftCell="A19" workbookViewId="0">
      <selection activeCell="H29" sqref="H29"/>
    </sheetView>
  </sheetViews>
  <sheetFormatPr defaultRowHeight="14.4"/>
  <cols>
    <col min="1" max="1" width="12.6640625" bestFit="1" customWidth="1"/>
    <col min="3" max="3" width="12.21875" bestFit="1" customWidth="1"/>
    <col min="5" max="5" width="14.21875" bestFit="1" customWidth="1"/>
    <col min="7" max="7" width="15.77734375" bestFit="1" customWidth="1"/>
    <col min="8" max="8" width="56.109375" customWidth="1"/>
    <col min="9" max="9" width="37.88671875" style="1" customWidth="1"/>
    <col min="10" max="10" width="6.44140625" customWidth="1"/>
    <col min="11" max="11" width="4.109375" customWidth="1"/>
  </cols>
  <sheetData>
    <row r="1" spans="1:11" ht="14.4" customHeight="1">
      <c r="A1" s="56" t="s">
        <v>2132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4.4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4.4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14.4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11" ht="14.4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 ht="14.4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1" ht="14.4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1:11" ht="14.4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</row>
    <row r="9" spans="1:11" ht="14.4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1:11" ht="14.4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1:11" ht="14.4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ht="14.4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1:11" ht="14.4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</row>
    <row r="14" spans="1:11" ht="14.4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</row>
    <row r="15" spans="1:11" ht="14.4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</row>
    <row r="16" spans="1:11" ht="14.4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11" ht="14.4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</row>
    <row r="18" spans="1:11" ht="14.4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1:11" ht="1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</row>
    <row r="20" spans="1:11" ht="15" thickBot="1"/>
    <row r="21" spans="1:11" ht="26.4" customHeight="1" thickBot="1">
      <c r="A21" s="2" t="s">
        <v>2094</v>
      </c>
      <c r="C21" s="2" t="s">
        <v>2095</v>
      </c>
      <c r="E21" s="2" t="s">
        <v>2096</v>
      </c>
      <c r="G21" s="28" t="s">
        <v>2118</v>
      </c>
      <c r="H21" s="28"/>
      <c r="I21" s="28"/>
      <c r="J21" s="28"/>
      <c r="K21" s="28"/>
    </row>
    <row r="22" spans="1:11" ht="45.6" customHeight="1" thickBot="1">
      <c r="G22" s="63" t="s">
        <v>2117</v>
      </c>
      <c r="H22" s="63" t="s">
        <v>2116</v>
      </c>
      <c r="I22" s="62" t="s">
        <v>2119</v>
      </c>
      <c r="J22" s="60" t="s">
        <v>2120</v>
      </c>
      <c r="K22" s="61"/>
    </row>
    <row r="23" spans="1:11" ht="36.6" customHeight="1" thickBot="1">
      <c r="A23" s="3" t="s">
        <v>2105</v>
      </c>
      <c r="C23" s="4" t="s">
        <v>2104</v>
      </c>
      <c r="E23" s="4" t="s">
        <v>2115</v>
      </c>
      <c r="G23" s="57" t="s">
        <v>0</v>
      </c>
      <c r="H23" s="31" t="s">
        <v>2128</v>
      </c>
      <c r="I23" s="31" t="s">
        <v>2127</v>
      </c>
      <c r="J23" s="26" t="s">
        <v>2121</v>
      </c>
      <c r="K23" s="27"/>
    </row>
    <row r="24" spans="1:11" ht="14.4" customHeight="1">
      <c r="G24" s="58" t="s">
        <v>1</v>
      </c>
      <c r="H24" s="31" t="s">
        <v>2122</v>
      </c>
      <c r="I24" s="31" t="s">
        <v>2123</v>
      </c>
      <c r="J24" s="26" t="s">
        <v>2121</v>
      </c>
      <c r="K24" s="27"/>
    </row>
    <row r="25" spans="1:11" ht="14.4" customHeight="1">
      <c r="G25" s="58" t="s">
        <v>2</v>
      </c>
      <c r="H25" s="31" t="s">
        <v>2122</v>
      </c>
      <c r="I25" s="31" t="s">
        <v>2123</v>
      </c>
      <c r="J25" s="26" t="s">
        <v>2121</v>
      </c>
      <c r="K25" s="27"/>
    </row>
    <row r="26" spans="1:11" ht="14.4" customHeight="1">
      <c r="G26" s="59" t="s">
        <v>3</v>
      </c>
      <c r="H26" s="31" t="s">
        <v>2133</v>
      </c>
      <c r="I26" s="31" t="s">
        <v>2126</v>
      </c>
      <c r="J26" s="26" t="s">
        <v>2125</v>
      </c>
      <c r="K26" s="27"/>
    </row>
    <row r="27" spans="1:11" ht="14.4" customHeight="1">
      <c r="G27" s="59" t="s">
        <v>4</v>
      </c>
      <c r="H27" s="31" t="s">
        <v>2133</v>
      </c>
      <c r="I27" s="31" t="s">
        <v>2126</v>
      </c>
      <c r="J27" s="26" t="s">
        <v>2125</v>
      </c>
      <c r="K27" s="27"/>
    </row>
    <row r="28" spans="1:11" ht="14.4" customHeight="1">
      <c r="G28" s="58" t="s">
        <v>5</v>
      </c>
      <c r="H28" s="31" t="s">
        <v>2130</v>
      </c>
      <c r="I28" s="31" t="s">
        <v>2131</v>
      </c>
      <c r="J28" s="26" t="s">
        <v>2121</v>
      </c>
      <c r="K28" s="27"/>
    </row>
    <row r="29" spans="1:11" ht="14.4" customHeight="1">
      <c r="G29" s="58" t="s">
        <v>6</v>
      </c>
      <c r="H29" s="31" t="s">
        <v>2130</v>
      </c>
      <c r="I29" s="31" t="s">
        <v>2131</v>
      </c>
      <c r="J29" s="26" t="s">
        <v>2121</v>
      </c>
      <c r="K29" s="27"/>
    </row>
    <row r="30" spans="1:11" ht="14.4" customHeight="1">
      <c r="G30" s="58" t="s">
        <v>7</v>
      </c>
      <c r="H30" s="31" t="s">
        <v>2150</v>
      </c>
      <c r="I30" s="31" t="s">
        <v>2126</v>
      </c>
      <c r="J30" s="26" t="s">
        <v>2125</v>
      </c>
      <c r="K30" s="27"/>
    </row>
    <row r="31" spans="1:11" ht="14.4" customHeight="1">
      <c r="G31" s="58" t="s">
        <v>8</v>
      </c>
      <c r="H31" s="31" t="s">
        <v>2151</v>
      </c>
      <c r="I31" s="31" t="s">
        <v>2131</v>
      </c>
      <c r="J31" s="26" t="s">
        <v>2121</v>
      </c>
      <c r="K31" s="27"/>
    </row>
    <row r="32" spans="1:11" ht="14.4" customHeight="1">
      <c r="G32" s="58" t="s">
        <v>9</v>
      </c>
      <c r="H32" s="31" t="s">
        <v>2151</v>
      </c>
      <c r="I32" s="31" t="s">
        <v>2131</v>
      </c>
      <c r="J32" s="26" t="s">
        <v>2121</v>
      </c>
      <c r="K32" s="27"/>
    </row>
    <row r="33" spans="7:11" ht="14.4" customHeight="1">
      <c r="G33" s="58" t="s">
        <v>10</v>
      </c>
      <c r="H33" s="31" t="s">
        <v>2152</v>
      </c>
      <c r="I33" s="31" t="s">
        <v>2135</v>
      </c>
      <c r="J33" s="26" t="s">
        <v>2121</v>
      </c>
      <c r="K33" s="27"/>
    </row>
    <row r="34" spans="7:11" ht="28.8">
      <c r="G34" s="58" t="s">
        <v>11</v>
      </c>
      <c r="H34" s="31" t="s">
        <v>2152</v>
      </c>
      <c r="I34" s="31" t="s">
        <v>2131</v>
      </c>
      <c r="J34" s="26" t="s">
        <v>2121</v>
      </c>
      <c r="K34" s="27"/>
    </row>
    <row r="35" spans="7:11" ht="28.8">
      <c r="G35" s="58" t="s">
        <v>12</v>
      </c>
      <c r="H35" s="31" t="s">
        <v>2137</v>
      </c>
      <c r="I35" s="31" t="s">
        <v>2136</v>
      </c>
      <c r="J35" s="26" t="s">
        <v>2138</v>
      </c>
      <c r="K35" s="27"/>
    </row>
    <row r="36" spans="7:11">
      <c r="G36" s="58" t="s">
        <v>13</v>
      </c>
      <c r="H36" s="31" t="s">
        <v>2153</v>
      </c>
      <c r="I36" s="31" t="s">
        <v>2124</v>
      </c>
      <c r="J36" s="26" t="s">
        <v>2139</v>
      </c>
      <c r="K36" s="27"/>
    </row>
    <row r="37" spans="7:11">
      <c r="G37" s="58" t="s">
        <v>14</v>
      </c>
      <c r="H37" s="31" t="s">
        <v>2124</v>
      </c>
      <c r="I37" s="31" t="s">
        <v>2124</v>
      </c>
      <c r="J37" s="26" t="s">
        <v>2140</v>
      </c>
      <c r="K37" s="27"/>
    </row>
    <row r="38" spans="7:11">
      <c r="G38" s="58" t="s">
        <v>15</v>
      </c>
      <c r="H38" s="31" t="s">
        <v>2154</v>
      </c>
      <c r="I38" s="31" t="s">
        <v>2124</v>
      </c>
      <c r="J38" s="26" t="s">
        <v>2139</v>
      </c>
      <c r="K38" s="27"/>
    </row>
    <row r="39" spans="7:11" ht="14.4" customHeight="1">
      <c r="G39" s="58" t="s">
        <v>16</v>
      </c>
      <c r="H39" s="31" t="s">
        <v>2122</v>
      </c>
      <c r="I39" s="31" t="s">
        <v>2124</v>
      </c>
      <c r="J39" s="26" t="s">
        <v>2138</v>
      </c>
      <c r="K39" s="27"/>
    </row>
    <row r="40" spans="7:11" ht="14.4" customHeight="1">
      <c r="G40" s="58" t="s">
        <v>17</v>
      </c>
      <c r="H40" s="31" t="s">
        <v>2141</v>
      </c>
      <c r="I40" s="31" t="s">
        <v>2131</v>
      </c>
      <c r="J40" s="26" t="s">
        <v>2121</v>
      </c>
      <c r="K40" s="27"/>
    </row>
    <row r="41" spans="7:11" ht="14.4" customHeight="1">
      <c r="G41" s="59" t="s">
        <v>18</v>
      </c>
      <c r="H41" s="31" t="s">
        <v>2134</v>
      </c>
      <c r="I41" s="31" t="s">
        <v>2131</v>
      </c>
      <c r="J41" s="26" t="s">
        <v>2121</v>
      </c>
      <c r="K41" s="27"/>
    </row>
    <row r="42" spans="7:11" ht="28.8">
      <c r="G42" s="58" t="s">
        <v>19</v>
      </c>
      <c r="H42" s="31" t="s">
        <v>2155</v>
      </c>
      <c r="I42" s="31" t="s">
        <v>2131</v>
      </c>
      <c r="J42" s="26" t="s">
        <v>2121</v>
      </c>
      <c r="K42" s="27"/>
    </row>
    <row r="43" spans="7:11">
      <c r="G43" s="57" t="s">
        <v>20</v>
      </c>
      <c r="H43" s="31" t="s">
        <v>2142</v>
      </c>
      <c r="I43" s="31" t="s">
        <v>2124</v>
      </c>
      <c r="J43" s="26" t="s">
        <v>2138</v>
      </c>
      <c r="K43" s="27"/>
    </row>
  </sheetData>
  <mergeCells count="24">
    <mergeCell ref="A1:K19"/>
    <mergeCell ref="J43:K43"/>
    <mergeCell ref="J42:K42"/>
    <mergeCell ref="J40:K40"/>
    <mergeCell ref="J41:K41"/>
    <mergeCell ref="J38:K38"/>
    <mergeCell ref="J39:K39"/>
    <mergeCell ref="J36:K36"/>
    <mergeCell ref="J37:K37"/>
    <mergeCell ref="J35:K35"/>
    <mergeCell ref="J33:K33"/>
    <mergeCell ref="J34:K34"/>
    <mergeCell ref="J31:K31"/>
    <mergeCell ref="J32:K32"/>
    <mergeCell ref="J30:K30"/>
    <mergeCell ref="J25:K25"/>
    <mergeCell ref="J26:K26"/>
    <mergeCell ref="J27:K27"/>
    <mergeCell ref="J28:K28"/>
    <mergeCell ref="J29:K29"/>
    <mergeCell ref="G21:K21"/>
    <mergeCell ref="J22:K22"/>
    <mergeCell ref="J23:K23"/>
    <mergeCell ref="J24:K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57CF-C34D-42A6-B379-55CEC9556889}">
  <dimension ref="A1:AG777"/>
  <sheetViews>
    <sheetView topLeftCell="G1" zoomScaleNormal="100" workbookViewId="0">
      <selection activeCell="S1" sqref="S1"/>
    </sheetView>
  </sheetViews>
  <sheetFormatPr defaultRowHeight="14.4"/>
  <cols>
    <col min="1" max="1" width="13" style="24" bestFit="1" customWidth="1"/>
    <col min="2" max="2" width="16.33203125" style="24" bestFit="1" customWidth="1"/>
    <col min="3" max="3" width="14.88671875" style="24" bestFit="1" customWidth="1"/>
    <col min="4" max="4" width="16.77734375" style="49" bestFit="1" customWidth="1"/>
    <col min="5" max="5" width="17.109375" style="49" bestFit="1" customWidth="1"/>
    <col min="6" max="6" width="19.6640625" bestFit="1" customWidth="1"/>
    <col min="7" max="7" width="11.5546875" bestFit="1" customWidth="1"/>
    <col min="8" max="8" width="10.5546875" bestFit="1" customWidth="1"/>
    <col min="9" max="9" width="10.6640625" bestFit="1" customWidth="1"/>
    <col min="10" max="10" width="11.21875" bestFit="1" customWidth="1"/>
    <col min="11" max="11" width="9.77734375" bestFit="1" customWidth="1"/>
    <col min="12" max="12" width="15.109375" bestFit="1" customWidth="1"/>
    <col min="13" max="13" width="23.21875" bestFit="1" customWidth="1"/>
    <col min="14" max="14" width="12.77734375" bestFit="1" customWidth="1"/>
    <col min="15" max="15" width="14.109375" style="40" bestFit="1" customWidth="1"/>
    <col min="16" max="16" width="15.21875" bestFit="1" customWidth="1"/>
    <col min="17" max="17" width="23.88671875" style="40" bestFit="1" customWidth="1"/>
    <col min="18" max="18" width="10.77734375" style="40" bestFit="1" customWidth="1"/>
    <col min="19" max="19" width="19.109375" bestFit="1" customWidth="1"/>
    <col min="20" max="20" width="15.44140625" bestFit="1" customWidth="1"/>
    <col min="21" max="21" width="25.109375" bestFit="1" customWidth="1"/>
    <col min="22" max="22" width="13.6640625" bestFit="1" customWidth="1"/>
    <col min="23" max="23" width="12.6640625" bestFit="1" customWidth="1"/>
    <col min="24" max="24" width="21" bestFit="1" customWidth="1"/>
    <col min="25" max="25" width="16.109375" bestFit="1" customWidth="1"/>
    <col min="26" max="26" width="20.33203125" bestFit="1" customWidth="1"/>
    <col min="27" max="27" width="14.44140625" bestFit="1" customWidth="1"/>
    <col min="28" max="28" width="20.21875" style="1" bestFit="1" customWidth="1"/>
    <col min="29" max="29" width="14" bestFit="1" customWidth="1"/>
    <col min="30" max="30" width="12.77734375" bestFit="1" customWidth="1"/>
    <col min="31" max="31" width="18.33203125" style="40" bestFit="1" customWidth="1"/>
    <col min="32" max="32" width="13.5546875" bestFit="1" customWidth="1"/>
    <col min="33" max="33" width="15.88671875" bestFit="1" customWidth="1"/>
  </cols>
  <sheetData>
    <row r="1" spans="1:33">
      <c r="A1" s="41" t="s">
        <v>0</v>
      </c>
      <c r="B1" s="41" t="s">
        <v>1</v>
      </c>
      <c r="C1" s="41" t="s">
        <v>2</v>
      </c>
      <c r="D1" s="50" t="s">
        <v>3</v>
      </c>
      <c r="E1" s="50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2107</v>
      </c>
      <c r="L1" s="41" t="s">
        <v>10</v>
      </c>
      <c r="M1" s="41" t="s">
        <v>2143</v>
      </c>
      <c r="N1" s="41" t="s">
        <v>12</v>
      </c>
      <c r="O1" s="191" t="s">
        <v>13</v>
      </c>
      <c r="P1" s="41" t="s">
        <v>14</v>
      </c>
      <c r="Q1" s="191" t="s">
        <v>2144</v>
      </c>
      <c r="R1" s="191" t="s">
        <v>16</v>
      </c>
      <c r="S1" s="41" t="s">
        <v>17</v>
      </c>
      <c r="T1" s="51" t="s">
        <v>18</v>
      </c>
      <c r="U1" s="41" t="s">
        <v>19</v>
      </c>
      <c r="V1" s="41" t="s">
        <v>20</v>
      </c>
      <c r="W1" s="42" t="s">
        <v>2097</v>
      </c>
      <c r="X1" s="43" t="s">
        <v>2099</v>
      </c>
      <c r="Y1" s="43" t="s">
        <v>2106</v>
      </c>
      <c r="Z1" s="53" t="s">
        <v>2146</v>
      </c>
      <c r="AA1" s="41" t="s">
        <v>2147</v>
      </c>
      <c r="AB1" s="135" t="s">
        <v>2178</v>
      </c>
      <c r="AC1" s="135" t="s">
        <v>2199</v>
      </c>
      <c r="AD1" s="135" t="s">
        <v>2214</v>
      </c>
      <c r="AE1" s="135" t="s">
        <v>2215</v>
      </c>
      <c r="AF1" s="135" t="s">
        <v>2216</v>
      </c>
      <c r="AG1" s="135" t="s">
        <v>2248</v>
      </c>
    </row>
    <row r="2" spans="1:33">
      <c r="A2" s="24" t="s">
        <v>22</v>
      </c>
      <c r="B2" s="24" t="s">
        <v>23</v>
      </c>
      <c r="C2" s="24" t="s">
        <v>24</v>
      </c>
      <c r="D2" s="30">
        <v>45918</v>
      </c>
      <c r="E2" s="30" t="s">
        <v>26</v>
      </c>
      <c r="F2" s="24" t="str">
        <f>VLOOKUP(B2,Custumer_Master!A:D,2,FALSE)</f>
        <v>Kavya Nair</v>
      </c>
      <c r="G2" s="24" t="str">
        <f>VLOOKUP($B2,Custumer_Master!$A:$J,6,FALSE)</f>
        <v>Female</v>
      </c>
      <c r="H2" s="30" t="str">
        <f>VLOOKUP($B2,Custumer_Master!$A:$J,7,FALSE)</f>
        <v>01/08/1976</v>
      </c>
      <c r="I2" s="24" t="str">
        <f>VLOOKUP($B2,Custumer_Master!$A:$J,9,FALSE)</f>
        <v>Hyderabad</v>
      </c>
      <c r="J2" s="24" t="str">
        <f>VLOOKUP($B2,Custumer_Master!$A:$J,10,FALSE)</f>
        <v>South</v>
      </c>
      <c r="K2" s="24" t="str">
        <f>VLOOKUP(B2,Custumer_Master!A:D,4,FALSE)</f>
        <v>WB</v>
      </c>
      <c r="L2" s="24" t="str">
        <f>PROPER(TRIM(VLOOKUP('Final Data'!C2,Product_Master!A:F,3,FALSE)))</f>
        <v>Home Appliances</v>
      </c>
      <c r="M2" s="24" t="s">
        <v>33</v>
      </c>
      <c r="N2" s="34">
        <v>4</v>
      </c>
      <c r="O2" s="192">
        <f>VLOOKUP(C2,Product_Master!A:F,5,FALSE)</f>
        <v>1650</v>
      </c>
      <c r="P2" s="33">
        <v>0.1</v>
      </c>
      <c r="Q2" s="34">
        <f>(N2*O2)-(N2*O2)*P2</f>
        <v>5940</v>
      </c>
      <c r="R2" s="34">
        <v>4</v>
      </c>
      <c r="S2" s="24" t="s">
        <v>34</v>
      </c>
      <c r="T2" s="24" t="s">
        <v>35</v>
      </c>
      <c r="U2" s="24" t="s">
        <v>50</v>
      </c>
      <c r="V2" s="34">
        <v>9431429797</v>
      </c>
      <c r="W2" s="24" t="str">
        <f>VLOOKUP(C2,Product_Master!A:F,4,FALSE)</f>
        <v>Global Trade</v>
      </c>
      <c r="X2" s="34">
        <f>VLOOKUP(C2,Product_Master!A:F,6,FALSE)</f>
        <v>24</v>
      </c>
      <c r="Y2" s="24" t="str">
        <f>VLOOKUP(B2,Custumer_Master!A:D,3,FALSE)</f>
        <v>Silver</v>
      </c>
      <c r="Z2" s="54">
        <f>EDATE(E2,X2)</f>
        <v>46652</v>
      </c>
      <c r="AA2" s="29" t="str">
        <f>VLOOKUP(B2,Custumer_Master!A:K,11,)</f>
        <v>August</v>
      </c>
      <c r="AB2" s="24" t="s">
        <v>2108</v>
      </c>
      <c r="AC2" s="138" t="str">
        <f>PROPER(LEFT(TRIM(F2), 3)) &amp; RIGHT(TRIM(B2), 3) &amp; PROPER(LEFT(TRIM(I2), 2))</f>
        <v>Kav008Hy</v>
      </c>
      <c r="AD2" s="154">
        <f ca="1">DATEDIF(H2, TODAY(), "Y")</f>
        <v>49</v>
      </c>
      <c r="AE2" s="154">
        <f>IFERROR(IF(OR(E2="", D2="", LOWER(TRIM(E2))="pending", LOWER(TRIM(D2))="pending"), "Pending", E2 - D2), "Pending")</f>
        <v>4</v>
      </c>
      <c r="AF2" s="138" t="str">
        <f>IFERROR(IF(OR(E2="", D2="","Pending","Pending"), "Pending", IF((E2 - D2) &lt;= 5, "On Time", "Delayed")), "Pending")</f>
        <v>On Time</v>
      </c>
      <c r="AG2" s="24" t="str">
        <f>IF(AF2="Pending","Pending","Completed")</f>
        <v>Completed</v>
      </c>
    </row>
    <row r="3" spans="1:33">
      <c r="A3" s="24" t="s">
        <v>39</v>
      </c>
      <c r="B3" s="24" t="s">
        <v>23</v>
      </c>
      <c r="C3" s="24" t="s">
        <v>40</v>
      </c>
      <c r="D3" s="30">
        <v>45774</v>
      </c>
      <c r="E3" s="30" t="s">
        <v>42</v>
      </c>
      <c r="F3" s="24" t="str">
        <f>VLOOKUP(B3,Custumer_Master!A:D,2,FALSE)</f>
        <v>Kavya Nair</v>
      </c>
      <c r="G3" s="24" t="str">
        <f>VLOOKUP($B3,Custumer_Master!$A:$J,6,FALSE)</f>
        <v>Female</v>
      </c>
      <c r="H3" s="30" t="str">
        <f>VLOOKUP($B3,Custumer_Master!$A:$J,7,FALSE)</f>
        <v>01/08/1976</v>
      </c>
      <c r="I3" s="24" t="str">
        <f>VLOOKUP($B3,Custumer_Master!$A:$J,9,FALSE)</f>
        <v>Hyderabad</v>
      </c>
      <c r="J3" s="24" t="str">
        <f>VLOOKUP($B3,Custumer_Master!$A:$J,10,FALSE)</f>
        <v>South</v>
      </c>
      <c r="K3" s="24" t="str">
        <f>VLOOKUP(B3,Custumer_Master!A:D,4,FALSE)</f>
        <v>WB</v>
      </c>
      <c r="L3" s="24" t="str">
        <f>PROPER(TRIM(VLOOKUP('Final Data'!C3,Product_Master!A:F,3,FALSE)))</f>
        <v>Electronics</v>
      </c>
      <c r="M3" s="24" t="s">
        <v>47</v>
      </c>
      <c r="N3" s="34">
        <v>17</v>
      </c>
      <c r="O3" s="192">
        <f>VLOOKUP(C3,Product_Master!A:F,5,FALSE)</f>
        <v>9000</v>
      </c>
      <c r="P3" s="33">
        <v>0.1</v>
      </c>
      <c r="Q3" s="34">
        <f t="shared" ref="Q3:Q66" si="0">(N3*O3)-(N3*O3)*P3</f>
        <v>137700</v>
      </c>
      <c r="R3" s="34">
        <v>1</v>
      </c>
      <c r="S3" s="24" t="s">
        <v>2148</v>
      </c>
      <c r="T3" s="24" t="s">
        <v>49</v>
      </c>
      <c r="U3" s="24" t="s">
        <v>50</v>
      </c>
      <c r="V3" s="34">
        <v>9129865339</v>
      </c>
      <c r="W3" s="24" t="str">
        <f>VLOOKUP(C3,Product_Master!A:F,4,FALSE)</f>
        <v>Global Trade</v>
      </c>
      <c r="X3" s="34">
        <f>VLOOKUP(C3,Product_Master!A:F,6,FALSE)</f>
        <v>24</v>
      </c>
      <c r="Y3" s="24" t="str">
        <f>VLOOKUP(B3,Custumer_Master!A:D,3,FALSE)</f>
        <v>Silver</v>
      </c>
      <c r="Z3" s="30">
        <f>EDATE(E3,X3)</f>
        <v>46511</v>
      </c>
      <c r="AA3" s="29" t="str">
        <f>VLOOKUP(B3,Custumer_Master!A:K,11,)</f>
        <v>August</v>
      </c>
      <c r="AB3" s="24" t="s">
        <v>2160</v>
      </c>
      <c r="AC3" s="138" t="str">
        <f>PROPER(LEFT(TRIM(F3), 3)) &amp; RIGHT(TRIM(B3), 3) &amp; PROPER(LEFT(TRIM(I3), 2))</f>
        <v>Kav008Hy</v>
      </c>
      <c r="AD3" s="154">
        <f t="shared" ref="AD3:AD66" ca="1" si="1">DATEDIF(H3, TODAY(), "Y")</f>
        <v>49</v>
      </c>
      <c r="AE3" s="154">
        <f>IFERROR(IF(OR(E3="", D3="", LOWER(TRIM(E3))="pending", LOWER(TRIM(D3))="pending"), "Pending", E3 - D3), "Pending")</f>
        <v>7</v>
      </c>
      <c r="AF3" s="138" t="str">
        <f>IFERROR(IF(OR(E3="", D3="","Pending","Pending"), "Pending", IF((E3 - D3) &lt;= 5, "On Time", "Delayed")), "Pending")</f>
        <v>Delayed</v>
      </c>
      <c r="AG3" s="24" t="str">
        <f t="shared" ref="AG3:AG66" si="2">IF(AF3="Pending","Pending","Completed")</f>
        <v>Completed</v>
      </c>
    </row>
    <row r="4" spans="1:33">
      <c r="A4" s="24" t="s">
        <v>52</v>
      </c>
      <c r="B4" s="24" t="s">
        <v>53</v>
      </c>
      <c r="C4" s="24" t="s">
        <v>54</v>
      </c>
      <c r="D4" s="30">
        <v>45903</v>
      </c>
      <c r="E4" s="30" t="s">
        <v>56</v>
      </c>
      <c r="F4" s="24" t="str">
        <f>VLOOKUP(B4,Custumer_Master!A:D,2,FALSE)</f>
        <v>Pooja Shah</v>
      </c>
      <c r="G4" s="24" t="str">
        <f>VLOOKUP($B4,Custumer_Master!$A:$J,6,FALSE)</f>
        <v>Female</v>
      </c>
      <c r="H4" s="30" t="str">
        <f>VLOOKUP($B4,Custumer_Master!$A:$J,7,FALSE)</f>
        <v>16/09/1994</v>
      </c>
      <c r="I4" s="24" t="str">
        <f>VLOOKUP($B4,Custumer_Master!$A:$J,9,FALSE)</f>
        <v>Bengaluru</v>
      </c>
      <c r="J4" s="24" t="str">
        <f>VLOOKUP($B4,Custumer_Master!$A:$J,10,FALSE)</f>
        <v>South</v>
      </c>
      <c r="K4" s="24" t="str">
        <f>VLOOKUP(B4,Custumer_Master!A:D,4,FALSE)</f>
        <v>WB</v>
      </c>
      <c r="L4" s="24" t="str">
        <f>PROPER(TRIM(VLOOKUP('Final Data'!C4,Product_Master!A:F,3,FALSE)))</f>
        <v>Electronics</v>
      </c>
      <c r="M4" s="24" t="s">
        <v>60</v>
      </c>
      <c r="N4" s="34">
        <v>5</v>
      </c>
      <c r="O4" s="192">
        <f>VLOOKUP(C4,Product_Master!A:F,5,FALSE)</f>
        <v>41250</v>
      </c>
      <c r="P4" s="33">
        <v>0.05</v>
      </c>
      <c r="Q4" s="34">
        <f t="shared" si="0"/>
        <v>195937.5</v>
      </c>
      <c r="R4" s="34">
        <v>3</v>
      </c>
      <c r="S4" s="24" t="s">
        <v>2148</v>
      </c>
      <c r="T4" s="24" t="s">
        <v>61</v>
      </c>
      <c r="U4" s="24" t="s">
        <v>62</v>
      </c>
      <c r="V4" s="34">
        <v>9380975626</v>
      </c>
      <c r="W4" s="24" t="str">
        <f>VLOOKUP(C4,Product_Master!A:F,4,FALSE)</f>
        <v>TechHub</v>
      </c>
      <c r="X4" s="34">
        <f>VLOOKUP(C4,Product_Master!A:F,6,FALSE)</f>
        <v>12</v>
      </c>
      <c r="Y4" s="24" t="str">
        <f>VLOOKUP(B4,Custumer_Master!A:D,3,FALSE)</f>
        <v>Silver</v>
      </c>
      <c r="Z4" s="30">
        <f>EDATE(E4,X4)</f>
        <v>46279</v>
      </c>
      <c r="AA4" s="29" t="str">
        <f>VLOOKUP(B4,Custumer_Master!A:K,11,)</f>
        <v>September</v>
      </c>
      <c r="AB4" s="24" t="s">
        <v>2112</v>
      </c>
      <c r="AC4" s="138" t="str">
        <f>PROPER(LEFT(TRIM(F4), 3)) &amp; RIGHT(TRIM(B4), 3) &amp; PROPER(LEFT(TRIM(I4), 2))</f>
        <v>Poo010Be</v>
      </c>
      <c r="AD4" s="154">
        <f t="shared" ca="1" si="1"/>
        <v>31</v>
      </c>
      <c r="AE4" s="154">
        <f>IFERROR(IF(OR(E4="", D4="", LOWER(TRIM(E4))="pending", LOWER(TRIM(D4))="pending"), "Pending", E4 - D4), "Pending")</f>
        <v>11</v>
      </c>
      <c r="AF4" s="138" t="str">
        <f>IFERROR(IF(OR(E4="", D4="","Pending","Pending"), "Pending", IF((E4 - D4) &lt;= 5, "On Time", "Delayed")), "Pending")</f>
        <v>Delayed</v>
      </c>
      <c r="AG4" s="24" t="str">
        <f t="shared" si="2"/>
        <v>Completed</v>
      </c>
    </row>
    <row r="5" spans="1:33">
      <c r="A5" s="24" t="s">
        <v>2129</v>
      </c>
      <c r="B5" s="24" t="s">
        <v>23</v>
      </c>
      <c r="C5" s="24" t="s">
        <v>24</v>
      </c>
      <c r="D5" s="30">
        <v>46102</v>
      </c>
      <c r="E5" s="30" t="s">
        <v>66</v>
      </c>
      <c r="F5" s="24" t="str">
        <f>VLOOKUP(B5,Custumer_Master!A:D,2,FALSE)</f>
        <v>Kavya Nair</v>
      </c>
      <c r="G5" s="24" t="str">
        <f>VLOOKUP($B5,Custumer_Master!$A:$J,6,FALSE)</f>
        <v>Female</v>
      </c>
      <c r="H5" s="30" t="str">
        <f>VLOOKUP($B5,Custumer_Master!$A:$J,7,FALSE)</f>
        <v>01/08/1976</v>
      </c>
      <c r="I5" s="24" t="str">
        <f>VLOOKUP($B5,Custumer_Master!$A:$J,9,FALSE)</f>
        <v>Hyderabad</v>
      </c>
      <c r="J5" s="24" t="str">
        <f>VLOOKUP($B5,Custumer_Master!$A:$J,10,FALSE)</f>
        <v>South</v>
      </c>
      <c r="K5" s="24" t="str">
        <f>VLOOKUP(B5,Custumer_Master!A:D,4,FALSE)</f>
        <v>WB</v>
      </c>
      <c r="L5" s="24" t="str">
        <f>PROPER(TRIM(VLOOKUP('Final Data'!C5,Product_Master!A:F,3,FALSE)))</f>
        <v>Home Appliances</v>
      </c>
      <c r="M5" s="24" t="s">
        <v>33</v>
      </c>
      <c r="N5" s="34">
        <v>5</v>
      </c>
      <c r="O5" s="192">
        <f>VLOOKUP(C5,Product_Master!A:F,5,FALSE)</f>
        <v>1650</v>
      </c>
      <c r="P5" s="33">
        <v>0.05</v>
      </c>
      <c r="Q5" s="34">
        <f t="shared" si="0"/>
        <v>7837.5</v>
      </c>
      <c r="R5" s="34">
        <v>5</v>
      </c>
      <c r="S5" s="24" t="s">
        <v>2148</v>
      </c>
      <c r="T5" s="24" t="s">
        <v>61</v>
      </c>
      <c r="U5" s="24" t="s">
        <v>50</v>
      </c>
      <c r="V5" s="34">
        <v>9600261125</v>
      </c>
      <c r="W5" s="24" t="str">
        <f>VLOOKUP(C5,Product_Master!A:F,4,FALSE)</f>
        <v>Global Trade</v>
      </c>
      <c r="X5" s="34">
        <f>VLOOKUP(C5,Product_Master!A:F,6,FALSE)</f>
        <v>24</v>
      </c>
      <c r="Y5" s="24" t="str">
        <f>VLOOKUP(B5,Custumer_Master!A:D,3,FALSE)</f>
        <v>Silver</v>
      </c>
      <c r="Z5" s="30">
        <f>EDATE(E5,X5)</f>
        <v>46845</v>
      </c>
      <c r="AA5" s="29" t="str">
        <f>VLOOKUP(B5,Custumer_Master!A:K,11,)</f>
        <v>August</v>
      </c>
      <c r="AB5" s="24" t="s">
        <v>2108</v>
      </c>
      <c r="AC5" s="138" t="str">
        <f>PROPER(LEFT(TRIM(F5), 3)) &amp; RIGHT(TRIM(B5), 3) &amp; PROPER(LEFT(TRIM(I5), 2))</f>
        <v>Kav008Hy</v>
      </c>
      <c r="AD5" s="154">
        <f t="shared" ca="1" si="1"/>
        <v>49</v>
      </c>
      <c r="AE5" s="154">
        <f>IFERROR(IF(OR(E5="", D5="", LOWER(TRIM(E5))="pending", LOWER(TRIM(D5))="pending"), "Pending", E5 - D5), "Pending")</f>
        <v>12</v>
      </c>
      <c r="AF5" s="138" t="str">
        <f>IFERROR(IF(OR(E5="", D5="","Pending","Pending"), "Pending", IF((E5 - D5) &lt;= 5, "On Time", "Delayed")), "Pending")</f>
        <v>Delayed</v>
      </c>
      <c r="AG5" s="24" t="str">
        <f t="shared" si="2"/>
        <v>Completed</v>
      </c>
    </row>
    <row r="6" spans="1:33">
      <c r="A6" s="24" t="s">
        <v>70</v>
      </c>
      <c r="B6" s="24" t="s">
        <v>71</v>
      </c>
      <c r="C6" s="24" t="s">
        <v>72</v>
      </c>
      <c r="D6" s="30">
        <v>45927</v>
      </c>
      <c r="E6" s="30" t="s">
        <v>74</v>
      </c>
      <c r="F6" s="24" t="str">
        <f>VLOOKUP(B6,Custumer_Master!A:D,2,FALSE)</f>
        <v>Mohit Verma</v>
      </c>
      <c r="G6" s="24" t="str">
        <f>VLOOKUP($B6,Custumer_Master!$A:$J,6,FALSE)</f>
        <v>Male</v>
      </c>
      <c r="H6" s="30" t="str">
        <f>VLOOKUP($B6,Custumer_Master!$A:$J,7,FALSE)</f>
        <v>13/04/1976</v>
      </c>
      <c r="I6" s="24" t="str">
        <f>VLOOKUP($B6,Custumer_Master!$A:$J,9,FALSE)</f>
        <v>Delhi</v>
      </c>
      <c r="J6" s="24" t="str">
        <f>VLOOKUP($B6,Custumer_Master!$A:$J,10,FALSE)</f>
        <v>North</v>
      </c>
      <c r="K6" s="24" t="str">
        <f>VLOOKUP(B6,Custumer_Master!A:D,4,FALSE)</f>
        <v>KA</v>
      </c>
      <c r="L6" s="24" t="str">
        <f>PROPER(TRIM(VLOOKUP('Final Data'!C6,Product_Master!A:F,3,FALSE)))</f>
        <v>Electronics</v>
      </c>
      <c r="M6" s="24" t="s">
        <v>78</v>
      </c>
      <c r="N6" s="34">
        <v>8</v>
      </c>
      <c r="O6" s="192">
        <f>VLOOKUP(C6,Product_Master!A:F,5,FALSE)</f>
        <v>900</v>
      </c>
      <c r="P6" s="33">
        <v>0.05</v>
      </c>
      <c r="Q6" s="34">
        <f t="shared" si="0"/>
        <v>6840</v>
      </c>
      <c r="R6" s="34">
        <v>2</v>
      </c>
      <c r="S6" s="24" t="s">
        <v>79</v>
      </c>
      <c r="T6" s="24" t="s">
        <v>61</v>
      </c>
      <c r="U6" s="24" t="s">
        <v>80</v>
      </c>
      <c r="V6" s="34">
        <v>9724635978</v>
      </c>
      <c r="W6" s="24" t="str">
        <f>VLOOKUP(C6,Product_Master!A:F,4,FALSE)</f>
        <v>TechHub</v>
      </c>
      <c r="X6" s="34">
        <f>VLOOKUP(C6,Product_Master!A:F,6,FALSE)</f>
        <v>6</v>
      </c>
      <c r="Y6" s="24" t="str">
        <f>VLOOKUP(B6,Custumer_Master!A:D,3,FALSE)</f>
        <v>Platinum</v>
      </c>
      <c r="Z6" s="30">
        <f>EDATE(E6,X6)</f>
        <v>46119</v>
      </c>
      <c r="AA6" s="29" t="str">
        <f>VLOOKUP(B6,Custumer_Master!A:K,11,)</f>
        <v>April</v>
      </c>
      <c r="AB6" s="24" t="s">
        <v>2160</v>
      </c>
      <c r="AC6" s="138" t="str">
        <f>PROPER(LEFT(TRIM(F6), 3)) &amp; RIGHT(TRIM(B6), 3) &amp; PROPER(LEFT(TRIM(I6), 2))</f>
        <v>Moh009De</v>
      </c>
      <c r="AD6" s="154">
        <f t="shared" ca="1" si="1"/>
        <v>50</v>
      </c>
      <c r="AE6" s="154">
        <f>IFERROR(IF(OR(E6="", D6="", LOWER(TRIM(E6))="pending", LOWER(TRIM(D6))="pending"), "Pending", E6 - D6), "Pending")</f>
        <v>10</v>
      </c>
      <c r="AF6" s="138" t="str">
        <f>IFERROR(IF(OR(E6="", D6="","Pending","Pending"), "Pending", IF((E6 - D6) &lt;= 5, "On Time", "Delayed")), "Pending")</f>
        <v>Delayed</v>
      </c>
      <c r="AG6" s="24" t="str">
        <f t="shared" si="2"/>
        <v>Completed</v>
      </c>
    </row>
    <row r="7" spans="1:33">
      <c r="A7" s="24" t="s">
        <v>82</v>
      </c>
      <c r="B7" s="24" t="s">
        <v>83</v>
      </c>
      <c r="C7" s="24" t="s">
        <v>24</v>
      </c>
      <c r="D7" s="30">
        <v>46026</v>
      </c>
      <c r="E7" s="30" t="s">
        <v>85</v>
      </c>
      <c r="F7" s="24" t="str">
        <f>VLOOKUP(B7,Custumer_Master!A:D,2,FALSE)</f>
        <v>Arjun Rao</v>
      </c>
      <c r="G7" s="24" t="str">
        <f>VLOOKUP($B7,Custumer_Master!$A:$J,6,FALSE)</f>
        <v>Male</v>
      </c>
      <c r="H7" s="30" t="str">
        <f>VLOOKUP($B7,Custumer_Master!$A:$J,7,FALSE)</f>
        <v>07/02/1988</v>
      </c>
      <c r="I7" s="24" t="str">
        <f>VLOOKUP($B7,Custumer_Master!$A:$J,9,FALSE)</f>
        <v>Hyderabad</v>
      </c>
      <c r="J7" s="24" t="str">
        <f>VLOOKUP($B7,Custumer_Master!$A:$J,10,FALSE)</f>
        <v>South</v>
      </c>
      <c r="K7" s="24" t="str">
        <f>VLOOKUP(B7,Custumer_Master!A:D,4,FALSE)</f>
        <v>RJ</v>
      </c>
      <c r="L7" s="24" t="str">
        <f>PROPER(TRIM(VLOOKUP('Final Data'!C7,Product_Master!A:F,3,FALSE)))</f>
        <v>Home Appliances</v>
      </c>
      <c r="M7" s="24" t="s">
        <v>33</v>
      </c>
      <c r="N7" s="34">
        <v>4</v>
      </c>
      <c r="O7" s="192">
        <f>VLOOKUP(C7,Product_Master!A:F,5,FALSE)</f>
        <v>1650</v>
      </c>
      <c r="P7" s="33">
        <v>0</v>
      </c>
      <c r="Q7" s="34">
        <f t="shared" si="0"/>
        <v>6600</v>
      </c>
      <c r="R7" s="34">
        <v>1</v>
      </c>
      <c r="S7" s="24" t="s">
        <v>2149</v>
      </c>
      <c r="T7" s="24" t="s">
        <v>35</v>
      </c>
      <c r="U7" s="24" t="s">
        <v>89</v>
      </c>
      <c r="V7" s="34">
        <v>9780584905</v>
      </c>
      <c r="W7" s="24" t="str">
        <f>VLOOKUP(C7,Product_Master!A:F,4,FALSE)</f>
        <v>Global Trade</v>
      </c>
      <c r="X7" s="34">
        <f>VLOOKUP(C7,Product_Master!A:F,6,FALSE)</f>
        <v>24</v>
      </c>
      <c r="Y7" s="24" t="str">
        <f>VLOOKUP(B7,Custumer_Master!A:D,3,FALSE)</f>
        <v>Silver</v>
      </c>
      <c r="Z7" s="30">
        <f>EDATE(E7,X7)</f>
        <v>46764</v>
      </c>
      <c r="AA7" s="29" t="str">
        <f>VLOOKUP(B7,Custumer_Master!A:K,11,)</f>
        <v>February</v>
      </c>
      <c r="AB7" s="24" t="s">
        <v>2160</v>
      </c>
      <c r="AC7" s="138" t="str">
        <f>PROPER(LEFT(TRIM(F7), 3)) &amp; RIGHT(TRIM(B7), 3) &amp; PROPER(LEFT(TRIM(I7), 2))</f>
        <v>Arj007Hy</v>
      </c>
      <c r="AD7" s="154">
        <f t="shared" ca="1" si="1"/>
        <v>38</v>
      </c>
      <c r="AE7" s="154">
        <f>IFERROR(IF(OR(E7="", D7="", LOWER(TRIM(E7))="pending", LOWER(TRIM(D7))="pending"), "Pending", E7 - D7), "Pending")</f>
        <v>8</v>
      </c>
      <c r="AF7" s="138" t="str">
        <f>IFERROR(IF(OR(E7="", D7="","Pending","Pending"), "Pending", IF((E7 - D7) &lt;= 5, "On Time", "Delayed")), "Pending")</f>
        <v>Delayed</v>
      </c>
      <c r="AG7" s="24" t="str">
        <f t="shared" si="2"/>
        <v>Completed</v>
      </c>
    </row>
    <row r="8" spans="1:33">
      <c r="A8" s="24" t="s">
        <v>91</v>
      </c>
      <c r="B8" s="24" t="s">
        <v>23</v>
      </c>
      <c r="C8" s="24" t="s">
        <v>92</v>
      </c>
      <c r="D8" s="30" t="s">
        <v>93</v>
      </c>
      <c r="E8" s="30" t="s">
        <v>94</v>
      </c>
      <c r="F8" s="24" t="str">
        <f>VLOOKUP(B8,Custumer_Master!A:D,2,FALSE)</f>
        <v>Kavya Nair</v>
      </c>
      <c r="G8" s="24" t="str">
        <f>VLOOKUP($B8,Custumer_Master!$A:$J,6,FALSE)</f>
        <v>Female</v>
      </c>
      <c r="H8" s="30" t="str">
        <f>VLOOKUP($B8,Custumer_Master!$A:$J,7,FALSE)</f>
        <v>01/08/1976</v>
      </c>
      <c r="I8" s="24" t="str">
        <f>VLOOKUP($B8,Custumer_Master!$A:$J,9,FALSE)</f>
        <v>Hyderabad</v>
      </c>
      <c r="J8" s="24" t="str">
        <f>VLOOKUP($B8,Custumer_Master!$A:$J,10,FALSE)</f>
        <v>South</v>
      </c>
      <c r="K8" s="24" t="str">
        <f>VLOOKUP(B8,Custumer_Master!A:D,4,FALSE)</f>
        <v>WB</v>
      </c>
      <c r="L8" s="24" t="str">
        <f>PROPER(TRIM(VLOOKUP('Final Data'!C8,Product_Master!A:F,3,FALSE)))</f>
        <v>Home Appliances</v>
      </c>
      <c r="M8" s="24" t="s">
        <v>97</v>
      </c>
      <c r="N8" s="34">
        <v>2</v>
      </c>
      <c r="O8" s="192">
        <f>VLOOKUP(C8,Product_Master!A:F,5,FALSE)</f>
        <v>2625</v>
      </c>
      <c r="P8" s="33">
        <v>0.05</v>
      </c>
      <c r="Q8" s="34">
        <f t="shared" si="0"/>
        <v>4987.5</v>
      </c>
      <c r="R8" s="34">
        <v>1</v>
      </c>
      <c r="S8" s="24" t="s">
        <v>2149</v>
      </c>
      <c r="T8" s="24" t="s">
        <v>35</v>
      </c>
      <c r="U8" s="24" t="s">
        <v>50</v>
      </c>
      <c r="V8" s="34">
        <v>9958252176</v>
      </c>
      <c r="W8" s="24" t="str">
        <f>VLOOKUP(C8,Product_Master!A:F,4,FALSE)</f>
        <v>Global Trade</v>
      </c>
      <c r="X8" s="34">
        <f>VLOOKUP(C8,Product_Master!A:F,6,FALSE)</f>
        <v>6</v>
      </c>
      <c r="Y8" s="24" t="str">
        <f>VLOOKUP(B8,Custumer_Master!A:D,3,FALSE)</f>
        <v>Silver</v>
      </c>
      <c r="Z8" s="30">
        <f>EDATE(E8,X8)</f>
        <v>46259</v>
      </c>
      <c r="AA8" s="29" t="str">
        <f>VLOOKUP(B8,Custumer_Master!A:K,11,)</f>
        <v>August</v>
      </c>
      <c r="AB8" s="24" t="s">
        <v>2160</v>
      </c>
      <c r="AC8" s="138" t="str">
        <f>PROPER(LEFT(TRIM(F8), 3)) &amp; RIGHT(TRIM(B8), 3) &amp; PROPER(LEFT(TRIM(I8), 2))</f>
        <v>Kav008Hy</v>
      </c>
      <c r="AD8" s="154">
        <f t="shared" ca="1" si="1"/>
        <v>49</v>
      </c>
      <c r="AE8" s="154" t="str">
        <f>IFERROR(IF(OR(E8="", D8="", LOWER(TRIM(E8))="pending", LOWER(TRIM(D8))="pending"), "Pending", E8 - D8), "Pending")</f>
        <v>Pending</v>
      </c>
      <c r="AF8" s="138" t="str">
        <f>IFERROR(IF(OR(E8="", D8="","Pending","Pending"), "Pending", IF((E8 - D8) &lt;= 5, "On Time", "Delayed")), "Pending")</f>
        <v>Pending</v>
      </c>
      <c r="AG8" s="24" t="str">
        <f t="shared" si="2"/>
        <v>Pending</v>
      </c>
    </row>
    <row r="9" spans="1:33">
      <c r="A9" s="24" t="s">
        <v>99</v>
      </c>
      <c r="B9" s="24" t="s">
        <v>100</v>
      </c>
      <c r="C9" s="24" t="s">
        <v>40</v>
      </c>
      <c r="D9" s="30">
        <v>45760</v>
      </c>
      <c r="E9" s="30" t="s">
        <v>102</v>
      </c>
      <c r="F9" s="24" t="str">
        <f>VLOOKUP(B9,Custumer_Master!A:D,2,FALSE)</f>
        <v>Priya Patel</v>
      </c>
      <c r="G9" s="24" t="str">
        <f>VLOOKUP($B9,Custumer_Master!$A:$J,6,FALSE)</f>
        <v>Female</v>
      </c>
      <c r="H9" s="30" t="str">
        <f>VLOOKUP($B9,Custumer_Master!$A:$J,7,FALSE)</f>
        <v>07/03/1995</v>
      </c>
      <c r="I9" s="24" t="str">
        <f>VLOOKUP($B9,Custumer_Master!$A:$J,9,FALSE)</f>
        <v>Mumbai</v>
      </c>
      <c r="J9" s="24" t="str">
        <f>VLOOKUP($B9,Custumer_Master!$A:$J,10,FALSE)</f>
        <v>West</v>
      </c>
      <c r="K9" s="24" t="str">
        <f>VLOOKUP(B9,Custumer_Master!A:D,4,FALSE)</f>
        <v>WB</v>
      </c>
      <c r="L9" s="24" t="str">
        <f>PROPER(TRIM(VLOOKUP('Final Data'!C9,Product_Master!A:F,3,FALSE)))</f>
        <v>Electronics</v>
      </c>
      <c r="M9" s="24" t="s">
        <v>47</v>
      </c>
      <c r="N9" s="34">
        <v>14</v>
      </c>
      <c r="O9" s="192">
        <f>VLOOKUP(C9,Product_Master!A:F,5,FALSE)</f>
        <v>9000</v>
      </c>
      <c r="P9" s="33">
        <v>0.15</v>
      </c>
      <c r="Q9" s="34">
        <f t="shared" si="0"/>
        <v>107100</v>
      </c>
      <c r="R9" s="34">
        <v>4</v>
      </c>
      <c r="S9" s="24" t="s">
        <v>2148</v>
      </c>
      <c r="T9" s="24" t="s">
        <v>35</v>
      </c>
      <c r="U9" s="24" t="s">
        <v>144</v>
      </c>
      <c r="V9" s="34">
        <v>9705521654</v>
      </c>
      <c r="W9" s="24" t="str">
        <f>VLOOKUP(C9,Product_Master!A:F,4,FALSE)</f>
        <v>Global Trade</v>
      </c>
      <c r="X9" s="34">
        <f>VLOOKUP(C9,Product_Master!A:F,6,FALSE)</f>
        <v>24</v>
      </c>
      <c r="Y9" s="24" t="str">
        <f>VLOOKUP(B9,Custumer_Master!A:D,3,FALSE)</f>
        <v>Platinum</v>
      </c>
      <c r="Z9" s="30">
        <f>EDATE(E9,X9)</f>
        <v>46496</v>
      </c>
      <c r="AA9" s="29" t="str">
        <f>VLOOKUP(B9,Custumer_Master!A:K,11,)</f>
        <v>March</v>
      </c>
      <c r="AB9" s="24" t="s">
        <v>2112</v>
      </c>
      <c r="AC9" s="138" t="str">
        <f>PROPER(LEFT(TRIM(F9), 3)) &amp; RIGHT(TRIM(B9), 3) &amp; PROPER(LEFT(TRIM(I9), 2))</f>
        <v>Pri002Mu</v>
      </c>
      <c r="AD9" s="154">
        <f t="shared" ca="1" si="1"/>
        <v>31</v>
      </c>
      <c r="AE9" s="154">
        <f>IFERROR(IF(OR(E9="", D9="", LOWER(TRIM(E9))="pending", LOWER(TRIM(D9))="pending"), "Pending", E9 - D9), "Pending")</f>
        <v>6</v>
      </c>
      <c r="AF9" s="138" t="str">
        <f>IFERROR(IF(OR(E9="", D9="","Pending","Pending"), "Pending", IF((E9 - D9) &lt;= 5, "On Time", "Delayed")), "Pending")</f>
        <v>Delayed</v>
      </c>
      <c r="AG9" s="24" t="str">
        <f t="shared" si="2"/>
        <v>Completed</v>
      </c>
    </row>
    <row r="10" spans="1:33">
      <c r="A10" s="24" t="s">
        <v>109</v>
      </c>
      <c r="B10" s="24" t="s">
        <v>23</v>
      </c>
      <c r="C10" s="24" t="s">
        <v>40</v>
      </c>
      <c r="D10" s="30">
        <v>46053</v>
      </c>
      <c r="E10" s="30" t="s">
        <v>111</v>
      </c>
      <c r="F10" s="24" t="str">
        <f>VLOOKUP(B10,Custumer_Master!A:D,2,FALSE)</f>
        <v>Kavya Nair</v>
      </c>
      <c r="G10" s="24" t="str">
        <f>VLOOKUP($B10,Custumer_Master!$A:$J,6,FALSE)</f>
        <v>Female</v>
      </c>
      <c r="H10" s="30" t="str">
        <f>VLOOKUP($B10,Custumer_Master!$A:$J,7,FALSE)</f>
        <v>01/08/1976</v>
      </c>
      <c r="I10" s="24" t="str">
        <f>VLOOKUP($B10,Custumer_Master!$A:$J,9,FALSE)</f>
        <v>Hyderabad</v>
      </c>
      <c r="J10" s="24" t="str">
        <f>VLOOKUP($B10,Custumer_Master!$A:$J,10,FALSE)</f>
        <v>South</v>
      </c>
      <c r="K10" s="24" t="str">
        <f>VLOOKUP(B10,Custumer_Master!A:D,4,FALSE)</f>
        <v>WB</v>
      </c>
      <c r="L10" s="24" t="str">
        <f>PROPER(TRIM(VLOOKUP('Final Data'!C10,Product_Master!A:F,3,FALSE)))</f>
        <v>Electronics</v>
      </c>
      <c r="M10" s="24" t="s">
        <v>47</v>
      </c>
      <c r="N10" s="34">
        <v>4</v>
      </c>
      <c r="O10" s="192">
        <f>VLOOKUP(C10,Product_Master!A:F,5,FALSE)</f>
        <v>9000</v>
      </c>
      <c r="P10" s="33">
        <v>0.15</v>
      </c>
      <c r="Q10" s="34">
        <f t="shared" si="0"/>
        <v>30600</v>
      </c>
      <c r="R10" s="34">
        <v>4</v>
      </c>
      <c r="S10" s="24" t="s">
        <v>2149</v>
      </c>
      <c r="T10" s="24" t="s">
        <v>115</v>
      </c>
      <c r="U10" s="24" t="s">
        <v>50</v>
      </c>
      <c r="V10" s="34">
        <v>9588041011</v>
      </c>
      <c r="W10" s="24" t="str">
        <f>VLOOKUP(C10,Product_Master!A:F,4,FALSE)</f>
        <v>Global Trade</v>
      </c>
      <c r="X10" s="34">
        <f>VLOOKUP(C10,Product_Master!A:F,6,FALSE)</f>
        <v>24</v>
      </c>
      <c r="Y10" s="24" t="str">
        <f>VLOOKUP(B10,Custumer_Master!A:D,3,FALSE)</f>
        <v>Silver</v>
      </c>
      <c r="Z10" s="30">
        <f>EDATE(E10,X10)</f>
        <v>46785</v>
      </c>
      <c r="AA10" s="29" t="str">
        <f>VLOOKUP(B10,Custumer_Master!A:K,11,)</f>
        <v>August</v>
      </c>
      <c r="AB10" s="24" t="s">
        <v>2108</v>
      </c>
      <c r="AC10" s="138" t="str">
        <f>PROPER(LEFT(TRIM(F10), 3)) &amp; RIGHT(TRIM(B10), 3) &amp; PROPER(LEFT(TRIM(I10), 2))</f>
        <v>Kav008Hy</v>
      </c>
      <c r="AD10" s="154">
        <f t="shared" ca="1" si="1"/>
        <v>49</v>
      </c>
      <c r="AE10" s="154">
        <f>IFERROR(IF(OR(E10="", D10="", LOWER(TRIM(E10))="pending", LOWER(TRIM(D10))="pending"), "Pending", E10 - D10), "Pending")</f>
        <v>2</v>
      </c>
      <c r="AF10" s="138" t="str">
        <f>IFERROR(IF(OR(E10="", D10="","Pending","Pending"), "Pending", IF((E10 - D10) &lt;= 5, "On Time", "Delayed")), "Pending")</f>
        <v>On Time</v>
      </c>
      <c r="AG10" s="24" t="str">
        <f t="shared" si="2"/>
        <v>Completed</v>
      </c>
    </row>
    <row r="11" spans="1:33">
      <c r="A11" s="24" t="s">
        <v>117</v>
      </c>
      <c r="B11" s="24" t="s">
        <v>100</v>
      </c>
      <c r="C11" s="24" t="s">
        <v>118</v>
      </c>
      <c r="D11" s="30">
        <v>45741</v>
      </c>
      <c r="E11" s="30" t="s">
        <v>120</v>
      </c>
      <c r="F11" s="24" t="str">
        <f>VLOOKUP(B11,Custumer_Master!A:D,2,FALSE)</f>
        <v>Priya Patel</v>
      </c>
      <c r="G11" s="24" t="str">
        <f>VLOOKUP($B11,Custumer_Master!$A:$J,6,FALSE)</f>
        <v>Female</v>
      </c>
      <c r="H11" s="30" t="str">
        <f>VLOOKUP($B11,Custumer_Master!$A:$J,7,FALSE)</f>
        <v>07/03/1995</v>
      </c>
      <c r="I11" s="24" t="str">
        <f>VLOOKUP($B11,Custumer_Master!$A:$J,9,FALSE)</f>
        <v>Mumbai</v>
      </c>
      <c r="J11" s="24" t="str">
        <f>VLOOKUP($B11,Custumer_Master!$A:$J,10,FALSE)</f>
        <v>West</v>
      </c>
      <c r="K11" s="24" t="str">
        <f>VLOOKUP(B11,Custumer_Master!A:D,4,FALSE)</f>
        <v>WB</v>
      </c>
      <c r="L11" s="24" t="str">
        <f>PROPER(TRIM(VLOOKUP('Final Data'!C11,Product_Master!A:F,3,FALSE)))</f>
        <v>Stationery</v>
      </c>
      <c r="M11" s="24" t="s">
        <v>123</v>
      </c>
      <c r="N11" s="34">
        <v>6</v>
      </c>
      <c r="O11" s="192">
        <f>VLOOKUP(C11,Product_Master!A:F,5,FALSE)</f>
        <v>45</v>
      </c>
      <c r="P11" s="33">
        <v>0</v>
      </c>
      <c r="Q11" s="34">
        <f t="shared" si="0"/>
        <v>270</v>
      </c>
      <c r="R11" s="34">
        <v>4</v>
      </c>
      <c r="S11" s="24" t="s">
        <v>79</v>
      </c>
      <c r="T11" s="24" t="s">
        <v>115</v>
      </c>
      <c r="U11" s="24" t="s">
        <v>144</v>
      </c>
      <c r="V11" s="34">
        <v>9340540608</v>
      </c>
      <c r="W11" s="24" t="str">
        <f>VLOOKUP(C11,Product_Master!A:F,4,FALSE)</f>
        <v>ABC Corp</v>
      </c>
      <c r="X11" s="34">
        <f>VLOOKUP(C11,Product_Master!A:F,6,FALSE)</f>
        <v>12</v>
      </c>
      <c r="Y11" s="24" t="str">
        <f>VLOOKUP(B11,Custumer_Master!A:D,3,FALSE)</f>
        <v>Platinum</v>
      </c>
      <c r="Z11" s="30">
        <f>EDATE(E11,X11)</f>
        <v>46108</v>
      </c>
      <c r="AA11" s="29" t="str">
        <f>VLOOKUP(B11,Custumer_Master!A:K,11,)</f>
        <v>March</v>
      </c>
      <c r="AB11" s="24" t="s">
        <v>2108</v>
      </c>
      <c r="AC11" s="138" t="str">
        <f>PROPER(LEFT(TRIM(F11), 3)) &amp; RIGHT(TRIM(B11), 3) &amp; PROPER(LEFT(TRIM(I11), 2))</f>
        <v>Pri002Mu</v>
      </c>
      <c r="AD11" s="154">
        <f t="shared" ca="1" si="1"/>
        <v>31</v>
      </c>
      <c r="AE11" s="154">
        <f>IFERROR(IF(OR(E11="", D11="", LOWER(TRIM(E11))="pending", LOWER(TRIM(D11))="pending"), "Pending", E11 - D11), "Pending")</f>
        <v>2</v>
      </c>
      <c r="AF11" s="138" t="str">
        <f>IFERROR(IF(OR(E11="", D11="","Pending","Pending"), "Pending", IF((E11 - D11) &lt;= 5, "On Time", "Delayed")), "Pending")</f>
        <v>On Time</v>
      </c>
      <c r="AG11" s="24" t="str">
        <f t="shared" si="2"/>
        <v>Completed</v>
      </c>
    </row>
    <row r="12" spans="1:33">
      <c r="A12" s="24" t="s">
        <v>126</v>
      </c>
      <c r="B12" s="24" t="s">
        <v>127</v>
      </c>
      <c r="C12" s="24" t="s">
        <v>24</v>
      </c>
      <c r="D12" s="30">
        <v>45919</v>
      </c>
      <c r="E12" s="30" t="s">
        <v>129</v>
      </c>
      <c r="F12" s="24" t="str">
        <f>VLOOKUP(B12,Custumer_Master!A:D,2,FALSE)</f>
        <v>Rohit Singh</v>
      </c>
      <c r="G12" s="24" t="str">
        <f>VLOOKUP($B12,Custumer_Master!$A:$J,6,FALSE)</f>
        <v>Male</v>
      </c>
      <c r="H12" s="30" t="str">
        <f>VLOOKUP($B12,Custumer_Master!$A:$J,7,FALSE)</f>
        <v>10/05/1982</v>
      </c>
      <c r="I12" s="24" t="str">
        <f>VLOOKUP($B12,Custumer_Master!$A:$J,9,FALSE)</f>
        <v>Delhi</v>
      </c>
      <c r="J12" s="24" t="str">
        <f>VLOOKUP($B12,Custumer_Master!$A:$J,10,FALSE)</f>
        <v>North</v>
      </c>
      <c r="K12" s="24" t="str">
        <f>VLOOKUP(B12,Custumer_Master!A:D,4,FALSE)</f>
        <v>DL</v>
      </c>
      <c r="L12" s="24" t="str">
        <f>PROPER(TRIM(VLOOKUP('Final Data'!C12,Product_Master!A:F,3,FALSE)))</f>
        <v>Home Appliances</v>
      </c>
      <c r="M12" s="24" t="s">
        <v>33</v>
      </c>
      <c r="N12" s="34">
        <v>3</v>
      </c>
      <c r="O12" s="192">
        <f>VLOOKUP(C12,Product_Master!A:F,5,FALSE)</f>
        <v>1650</v>
      </c>
      <c r="P12" s="33">
        <v>0</v>
      </c>
      <c r="Q12" s="34">
        <f t="shared" si="0"/>
        <v>4950</v>
      </c>
      <c r="R12" s="34">
        <v>2</v>
      </c>
      <c r="S12" s="24" t="s">
        <v>79</v>
      </c>
      <c r="T12" s="24" t="s">
        <v>49</v>
      </c>
      <c r="U12" s="24" t="s">
        <v>132</v>
      </c>
      <c r="V12" s="34">
        <v>9521710321</v>
      </c>
      <c r="W12" s="24" t="str">
        <f>VLOOKUP(C12,Product_Master!A:F,4,FALSE)</f>
        <v>Global Trade</v>
      </c>
      <c r="X12" s="34">
        <f>VLOOKUP(C12,Product_Master!A:F,6,FALSE)</f>
        <v>24</v>
      </c>
      <c r="Y12" s="24" t="str">
        <f>VLOOKUP(B12,Custumer_Master!A:D,3,FALSE)</f>
        <v>Gold</v>
      </c>
      <c r="Z12" s="30">
        <f>EDATE(E12,X12)</f>
        <v>46653</v>
      </c>
      <c r="AA12" s="29" t="str">
        <f>VLOOKUP(B12,Custumer_Master!A:K,11,)</f>
        <v>May</v>
      </c>
      <c r="AB12" s="24" t="s">
        <v>2160</v>
      </c>
      <c r="AC12" s="138" t="str">
        <f>PROPER(LEFT(TRIM(F12), 3)) &amp; RIGHT(TRIM(B12), 3) &amp; PROPER(LEFT(TRIM(I12), 2))</f>
        <v>Roh003De</v>
      </c>
      <c r="AD12" s="154">
        <f t="shared" ca="1" si="1"/>
        <v>44</v>
      </c>
      <c r="AE12" s="154">
        <f>IFERROR(IF(OR(E12="", D12="", LOWER(TRIM(E12))="pending", LOWER(TRIM(D12))="pending"), "Pending", E12 - D12), "Pending")</f>
        <v>4</v>
      </c>
      <c r="AF12" s="138" t="str">
        <f>IFERROR(IF(OR(E12="", D12="","Pending","Pending"), "Pending", IF((E12 - D12) &lt;= 5, "On Time", "Delayed")), "Pending")</f>
        <v>On Time</v>
      </c>
      <c r="AG12" s="24" t="str">
        <f t="shared" si="2"/>
        <v>Completed</v>
      </c>
    </row>
    <row r="13" spans="1:33">
      <c r="A13" s="24" t="s">
        <v>134</v>
      </c>
      <c r="B13" s="24" t="s">
        <v>23</v>
      </c>
      <c r="C13" s="24" t="s">
        <v>92</v>
      </c>
      <c r="D13" s="30">
        <v>45724</v>
      </c>
      <c r="E13" s="30" t="s">
        <v>136</v>
      </c>
      <c r="F13" s="24" t="str">
        <f>VLOOKUP(B13,Custumer_Master!A:D,2,FALSE)</f>
        <v>Kavya Nair</v>
      </c>
      <c r="G13" s="24" t="str">
        <f>VLOOKUP($B13,Custumer_Master!$A:$J,6,FALSE)</f>
        <v>Female</v>
      </c>
      <c r="H13" s="30" t="str">
        <f>VLOOKUP($B13,Custumer_Master!$A:$J,7,FALSE)</f>
        <v>01/08/1976</v>
      </c>
      <c r="I13" s="24" t="str">
        <f>VLOOKUP($B13,Custumer_Master!$A:$J,9,FALSE)</f>
        <v>Hyderabad</v>
      </c>
      <c r="J13" s="24" t="str">
        <f>VLOOKUP($B13,Custumer_Master!$A:$J,10,FALSE)</f>
        <v>South</v>
      </c>
      <c r="K13" s="24" t="str">
        <f>VLOOKUP(B13,Custumer_Master!A:D,4,FALSE)</f>
        <v>WB</v>
      </c>
      <c r="L13" s="24" t="str">
        <f>PROPER(TRIM(VLOOKUP('Final Data'!C13,Product_Master!A:F,3,FALSE)))</f>
        <v>Home Appliances</v>
      </c>
      <c r="M13" s="24" t="s">
        <v>97</v>
      </c>
      <c r="N13" s="34">
        <v>10</v>
      </c>
      <c r="O13" s="192">
        <f>VLOOKUP(C13,Product_Master!A:F,5,FALSE)</f>
        <v>2625</v>
      </c>
      <c r="P13" s="33">
        <v>0.05</v>
      </c>
      <c r="Q13" s="34">
        <f t="shared" si="0"/>
        <v>24937.5</v>
      </c>
      <c r="R13" s="34">
        <v>5</v>
      </c>
      <c r="S13" s="24" t="s">
        <v>79</v>
      </c>
      <c r="T13" s="24" t="s">
        <v>61</v>
      </c>
      <c r="U13" s="24" t="s">
        <v>50</v>
      </c>
      <c r="V13" s="34">
        <v>9123535241</v>
      </c>
      <c r="W13" s="24" t="str">
        <f>VLOOKUP(C13,Product_Master!A:F,4,FALSE)</f>
        <v>Global Trade</v>
      </c>
      <c r="X13" s="34">
        <f>VLOOKUP(C13,Product_Master!A:F,6,FALSE)</f>
        <v>6</v>
      </c>
      <c r="Y13" s="24" t="str">
        <f>VLOOKUP(B13,Custumer_Master!A:D,3,FALSE)</f>
        <v>Silver</v>
      </c>
      <c r="Z13" s="30">
        <f>EDATE(E13,X13)</f>
        <v>45915</v>
      </c>
      <c r="AA13" s="29" t="str">
        <f>VLOOKUP(B13,Custumer_Master!A:K,11,)</f>
        <v>August</v>
      </c>
      <c r="AB13" s="24" t="s">
        <v>2108</v>
      </c>
      <c r="AC13" s="138" t="str">
        <f>PROPER(LEFT(TRIM(F13), 3)) &amp; RIGHT(TRIM(B13), 3) &amp; PROPER(LEFT(TRIM(I13), 2))</f>
        <v>Kav008Hy</v>
      </c>
      <c r="AD13" s="154">
        <f t="shared" ca="1" si="1"/>
        <v>49</v>
      </c>
      <c r="AE13" s="154">
        <f>IFERROR(IF(OR(E13="", D13="", LOWER(TRIM(E13))="pending", LOWER(TRIM(D13))="pending"), "Pending", E13 - D13), "Pending")</f>
        <v>7</v>
      </c>
      <c r="AF13" s="138" t="str">
        <f>IFERROR(IF(OR(E13="", D13="","Pending","Pending"), "Pending", IF((E13 - D13) &lt;= 5, "On Time", "Delayed")), "Pending")</f>
        <v>Delayed</v>
      </c>
      <c r="AG13" s="24" t="str">
        <f t="shared" si="2"/>
        <v>Completed</v>
      </c>
    </row>
    <row r="14" spans="1:33">
      <c r="A14" s="24" t="s">
        <v>140</v>
      </c>
      <c r="B14" s="24" t="s">
        <v>100</v>
      </c>
      <c r="C14" s="24" t="s">
        <v>24</v>
      </c>
      <c r="D14" s="30">
        <v>45667</v>
      </c>
      <c r="E14" s="30" t="s">
        <v>142</v>
      </c>
      <c r="F14" s="24" t="str">
        <f>VLOOKUP(B14,Custumer_Master!A:D,2,FALSE)</f>
        <v>Priya Patel</v>
      </c>
      <c r="G14" s="24" t="str">
        <f>VLOOKUP($B14,Custumer_Master!$A:$J,6,FALSE)</f>
        <v>Female</v>
      </c>
      <c r="H14" s="30" t="str">
        <f>VLOOKUP($B14,Custumer_Master!$A:$J,7,FALSE)</f>
        <v>07/03/1995</v>
      </c>
      <c r="I14" s="24" t="str">
        <f>VLOOKUP($B14,Custumer_Master!$A:$J,9,FALSE)</f>
        <v>Mumbai</v>
      </c>
      <c r="J14" s="24" t="str">
        <f>VLOOKUP($B14,Custumer_Master!$A:$J,10,FALSE)</f>
        <v>West</v>
      </c>
      <c r="K14" s="24" t="str">
        <f>VLOOKUP(B14,Custumer_Master!A:D,4,FALSE)</f>
        <v>WB</v>
      </c>
      <c r="L14" s="24" t="str">
        <f>PROPER(TRIM(VLOOKUP('Final Data'!C14,Product_Master!A:F,3,FALSE)))</f>
        <v>Home Appliances</v>
      </c>
      <c r="M14" s="24" t="s">
        <v>33</v>
      </c>
      <c r="N14" s="34">
        <v>15</v>
      </c>
      <c r="O14" s="192">
        <f>VLOOKUP(C14,Product_Master!A:F,5,FALSE)</f>
        <v>1650</v>
      </c>
      <c r="P14" s="33">
        <v>0.1</v>
      </c>
      <c r="Q14" s="34">
        <f t="shared" si="0"/>
        <v>22275</v>
      </c>
      <c r="R14" s="34">
        <v>1</v>
      </c>
      <c r="S14" s="24" t="s">
        <v>2149</v>
      </c>
      <c r="T14" s="24" t="s">
        <v>115</v>
      </c>
      <c r="U14" s="24" t="s">
        <v>144</v>
      </c>
      <c r="V14" s="34">
        <v>9367316892</v>
      </c>
      <c r="W14" s="24" t="str">
        <f>VLOOKUP(C14,Product_Master!A:F,4,FALSE)</f>
        <v>Global Trade</v>
      </c>
      <c r="X14" s="34">
        <f>VLOOKUP(C14,Product_Master!A:F,6,FALSE)</f>
        <v>24</v>
      </c>
      <c r="Y14" s="24" t="str">
        <f>VLOOKUP(B14,Custumer_Master!A:D,3,FALSE)</f>
        <v>Platinum</v>
      </c>
      <c r="Z14" s="30">
        <f>EDATE(E14,X14)</f>
        <v>46402</v>
      </c>
      <c r="AA14" s="29" t="str">
        <f>VLOOKUP(B14,Custumer_Master!A:K,11,)</f>
        <v>March</v>
      </c>
      <c r="AB14" s="24" t="s">
        <v>2160</v>
      </c>
      <c r="AC14" s="138" t="str">
        <f>PROPER(LEFT(TRIM(F14), 3)) &amp; RIGHT(TRIM(B14), 3) &amp; PROPER(LEFT(TRIM(I14), 2))</f>
        <v>Pri002Mu</v>
      </c>
      <c r="AD14" s="154">
        <f t="shared" ca="1" si="1"/>
        <v>31</v>
      </c>
      <c r="AE14" s="154">
        <f>IFERROR(IF(OR(E14="", D14="", LOWER(TRIM(E14))="pending", LOWER(TRIM(D14))="pending"), "Pending", E14 - D14), "Pending")</f>
        <v>5</v>
      </c>
      <c r="AF14" s="138" t="str">
        <f>IFERROR(IF(OR(E14="", D14="","Pending","Pending"), "Pending", IF((E14 - D14) &lt;= 5, "On Time", "Delayed")), "Pending")</f>
        <v>On Time</v>
      </c>
      <c r="AG14" s="24" t="str">
        <f t="shared" si="2"/>
        <v>Completed</v>
      </c>
    </row>
    <row r="15" spans="1:33">
      <c r="A15" s="24" t="s">
        <v>146</v>
      </c>
      <c r="B15" s="24" t="s">
        <v>127</v>
      </c>
      <c r="C15" s="24" t="s">
        <v>24</v>
      </c>
      <c r="D15" s="30">
        <v>45725</v>
      </c>
      <c r="E15" s="30" t="s">
        <v>148</v>
      </c>
      <c r="F15" s="24" t="str">
        <f>VLOOKUP(B15,Custumer_Master!A:D,2,FALSE)</f>
        <v>Rohit Singh</v>
      </c>
      <c r="G15" s="24" t="str">
        <f>VLOOKUP($B15,Custumer_Master!$A:$J,6,FALSE)</f>
        <v>Male</v>
      </c>
      <c r="H15" s="30" t="str">
        <f>VLOOKUP($B15,Custumer_Master!$A:$J,7,FALSE)</f>
        <v>10/05/1982</v>
      </c>
      <c r="I15" s="24" t="str">
        <f>VLOOKUP($B15,Custumer_Master!$A:$J,9,FALSE)</f>
        <v>Delhi</v>
      </c>
      <c r="J15" s="24" t="str">
        <f>VLOOKUP($B15,Custumer_Master!$A:$J,10,FALSE)</f>
        <v>North</v>
      </c>
      <c r="K15" s="24" t="str">
        <f>VLOOKUP(B15,Custumer_Master!A:D,4,FALSE)</f>
        <v>DL</v>
      </c>
      <c r="L15" s="24" t="str">
        <f>PROPER(TRIM(VLOOKUP('Final Data'!C15,Product_Master!A:F,3,FALSE)))</f>
        <v>Home Appliances</v>
      </c>
      <c r="M15" s="24" t="s">
        <v>33</v>
      </c>
      <c r="N15" s="34">
        <v>17</v>
      </c>
      <c r="O15" s="192">
        <f>VLOOKUP(C15,Product_Master!A:F,5,FALSE)</f>
        <v>1650</v>
      </c>
      <c r="P15" s="33">
        <v>0.05</v>
      </c>
      <c r="Q15" s="34">
        <f t="shared" si="0"/>
        <v>26647.5</v>
      </c>
      <c r="R15" s="34">
        <v>1</v>
      </c>
      <c r="S15" s="24" t="s">
        <v>34</v>
      </c>
      <c r="T15" s="24" t="s">
        <v>151</v>
      </c>
      <c r="U15" s="24" t="s">
        <v>132</v>
      </c>
      <c r="V15" s="34">
        <v>9778489803</v>
      </c>
      <c r="W15" s="24" t="str">
        <f>VLOOKUP(C15,Product_Master!A:F,4,FALSE)</f>
        <v>Global Trade</v>
      </c>
      <c r="X15" s="34">
        <f>VLOOKUP(C15,Product_Master!A:F,6,FALSE)</f>
        <v>24</v>
      </c>
      <c r="Y15" s="24" t="str">
        <f>VLOOKUP(B15,Custumer_Master!A:D,3,FALSE)</f>
        <v>Gold</v>
      </c>
      <c r="Z15" s="30">
        <f>EDATE(E15,X15)</f>
        <v>46459</v>
      </c>
      <c r="AA15" s="29" t="str">
        <f>VLOOKUP(B15,Custumer_Master!A:K,11,)</f>
        <v>May</v>
      </c>
      <c r="AB15" s="24" t="s">
        <v>2160</v>
      </c>
      <c r="AC15" s="138" t="str">
        <f>PROPER(LEFT(TRIM(F15), 3)) &amp; RIGHT(TRIM(B15), 3) &amp; PROPER(LEFT(TRIM(I15), 2))</f>
        <v>Roh003De</v>
      </c>
      <c r="AD15" s="154">
        <f t="shared" ca="1" si="1"/>
        <v>44</v>
      </c>
      <c r="AE15" s="154">
        <f>IFERROR(IF(OR(E15="", D15="", LOWER(TRIM(E15))="pending", LOWER(TRIM(D15))="pending"), "Pending", E15 - D15), "Pending")</f>
        <v>4</v>
      </c>
      <c r="AF15" s="138" t="str">
        <f>IFERROR(IF(OR(E15="", D15="","Pending","Pending"), "Pending", IF((E15 - D15) &lt;= 5, "On Time", "Delayed")), "Pending")</f>
        <v>On Time</v>
      </c>
      <c r="AG15" s="24" t="str">
        <f t="shared" si="2"/>
        <v>Completed</v>
      </c>
    </row>
    <row r="16" spans="1:33">
      <c r="A16" s="24" t="s">
        <v>154</v>
      </c>
      <c r="B16" s="24" t="s">
        <v>23</v>
      </c>
      <c r="C16" s="24" t="s">
        <v>92</v>
      </c>
      <c r="D16" s="30">
        <v>45864</v>
      </c>
      <c r="E16" s="30" t="s">
        <v>156</v>
      </c>
      <c r="F16" s="24" t="str">
        <f>VLOOKUP(B16,Custumer_Master!A:D,2,FALSE)</f>
        <v>Kavya Nair</v>
      </c>
      <c r="G16" s="24" t="str">
        <f>VLOOKUP($B16,Custumer_Master!$A:$J,6,FALSE)</f>
        <v>Female</v>
      </c>
      <c r="H16" s="30" t="str">
        <f>VLOOKUP($B16,Custumer_Master!$A:$J,7,FALSE)</f>
        <v>01/08/1976</v>
      </c>
      <c r="I16" s="24" t="str">
        <f>VLOOKUP($B16,Custumer_Master!$A:$J,9,FALSE)</f>
        <v>Hyderabad</v>
      </c>
      <c r="J16" s="24" t="str">
        <f>VLOOKUP($B16,Custumer_Master!$A:$J,10,FALSE)</f>
        <v>South</v>
      </c>
      <c r="K16" s="24" t="str">
        <f>VLOOKUP(B16,Custumer_Master!A:D,4,FALSE)</f>
        <v>WB</v>
      </c>
      <c r="L16" s="24" t="str">
        <f>PROPER(TRIM(VLOOKUP('Final Data'!C16,Product_Master!A:F,3,FALSE)))</f>
        <v>Home Appliances</v>
      </c>
      <c r="M16" s="24" t="s">
        <v>97</v>
      </c>
      <c r="N16" s="34">
        <v>15</v>
      </c>
      <c r="O16" s="192">
        <f>VLOOKUP(C16,Product_Master!A:F,5,FALSE)</f>
        <v>2625</v>
      </c>
      <c r="P16" s="33">
        <v>0.15</v>
      </c>
      <c r="Q16" s="34">
        <f t="shared" si="0"/>
        <v>33468.75</v>
      </c>
      <c r="R16" s="34">
        <v>2</v>
      </c>
      <c r="S16" s="24" t="s">
        <v>34</v>
      </c>
      <c r="T16" s="24" t="s">
        <v>115</v>
      </c>
      <c r="U16" s="24" t="s">
        <v>50</v>
      </c>
      <c r="V16" s="34">
        <v>9582960180</v>
      </c>
      <c r="W16" s="24" t="str">
        <f>VLOOKUP(C16,Product_Master!A:F,4,FALSE)</f>
        <v>Global Trade</v>
      </c>
      <c r="X16" s="34">
        <f>VLOOKUP(C16,Product_Master!A:F,6,FALSE)</f>
        <v>6</v>
      </c>
      <c r="Y16" s="24" t="str">
        <f>VLOOKUP(B16,Custumer_Master!A:D,3,FALSE)</f>
        <v>Silver</v>
      </c>
      <c r="Z16" s="30">
        <f>EDATE(E16,X16)</f>
        <v>46060</v>
      </c>
      <c r="AA16" s="29" t="str">
        <f>VLOOKUP(B16,Custumer_Master!A:K,11,)</f>
        <v>August</v>
      </c>
      <c r="AB16" s="24" t="s">
        <v>2160</v>
      </c>
      <c r="AC16" s="138" t="str">
        <f>PROPER(LEFT(TRIM(F16), 3)) &amp; RIGHT(TRIM(B16), 3) &amp; PROPER(LEFT(TRIM(I16), 2))</f>
        <v>Kav008Hy</v>
      </c>
      <c r="AD16" s="154">
        <f t="shared" ca="1" si="1"/>
        <v>49</v>
      </c>
      <c r="AE16" s="154">
        <f>IFERROR(IF(OR(E16="", D16="", LOWER(TRIM(E16))="pending", LOWER(TRIM(D16))="pending"), "Pending", E16 - D16), "Pending")</f>
        <v>12</v>
      </c>
      <c r="AF16" s="138" t="str">
        <f>IFERROR(IF(OR(E16="", D16="","Pending","Pending"), "Pending", IF((E16 - D16) &lt;= 5, "On Time", "Delayed")), "Pending")</f>
        <v>Delayed</v>
      </c>
      <c r="AG16" s="24" t="str">
        <f t="shared" si="2"/>
        <v>Completed</v>
      </c>
    </row>
    <row r="17" spans="1:33">
      <c r="A17" s="24" t="s">
        <v>160</v>
      </c>
      <c r="B17" s="24" t="s">
        <v>53</v>
      </c>
      <c r="C17" s="24" t="s">
        <v>72</v>
      </c>
      <c r="D17" s="30">
        <v>46120</v>
      </c>
      <c r="E17" s="30" t="s">
        <v>162</v>
      </c>
      <c r="F17" s="24" t="str">
        <f>VLOOKUP(B17,Custumer_Master!A:D,2,FALSE)</f>
        <v>Pooja Shah</v>
      </c>
      <c r="G17" s="24" t="str">
        <f>VLOOKUP($B17,Custumer_Master!$A:$J,6,FALSE)</f>
        <v>Female</v>
      </c>
      <c r="H17" s="30" t="str">
        <f>VLOOKUP($B17,Custumer_Master!$A:$J,7,FALSE)</f>
        <v>16/09/1994</v>
      </c>
      <c r="I17" s="24" t="str">
        <f>VLOOKUP($B17,Custumer_Master!$A:$J,9,FALSE)</f>
        <v>Bengaluru</v>
      </c>
      <c r="J17" s="24" t="str">
        <f>VLOOKUP($B17,Custumer_Master!$A:$J,10,FALSE)</f>
        <v>South</v>
      </c>
      <c r="K17" s="24" t="str">
        <f>VLOOKUP(B17,Custumer_Master!A:D,4,FALSE)</f>
        <v>WB</v>
      </c>
      <c r="L17" s="24" t="str">
        <f>PROPER(TRIM(VLOOKUP('Final Data'!C17,Product_Master!A:F,3,FALSE)))</f>
        <v>Electronics</v>
      </c>
      <c r="M17" s="24" t="s">
        <v>78</v>
      </c>
      <c r="N17" s="34">
        <v>3</v>
      </c>
      <c r="O17" s="192">
        <f>VLOOKUP(C17,Product_Master!A:F,5,FALSE)</f>
        <v>900</v>
      </c>
      <c r="P17" s="33">
        <v>0.05</v>
      </c>
      <c r="Q17" s="34">
        <f t="shared" si="0"/>
        <v>2565</v>
      </c>
      <c r="R17" s="34">
        <v>5</v>
      </c>
      <c r="S17" s="24" t="s">
        <v>2149</v>
      </c>
      <c r="T17" s="24" t="s">
        <v>35</v>
      </c>
      <c r="U17" s="24" t="s">
        <v>62</v>
      </c>
      <c r="V17" s="34">
        <v>9611394005</v>
      </c>
      <c r="W17" s="24" t="str">
        <f>VLOOKUP(C17,Product_Master!A:F,4,FALSE)</f>
        <v>TechHub</v>
      </c>
      <c r="X17" s="34">
        <f>VLOOKUP(C17,Product_Master!A:F,6,FALSE)</f>
        <v>6</v>
      </c>
      <c r="Y17" s="24" t="str">
        <f>VLOOKUP(B17,Custumer_Master!A:D,3,FALSE)</f>
        <v>Silver</v>
      </c>
      <c r="Z17" s="30">
        <f>EDATE(E17,X17)</f>
        <v>46306</v>
      </c>
      <c r="AA17" s="29" t="str">
        <f>VLOOKUP(B17,Custumer_Master!A:K,11,)</f>
        <v>September</v>
      </c>
      <c r="AB17" s="24" t="s">
        <v>2108</v>
      </c>
      <c r="AC17" s="138" t="str">
        <f>PROPER(LEFT(TRIM(F17), 3)) &amp; RIGHT(TRIM(B17), 3) &amp; PROPER(LEFT(TRIM(I17), 2))</f>
        <v>Poo010Be</v>
      </c>
      <c r="AD17" s="154">
        <f t="shared" ca="1" si="1"/>
        <v>31</v>
      </c>
      <c r="AE17" s="154">
        <f>IFERROR(IF(OR(E17="", D17="", LOWER(TRIM(E17))="pending", LOWER(TRIM(D17))="pending"), "Pending", E17 - D17), "Pending")</f>
        <v>3</v>
      </c>
      <c r="AF17" s="138" t="str">
        <f>IFERROR(IF(OR(E17="", D17="","Pending","Pending"), "Pending", IF((E17 - D17) &lt;= 5, "On Time", "Delayed")), "Pending")</f>
        <v>On Time</v>
      </c>
      <c r="AG17" s="24" t="str">
        <f t="shared" si="2"/>
        <v>Completed</v>
      </c>
    </row>
    <row r="18" spans="1:33">
      <c r="A18" s="24" t="s">
        <v>167</v>
      </c>
      <c r="B18" s="24" t="s">
        <v>168</v>
      </c>
      <c r="C18" s="24" t="s">
        <v>169</v>
      </c>
      <c r="D18" s="30">
        <v>46075</v>
      </c>
      <c r="E18" s="30" t="s">
        <v>171</v>
      </c>
      <c r="F18" s="24" t="str">
        <f>VLOOKUP(B18,Custumer_Master!A:D,2,FALSE)</f>
        <v>Anita Gupta</v>
      </c>
      <c r="G18" s="24" t="str">
        <f>VLOOKUP($B18,Custumer_Master!$A:$J,6,FALSE)</f>
        <v>Female</v>
      </c>
      <c r="H18" s="30" t="str">
        <f>VLOOKUP($B18,Custumer_Master!$A:$J,7,FALSE)</f>
        <v>16/01/2002</v>
      </c>
      <c r="I18" s="24" t="str">
        <f>VLOOKUP($B18,Custumer_Master!$A:$J,9,FALSE)</f>
        <v>Pune</v>
      </c>
      <c r="J18" s="24" t="str">
        <f>VLOOKUP($B18,Custumer_Master!$A:$J,10,FALSE)</f>
        <v>West</v>
      </c>
      <c r="K18" s="24" t="str">
        <f>VLOOKUP(B18,Custumer_Master!A:D,4,FALSE)</f>
        <v>WB</v>
      </c>
      <c r="L18" s="24" t="str">
        <f>PROPER(TRIM(VLOOKUP('Final Data'!C18,Product_Master!A:F,3,FALSE)))</f>
        <v>Home Appliances</v>
      </c>
      <c r="M18" s="24" t="s">
        <v>174</v>
      </c>
      <c r="N18" s="34">
        <v>13</v>
      </c>
      <c r="O18" s="192">
        <f>VLOOKUP(C18,Product_Master!A:F,5,FALSE)</f>
        <v>6375</v>
      </c>
      <c r="P18" s="33">
        <v>0.2</v>
      </c>
      <c r="Q18" s="34">
        <f t="shared" si="0"/>
        <v>66300</v>
      </c>
      <c r="R18" s="34">
        <v>4</v>
      </c>
      <c r="S18" s="24" t="s">
        <v>79</v>
      </c>
      <c r="T18" s="24" t="s">
        <v>49</v>
      </c>
      <c r="U18" s="24" t="s">
        <v>175</v>
      </c>
      <c r="V18" s="34">
        <v>9692599404</v>
      </c>
      <c r="W18" s="24" t="str">
        <f>VLOOKUP(C18,Product_Master!A:F,4,FALSE)</f>
        <v>TechHub</v>
      </c>
      <c r="X18" s="34">
        <f>VLOOKUP(C18,Product_Master!A:F,6,FALSE)</f>
        <v>24</v>
      </c>
      <c r="Y18" s="24" t="str">
        <f>VLOOKUP(B18,Custumer_Master!A:D,3,FALSE)</f>
        <v>Gold</v>
      </c>
      <c r="Z18" s="30">
        <f>EDATE(E18,X18)</f>
        <v>46815</v>
      </c>
      <c r="AA18" s="29" t="str">
        <f>VLOOKUP(B18,Custumer_Master!A:K,11,)</f>
        <v>January</v>
      </c>
      <c r="AB18" s="24" t="s">
        <v>2112</v>
      </c>
      <c r="AC18" s="138" t="str">
        <f>PROPER(LEFT(TRIM(F18), 3)) &amp; RIGHT(TRIM(B18), 3) &amp; PROPER(LEFT(TRIM(I18), 2))</f>
        <v>Ani004Pu</v>
      </c>
      <c r="AD18" s="154">
        <f t="shared" ca="1" si="1"/>
        <v>24</v>
      </c>
      <c r="AE18" s="154">
        <f>IFERROR(IF(OR(E18="", D18="", LOWER(TRIM(E18))="pending", LOWER(TRIM(D18))="pending"), "Pending", E18 - D18), "Pending")</f>
        <v>9</v>
      </c>
      <c r="AF18" s="138" t="str">
        <f>IFERROR(IF(OR(E18="", D18="","Pending","Pending"), "Pending", IF((E18 - D18) &lt;= 5, "On Time", "Delayed")), "Pending")</f>
        <v>Delayed</v>
      </c>
      <c r="AG18" s="24" t="str">
        <f t="shared" si="2"/>
        <v>Completed</v>
      </c>
    </row>
    <row r="19" spans="1:33">
      <c r="A19" s="24" t="s">
        <v>177</v>
      </c>
      <c r="B19" s="24" t="s">
        <v>83</v>
      </c>
      <c r="C19" s="24" t="s">
        <v>169</v>
      </c>
      <c r="D19" s="30">
        <v>46081</v>
      </c>
      <c r="E19" s="30" t="s">
        <v>179</v>
      </c>
      <c r="F19" s="24" t="str">
        <f>VLOOKUP(B19,Custumer_Master!A:D,2,FALSE)</f>
        <v>Arjun Rao</v>
      </c>
      <c r="G19" s="24" t="str">
        <f>VLOOKUP($B19,Custumer_Master!$A:$J,6,FALSE)</f>
        <v>Male</v>
      </c>
      <c r="H19" s="30" t="str">
        <f>VLOOKUP($B19,Custumer_Master!$A:$J,7,FALSE)</f>
        <v>07/02/1988</v>
      </c>
      <c r="I19" s="24" t="str">
        <f>VLOOKUP($B19,Custumer_Master!$A:$J,9,FALSE)</f>
        <v>Hyderabad</v>
      </c>
      <c r="J19" s="24" t="str">
        <f>VLOOKUP($B19,Custumer_Master!$A:$J,10,FALSE)</f>
        <v>South</v>
      </c>
      <c r="K19" s="24" t="str">
        <f>VLOOKUP(B19,Custumer_Master!A:D,4,FALSE)</f>
        <v>RJ</v>
      </c>
      <c r="L19" s="24" t="str">
        <f>PROPER(TRIM(VLOOKUP('Final Data'!C19,Product_Master!A:F,3,FALSE)))</f>
        <v>Home Appliances</v>
      </c>
      <c r="M19" s="24" t="s">
        <v>174</v>
      </c>
      <c r="N19" s="34">
        <v>4</v>
      </c>
      <c r="O19" s="192">
        <f>VLOOKUP(C19,Product_Master!A:F,5,FALSE)</f>
        <v>6375</v>
      </c>
      <c r="P19" s="33">
        <v>0.2</v>
      </c>
      <c r="Q19" s="34">
        <f t="shared" si="0"/>
        <v>20400</v>
      </c>
      <c r="R19" s="34">
        <v>5</v>
      </c>
      <c r="S19" s="24" t="s">
        <v>79</v>
      </c>
      <c r="T19" s="24" t="s">
        <v>61</v>
      </c>
      <c r="U19" s="24" t="s">
        <v>89</v>
      </c>
      <c r="V19" s="34">
        <v>9426119622</v>
      </c>
      <c r="W19" s="24" t="str">
        <f>VLOOKUP(C19,Product_Master!A:F,4,FALSE)</f>
        <v>TechHub</v>
      </c>
      <c r="X19" s="34">
        <f>VLOOKUP(C19,Product_Master!A:F,6,FALSE)</f>
        <v>24</v>
      </c>
      <c r="Y19" s="24" t="str">
        <f>VLOOKUP(B19,Custumer_Master!A:D,3,FALSE)</f>
        <v>Silver</v>
      </c>
      <c r="Z19" s="30">
        <f>EDATE(E19,X19)</f>
        <v>46817</v>
      </c>
      <c r="AA19" s="29" t="str">
        <f>VLOOKUP(B19,Custumer_Master!A:K,11,)</f>
        <v>February</v>
      </c>
      <c r="AB19" s="24" t="s">
        <v>2108</v>
      </c>
      <c r="AC19" s="138" t="str">
        <f>PROPER(LEFT(TRIM(F19), 3)) &amp; RIGHT(TRIM(B19), 3) &amp; PROPER(LEFT(TRIM(I19), 2))</f>
        <v>Arj007Hy</v>
      </c>
      <c r="AD19" s="154">
        <f t="shared" ca="1" si="1"/>
        <v>38</v>
      </c>
      <c r="AE19" s="154">
        <f>IFERROR(IF(OR(E19="", D19="", LOWER(TRIM(E19))="pending", LOWER(TRIM(D19))="pending"), "Pending", E19 - D19), "Pending")</f>
        <v>5</v>
      </c>
      <c r="AF19" s="138" t="str">
        <f>IFERROR(IF(OR(E19="", D19="","Pending","Pending"), "Pending", IF((E19 - D19) &lt;= 5, "On Time", "Delayed")), "Pending")</f>
        <v>On Time</v>
      </c>
      <c r="AG19" s="24" t="str">
        <f t="shared" si="2"/>
        <v>Completed</v>
      </c>
    </row>
    <row r="20" spans="1:33">
      <c r="A20" s="24" t="s">
        <v>183</v>
      </c>
      <c r="B20" s="24" t="s">
        <v>83</v>
      </c>
      <c r="C20" s="24" t="s">
        <v>184</v>
      </c>
      <c r="D20" s="30">
        <v>45992</v>
      </c>
      <c r="E20" s="30" t="s">
        <v>186</v>
      </c>
      <c r="F20" s="24" t="str">
        <f>VLOOKUP(B20,Custumer_Master!A:D,2,FALSE)</f>
        <v>Arjun Rao</v>
      </c>
      <c r="G20" s="24" t="str">
        <f>VLOOKUP($B20,Custumer_Master!$A:$J,6,FALSE)</f>
        <v>Male</v>
      </c>
      <c r="H20" s="30" t="str">
        <f>VLOOKUP($B20,Custumer_Master!$A:$J,7,FALSE)</f>
        <v>07/02/1988</v>
      </c>
      <c r="I20" s="24" t="str">
        <f>VLOOKUP($B20,Custumer_Master!$A:$J,9,FALSE)</f>
        <v>Hyderabad</v>
      </c>
      <c r="J20" s="24" t="str">
        <f>VLOOKUP($B20,Custumer_Master!$A:$J,10,FALSE)</f>
        <v>South</v>
      </c>
      <c r="K20" s="24" t="str">
        <f>VLOOKUP(B20,Custumer_Master!A:D,4,FALSE)</f>
        <v>RJ</v>
      </c>
      <c r="L20" s="24" t="str">
        <f>PROPER(TRIM(VLOOKUP('Final Data'!C20,Product_Master!A:F,3,FALSE)))</f>
        <v>Electronics</v>
      </c>
      <c r="M20" s="24" t="s">
        <v>189</v>
      </c>
      <c r="N20" s="34">
        <v>9</v>
      </c>
      <c r="O20" s="192">
        <f>VLOOKUP(C20,Product_Master!A:F,5,FALSE)</f>
        <v>525</v>
      </c>
      <c r="P20" s="33">
        <v>0.05</v>
      </c>
      <c r="Q20" s="34">
        <f t="shared" si="0"/>
        <v>4488.75</v>
      </c>
      <c r="R20" s="34">
        <v>3</v>
      </c>
      <c r="S20" s="24" t="s">
        <v>2149</v>
      </c>
      <c r="T20" s="24" t="s">
        <v>35</v>
      </c>
      <c r="U20" s="24" t="s">
        <v>89</v>
      </c>
      <c r="V20" s="34">
        <v>9184436009</v>
      </c>
      <c r="W20" s="24" t="str">
        <f>VLOOKUP(C20,Product_Master!A:F,4,FALSE)</f>
        <v>TechHub</v>
      </c>
      <c r="X20" s="34">
        <f>VLOOKUP(C20,Product_Master!A:F,6,FALSE)</f>
        <v>24</v>
      </c>
      <c r="Y20" s="24" t="str">
        <f>VLOOKUP(B20,Custumer_Master!A:D,3,FALSE)</f>
        <v>Silver</v>
      </c>
      <c r="Z20" s="30">
        <f>EDATE(E20,X20)</f>
        <v>46725</v>
      </c>
      <c r="AA20" s="29" t="str">
        <f>VLOOKUP(B20,Custumer_Master!A:K,11,)</f>
        <v>February</v>
      </c>
      <c r="AB20" s="24" t="s">
        <v>2108</v>
      </c>
      <c r="AC20" s="138" t="str">
        <f>PROPER(LEFT(TRIM(F20), 3)) &amp; RIGHT(TRIM(B20), 3) &amp; PROPER(LEFT(TRIM(I20), 2))</f>
        <v>Arj007Hy</v>
      </c>
      <c r="AD20" s="154">
        <f t="shared" ca="1" si="1"/>
        <v>38</v>
      </c>
      <c r="AE20" s="154">
        <f>IFERROR(IF(OR(E20="", D20="", LOWER(TRIM(E20))="pending", LOWER(TRIM(D20))="pending"), "Pending", E20 - D20), "Pending")</f>
        <v>3</v>
      </c>
      <c r="AF20" s="138" t="str">
        <f>IFERROR(IF(OR(E20="", D20="","Pending","Pending"), "Pending", IF((E20 - D20) &lt;= 5, "On Time", "Delayed")), "Pending")</f>
        <v>On Time</v>
      </c>
      <c r="AG20" s="24" t="str">
        <f t="shared" si="2"/>
        <v>Completed</v>
      </c>
    </row>
    <row r="21" spans="1:33">
      <c r="A21" s="24" t="s">
        <v>192</v>
      </c>
      <c r="B21" s="24" t="s">
        <v>23</v>
      </c>
      <c r="C21" s="24" t="s">
        <v>54</v>
      </c>
      <c r="D21" s="30">
        <v>45833</v>
      </c>
      <c r="E21" s="30" t="s">
        <v>194</v>
      </c>
      <c r="F21" s="24" t="str">
        <f>VLOOKUP(B21,Custumer_Master!A:D,2,FALSE)</f>
        <v>Kavya Nair</v>
      </c>
      <c r="G21" s="24" t="str">
        <f>VLOOKUP($B21,Custumer_Master!$A:$J,6,FALSE)</f>
        <v>Female</v>
      </c>
      <c r="H21" s="30" t="str">
        <f>VLOOKUP($B21,Custumer_Master!$A:$J,7,FALSE)</f>
        <v>01/08/1976</v>
      </c>
      <c r="I21" s="24" t="str">
        <f>VLOOKUP($B21,Custumer_Master!$A:$J,9,FALSE)</f>
        <v>Hyderabad</v>
      </c>
      <c r="J21" s="24" t="str">
        <f>VLOOKUP($B21,Custumer_Master!$A:$J,10,FALSE)</f>
        <v>South</v>
      </c>
      <c r="K21" s="24" t="str">
        <f>VLOOKUP(B21,Custumer_Master!A:D,4,FALSE)</f>
        <v>WB</v>
      </c>
      <c r="L21" s="24" t="str">
        <f>PROPER(TRIM(VLOOKUP('Final Data'!C21,Product_Master!A:F,3,FALSE)))</f>
        <v>Electronics</v>
      </c>
      <c r="M21" s="24" t="s">
        <v>60</v>
      </c>
      <c r="N21" s="34">
        <v>8</v>
      </c>
      <c r="O21" s="192">
        <f>VLOOKUP(C21,Product_Master!A:F,5,FALSE)</f>
        <v>41250</v>
      </c>
      <c r="P21" s="33">
        <v>0.2</v>
      </c>
      <c r="Q21" s="34">
        <f t="shared" si="0"/>
        <v>264000</v>
      </c>
      <c r="R21" s="34">
        <v>1</v>
      </c>
      <c r="S21" s="24" t="s">
        <v>34</v>
      </c>
      <c r="T21" s="24" t="s">
        <v>151</v>
      </c>
      <c r="U21" s="24" t="s">
        <v>50</v>
      </c>
      <c r="V21" s="34">
        <v>9263774934</v>
      </c>
      <c r="W21" s="24" t="str">
        <f>VLOOKUP(C21,Product_Master!A:F,4,FALSE)</f>
        <v>TechHub</v>
      </c>
      <c r="X21" s="34">
        <f>VLOOKUP(C21,Product_Master!A:F,6,FALSE)</f>
        <v>12</v>
      </c>
      <c r="Y21" s="24" t="str">
        <f>VLOOKUP(B21,Custumer_Master!A:D,3,FALSE)</f>
        <v>Silver</v>
      </c>
      <c r="Z21" s="30">
        <f>EDATE(E21,X21)</f>
        <v>46206</v>
      </c>
      <c r="AA21" s="29" t="str">
        <f>VLOOKUP(B21,Custumer_Master!A:K,11,)</f>
        <v>August</v>
      </c>
      <c r="AB21" s="24" t="s">
        <v>2160</v>
      </c>
      <c r="AC21" s="138" t="str">
        <f>PROPER(LEFT(TRIM(F21), 3)) &amp; RIGHT(TRIM(B21), 3) &amp; PROPER(LEFT(TRIM(I21), 2))</f>
        <v>Kav008Hy</v>
      </c>
      <c r="AD21" s="154">
        <f t="shared" ca="1" si="1"/>
        <v>49</v>
      </c>
      <c r="AE21" s="154">
        <f>IFERROR(IF(OR(E21="", D21="", LOWER(TRIM(E21))="pending", LOWER(TRIM(D21))="pending"), "Pending", E21 - D21), "Pending")</f>
        <v>8</v>
      </c>
      <c r="AF21" s="138" t="str">
        <f>IFERROR(IF(OR(E21="", D21="","Pending","Pending"), "Pending", IF((E21 - D21) &lt;= 5, "On Time", "Delayed")), "Pending")</f>
        <v>Delayed</v>
      </c>
      <c r="AG21" s="24" t="str">
        <f t="shared" si="2"/>
        <v>Completed</v>
      </c>
    </row>
    <row r="22" spans="1:33">
      <c r="A22" s="24" t="s">
        <v>197</v>
      </c>
      <c r="B22" s="24" t="s">
        <v>127</v>
      </c>
      <c r="C22" s="24" t="s">
        <v>184</v>
      </c>
      <c r="D22" s="30">
        <v>45773</v>
      </c>
      <c r="E22" s="30" t="s">
        <v>199</v>
      </c>
      <c r="F22" s="24" t="str">
        <f>VLOOKUP(B22,Custumer_Master!A:D,2,FALSE)</f>
        <v>Rohit Singh</v>
      </c>
      <c r="G22" s="24" t="str">
        <f>VLOOKUP($B22,Custumer_Master!$A:$J,6,FALSE)</f>
        <v>Male</v>
      </c>
      <c r="H22" s="30" t="str">
        <f>VLOOKUP($B22,Custumer_Master!$A:$J,7,FALSE)</f>
        <v>10/05/1982</v>
      </c>
      <c r="I22" s="24" t="str">
        <f>VLOOKUP($B22,Custumer_Master!$A:$J,9,FALSE)</f>
        <v>Delhi</v>
      </c>
      <c r="J22" s="24" t="str">
        <f>VLOOKUP($B22,Custumer_Master!$A:$J,10,FALSE)</f>
        <v>North</v>
      </c>
      <c r="K22" s="24" t="str">
        <f>VLOOKUP(B22,Custumer_Master!A:D,4,FALSE)</f>
        <v>DL</v>
      </c>
      <c r="L22" s="24" t="str">
        <f>PROPER(TRIM(VLOOKUP('Final Data'!C22,Product_Master!A:F,3,FALSE)))</f>
        <v>Electronics</v>
      </c>
      <c r="M22" s="24" t="s">
        <v>189</v>
      </c>
      <c r="N22" s="34">
        <v>10</v>
      </c>
      <c r="O22" s="192">
        <f>VLOOKUP(C22,Product_Master!A:F,5,FALSE)</f>
        <v>525</v>
      </c>
      <c r="P22" s="33">
        <v>0.2</v>
      </c>
      <c r="Q22" s="34">
        <f t="shared" si="0"/>
        <v>4200</v>
      </c>
      <c r="R22" s="34">
        <v>4</v>
      </c>
      <c r="S22" s="24" t="s">
        <v>79</v>
      </c>
      <c r="T22" s="24" t="s">
        <v>61</v>
      </c>
      <c r="U22" s="24" t="s">
        <v>132</v>
      </c>
      <c r="V22" s="34">
        <v>9473159572</v>
      </c>
      <c r="W22" s="24" t="str">
        <f>VLOOKUP(C22,Product_Master!A:F,4,FALSE)</f>
        <v>TechHub</v>
      </c>
      <c r="X22" s="34">
        <f>VLOOKUP(C22,Product_Master!A:F,6,FALSE)</f>
        <v>24</v>
      </c>
      <c r="Y22" s="24" t="str">
        <f>VLOOKUP(B22,Custumer_Master!A:D,3,FALSE)</f>
        <v>Gold</v>
      </c>
      <c r="Z22" s="30">
        <f>EDATE(E22,X22)</f>
        <v>46512</v>
      </c>
      <c r="AA22" s="29" t="str">
        <f>VLOOKUP(B22,Custumer_Master!A:K,11,)</f>
        <v>May</v>
      </c>
      <c r="AB22" s="24" t="s">
        <v>2108</v>
      </c>
      <c r="AC22" s="138" t="str">
        <f>PROPER(LEFT(TRIM(F22), 3)) &amp; RIGHT(TRIM(B22), 3) &amp; PROPER(LEFT(TRIM(I22), 2))</f>
        <v>Roh003De</v>
      </c>
      <c r="AD22" s="154">
        <f t="shared" ca="1" si="1"/>
        <v>44</v>
      </c>
      <c r="AE22" s="154">
        <f>IFERROR(IF(OR(E22="", D22="", LOWER(TRIM(E22))="pending", LOWER(TRIM(D22))="pending"), "Pending", E22 - D22), "Pending")</f>
        <v>9</v>
      </c>
      <c r="AF22" s="138" t="str">
        <f>IFERROR(IF(OR(E22="", D22="","Pending","Pending"), "Pending", IF((E22 - D22) &lt;= 5, "On Time", "Delayed")), "Pending")</f>
        <v>Delayed</v>
      </c>
      <c r="AG22" s="24" t="str">
        <f t="shared" si="2"/>
        <v>Completed</v>
      </c>
    </row>
    <row r="23" spans="1:33">
      <c r="A23" s="24" t="s">
        <v>204</v>
      </c>
      <c r="B23" s="24" t="s">
        <v>23</v>
      </c>
      <c r="C23" s="24" t="s">
        <v>92</v>
      </c>
      <c r="D23" s="30">
        <v>45660</v>
      </c>
      <c r="E23" s="30" t="s">
        <v>206</v>
      </c>
      <c r="F23" s="24" t="str">
        <f>VLOOKUP(B23,Custumer_Master!A:D,2,FALSE)</f>
        <v>Kavya Nair</v>
      </c>
      <c r="G23" s="24" t="str">
        <f>VLOOKUP($B23,Custumer_Master!$A:$J,6,FALSE)</f>
        <v>Female</v>
      </c>
      <c r="H23" s="30" t="str">
        <f>VLOOKUP($B23,Custumer_Master!$A:$J,7,FALSE)</f>
        <v>01/08/1976</v>
      </c>
      <c r="I23" s="24" t="str">
        <f>VLOOKUP($B23,Custumer_Master!$A:$J,9,FALSE)</f>
        <v>Hyderabad</v>
      </c>
      <c r="J23" s="24" t="str">
        <f>VLOOKUP($B23,Custumer_Master!$A:$J,10,FALSE)</f>
        <v>South</v>
      </c>
      <c r="K23" s="24" t="str">
        <f>VLOOKUP(B23,Custumer_Master!A:D,4,FALSE)</f>
        <v>WB</v>
      </c>
      <c r="L23" s="24" t="str">
        <f>PROPER(TRIM(VLOOKUP('Final Data'!C23,Product_Master!A:F,3,FALSE)))</f>
        <v>Home Appliances</v>
      </c>
      <c r="M23" s="24" t="s">
        <v>97</v>
      </c>
      <c r="N23" s="34">
        <v>1</v>
      </c>
      <c r="O23" s="192">
        <f>VLOOKUP(C23,Product_Master!A:F,5,FALSE)</f>
        <v>2625</v>
      </c>
      <c r="P23" s="33">
        <v>0.05</v>
      </c>
      <c r="Q23" s="34">
        <f t="shared" si="0"/>
        <v>2493.75</v>
      </c>
      <c r="R23" s="34">
        <v>3</v>
      </c>
      <c r="S23" s="24" t="s">
        <v>2149</v>
      </c>
      <c r="T23" s="24" t="s">
        <v>115</v>
      </c>
      <c r="U23" s="24" t="s">
        <v>50</v>
      </c>
      <c r="V23" s="34">
        <v>9660493688</v>
      </c>
      <c r="W23" s="24" t="str">
        <f>VLOOKUP(C23,Product_Master!A:F,4,FALSE)</f>
        <v>Global Trade</v>
      </c>
      <c r="X23" s="34">
        <f>VLOOKUP(C23,Product_Master!A:F,6,FALSE)</f>
        <v>6</v>
      </c>
      <c r="Y23" s="24" t="str">
        <f>VLOOKUP(B23,Custumer_Master!A:D,3,FALSE)</f>
        <v>Silver</v>
      </c>
      <c r="Z23" s="30">
        <f>EDATE(E23,X23)</f>
        <v>45846</v>
      </c>
      <c r="AA23" s="29" t="str">
        <f>VLOOKUP(B23,Custumer_Master!A:K,11,)</f>
        <v>August</v>
      </c>
      <c r="AB23" s="24" t="s">
        <v>2108</v>
      </c>
      <c r="AC23" s="138" t="str">
        <f>PROPER(LEFT(TRIM(F23), 3)) &amp; RIGHT(TRIM(B23), 3) &amp; PROPER(LEFT(TRIM(I23), 2))</f>
        <v>Kav008Hy</v>
      </c>
      <c r="AD23" s="154">
        <f t="shared" ca="1" si="1"/>
        <v>49</v>
      </c>
      <c r="AE23" s="154">
        <f>IFERROR(IF(OR(E23="", D23="", LOWER(TRIM(E23))="pending", LOWER(TRIM(D23))="pending"), "Pending", E23 - D23), "Pending")</f>
        <v>5</v>
      </c>
      <c r="AF23" s="138" t="str">
        <f>IFERROR(IF(OR(E23="", D23="","Pending","Pending"), "Pending", IF((E23 - D23) &lt;= 5, "On Time", "Delayed")), "Pending")</f>
        <v>On Time</v>
      </c>
      <c r="AG23" s="24" t="str">
        <f t="shared" si="2"/>
        <v>Completed</v>
      </c>
    </row>
    <row r="24" spans="1:33">
      <c r="A24" s="24" t="s">
        <v>209</v>
      </c>
      <c r="B24" s="24" t="s">
        <v>100</v>
      </c>
      <c r="C24" s="24" t="s">
        <v>184</v>
      </c>
      <c r="D24" s="30">
        <v>45766</v>
      </c>
      <c r="E24" s="30" t="s">
        <v>210</v>
      </c>
      <c r="F24" s="24" t="str">
        <f>VLOOKUP(B24,Custumer_Master!A:D,2,FALSE)</f>
        <v>Priya Patel</v>
      </c>
      <c r="G24" s="24" t="str">
        <f>VLOOKUP($B24,Custumer_Master!$A:$J,6,FALSE)</f>
        <v>Female</v>
      </c>
      <c r="H24" s="30" t="str">
        <f>VLOOKUP($B24,Custumer_Master!$A:$J,7,FALSE)</f>
        <v>07/03/1995</v>
      </c>
      <c r="I24" s="24" t="str">
        <f>VLOOKUP($B24,Custumer_Master!$A:$J,9,FALSE)</f>
        <v>Mumbai</v>
      </c>
      <c r="J24" s="24" t="str">
        <f>VLOOKUP($B24,Custumer_Master!$A:$J,10,FALSE)</f>
        <v>West</v>
      </c>
      <c r="K24" s="24" t="str">
        <f>VLOOKUP(B24,Custumer_Master!A:D,4,FALSE)</f>
        <v>WB</v>
      </c>
      <c r="L24" s="24" t="str">
        <f>PROPER(TRIM(VLOOKUP('Final Data'!C24,Product_Master!A:F,3,FALSE)))</f>
        <v>Electronics</v>
      </c>
      <c r="M24" s="24" t="s">
        <v>189</v>
      </c>
      <c r="N24" s="34">
        <v>19</v>
      </c>
      <c r="O24" s="192">
        <f>VLOOKUP(C24,Product_Master!A:F,5,FALSE)</f>
        <v>525</v>
      </c>
      <c r="P24" s="33">
        <v>0.15</v>
      </c>
      <c r="Q24" s="34">
        <f t="shared" si="0"/>
        <v>8478.75</v>
      </c>
      <c r="R24" s="34">
        <v>3</v>
      </c>
      <c r="S24" s="24" t="s">
        <v>2148</v>
      </c>
      <c r="T24" s="24" t="s">
        <v>151</v>
      </c>
      <c r="U24" s="24" t="s">
        <v>144</v>
      </c>
      <c r="V24" s="34">
        <v>9513325819</v>
      </c>
      <c r="W24" s="24" t="str">
        <f>VLOOKUP(C24,Product_Master!A:F,4,FALSE)</f>
        <v>TechHub</v>
      </c>
      <c r="X24" s="34">
        <f>VLOOKUP(C24,Product_Master!A:F,6,FALSE)</f>
        <v>24</v>
      </c>
      <c r="Y24" s="24" t="str">
        <f>VLOOKUP(B24,Custumer_Master!A:D,3,FALSE)</f>
        <v>Platinum</v>
      </c>
      <c r="Z24" s="30">
        <f>EDATE(E24,X24)</f>
        <v>46507</v>
      </c>
      <c r="AA24" s="29" t="str">
        <f>VLOOKUP(B24,Custumer_Master!A:K,11,)</f>
        <v>March</v>
      </c>
      <c r="AB24" s="24" t="s">
        <v>2108</v>
      </c>
      <c r="AC24" s="138" t="str">
        <f>PROPER(LEFT(TRIM(F24), 3)) &amp; RIGHT(TRIM(B24), 3) &amp; PROPER(LEFT(TRIM(I24), 2))</f>
        <v>Pri002Mu</v>
      </c>
      <c r="AD24" s="154">
        <f t="shared" ca="1" si="1"/>
        <v>31</v>
      </c>
      <c r="AE24" s="154">
        <f>IFERROR(IF(OR(E24="", D24="", LOWER(TRIM(E24))="pending", LOWER(TRIM(D24))="pending"), "Pending", E24 - D24), "Pending")</f>
        <v>11</v>
      </c>
      <c r="AF24" s="138" t="str">
        <f>IFERROR(IF(OR(E24="", D24="","Pending","Pending"), "Pending", IF((E24 - D24) &lt;= 5, "On Time", "Delayed")), "Pending")</f>
        <v>Delayed</v>
      </c>
      <c r="AG24" s="24" t="str">
        <f t="shared" si="2"/>
        <v>Completed</v>
      </c>
    </row>
    <row r="25" spans="1:33">
      <c r="A25" s="24" t="s">
        <v>214</v>
      </c>
      <c r="B25" s="24" t="s">
        <v>71</v>
      </c>
      <c r="C25" s="24" t="s">
        <v>54</v>
      </c>
      <c r="D25" s="30">
        <v>46013</v>
      </c>
      <c r="E25" s="30" t="s">
        <v>216</v>
      </c>
      <c r="F25" s="24" t="str">
        <f>VLOOKUP(B25,Custumer_Master!A:D,2,FALSE)</f>
        <v>Mohit Verma</v>
      </c>
      <c r="G25" s="24" t="str">
        <f>VLOOKUP($B25,Custumer_Master!$A:$J,6,FALSE)</f>
        <v>Male</v>
      </c>
      <c r="H25" s="30" t="str">
        <f>VLOOKUP($B25,Custumer_Master!$A:$J,7,FALSE)</f>
        <v>13/04/1976</v>
      </c>
      <c r="I25" s="24" t="str">
        <f>VLOOKUP($B25,Custumer_Master!$A:$J,9,FALSE)</f>
        <v>Delhi</v>
      </c>
      <c r="J25" s="24" t="str">
        <f>VLOOKUP($B25,Custumer_Master!$A:$J,10,FALSE)</f>
        <v>North</v>
      </c>
      <c r="K25" s="24" t="str">
        <f>VLOOKUP(B25,Custumer_Master!A:D,4,FALSE)</f>
        <v>KA</v>
      </c>
      <c r="L25" s="24" t="str">
        <f>PROPER(TRIM(VLOOKUP('Final Data'!C25,Product_Master!A:F,3,FALSE)))</f>
        <v>Electronics</v>
      </c>
      <c r="M25" s="24" t="s">
        <v>60</v>
      </c>
      <c r="N25" s="34">
        <v>12</v>
      </c>
      <c r="O25" s="192">
        <f>VLOOKUP(C25,Product_Master!A:F,5,FALSE)</f>
        <v>41250</v>
      </c>
      <c r="P25" s="33">
        <v>0</v>
      </c>
      <c r="Q25" s="34">
        <f t="shared" si="0"/>
        <v>495000</v>
      </c>
      <c r="R25" s="34">
        <v>1</v>
      </c>
      <c r="S25" s="24" t="s">
        <v>79</v>
      </c>
      <c r="T25" s="24" t="s">
        <v>49</v>
      </c>
      <c r="U25" s="24" t="s">
        <v>80</v>
      </c>
      <c r="V25" s="34">
        <v>9641063242</v>
      </c>
      <c r="W25" s="24" t="str">
        <f>VLOOKUP(C25,Product_Master!A:F,4,FALSE)</f>
        <v>TechHub</v>
      </c>
      <c r="X25" s="34">
        <f>VLOOKUP(C25,Product_Master!A:F,6,FALSE)</f>
        <v>12</v>
      </c>
      <c r="Y25" s="24" t="str">
        <f>VLOOKUP(B25,Custumer_Master!A:D,3,FALSE)</f>
        <v>Platinum</v>
      </c>
      <c r="Z25" s="30">
        <f>EDATE(E25,X25)</f>
        <v>46388</v>
      </c>
      <c r="AA25" s="29" t="str">
        <f>VLOOKUP(B25,Custumer_Master!A:K,11,)</f>
        <v>April</v>
      </c>
      <c r="AB25" s="24" t="s">
        <v>2160</v>
      </c>
      <c r="AC25" s="138" t="str">
        <f>PROPER(LEFT(TRIM(F25), 3)) &amp; RIGHT(TRIM(B25), 3) &amp; PROPER(LEFT(TRIM(I25), 2))</f>
        <v>Moh009De</v>
      </c>
      <c r="AD25" s="154">
        <f t="shared" ca="1" si="1"/>
        <v>50</v>
      </c>
      <c r="AE25" s="154">
        <f>IFERROR(IF(OR(E25="", D25="", LOWER(TRIM(E25))="pending", LOWER(TRIM(D25))="pending"), "Pending", E25 - D25), "Pending")</f>
        <v>10</v>
      </c>
      <c r="AF25" s="138" t="str">
        <f>IFERROR(IF(OR(E25="", D25="","Pending","Pending"), "Pending", IF((E25 - D25) &lt;= 5, "On Time", "Delayed")), "Pending")</f>
        <v>Delayed</v>
      </c>
      <c r="AG25" s="24" t="str">
        <f t="shared" si="2"/>
        <v>Completed</v>
      </c>
    </row>
    <row r="26" spans="1:33">
      <c r="A26" s="24" t="s">
        <v>220</v>
      </c>
      <c r="B26" s="24" t="s">
        <v>221</v>
      </c>
      <c r="C26" s="24" t="s">
        <v>222</v>
      </c>
      <c r="D26" s="30">
        <v>46121</v>
      </c>
      <c r="E26" s="30" t="s">
        <v>224</v>
      </c>
      <c r="F26" s="24" t="str">
        <f>VLOOKUP(B26,Custumer_Master!A:D,2,FALSE)</f>
        <v>Vikas Mehta</v>
      </c>
      <c r="G26" s="24" t="str">
        <f>VLOOKUP($B26,Custumer_Master!$A:$J,6,FALSE)</f>
        <v>Male</v>
      </c>
      <c r="H26" s="30" t="str">
        <f>VLOOKUP($B26,Custumer_Master!$A:$J,7,FALSE)</f>
        <v>03/08/1991</v>
      </c>
      <c r="I26" s="24" t="str">
        <f>VLOOKUP($B26,Custumer_Master!$A:$J,9,FALSE)</f>
        <v>Mumbai</v>
      </c>
      <c r="J26" s="24" t="str">
        <f>VLOOKUP($B26,Custumer_Master!$A:$J,10,FALSE)</f>
        <v>West</v>
      </c>
      <c r="K26" s="24" t="str">
        <f>VLOOKUP(B26,Custumer_Master!A:D,4,FALSE)</f>
        <v>DL</v>
      </c>
      <c r="L26" s="24" t="str">
        <f>PROPER(TRIM(VLOOKUP('Final Data'!C26,Product_Master!A:F,3,FALSE)))</f>
        <v>Stationery</v>
      </c>
      <c r="M26" s="24" t="s">
        <v>227</v>
      </c>
      <c r="N26" s="34">
        <v>1</v>
      </c>
      <c r="O26" s="192">
        <f>VLOOKUP(C26,Product_Master!A:F,5,FALSE)</f>
        <v>15</v>
      </c>
      <c r="P26" s="33">
        <v>0.05</v>
      </c>
      <c r="Q26" s="34">
        <f t="shared" si="0"/>
        <v>14.25</v>
      </c>
      <c r="R26" s="34">
        <v>5</v>
      </c>
      <c r="S26" s="24" t="s">
        <v>79</v>
      </c>
      <c r="T26" s="24" t="s">
        <v>35</v>
      </c>
      <c r="U26" s="24" t="s">
        <v>228</v>
      </c>
      <c r="V26" s="34">
        <v>9277372518</v>
      </c>
      <c r="W26" s="24" t="str">
        <f>VLOOKUP(C26,Product_Master!A:F,4,FALSE)</f>
        <v>Prime Supplies</v>
      </c>
      <c r="X26" s="34">
        <f>VLOOKUP(C26,Product_Master!A:F,6,FALSE)</f>
        <v>12</v>
      </c>
      <c r="Y26" s="24" t="str">
        <f>VLOOKUP(B26,Custumer_Master!A:D,3,FALSE)</f>
        <v>Gold</v>
      </c>
      <c r="Z26" s="30">
        <f>EDATE(E26,X26)</f>
        <v>46497</v>
      </c>
      <c r="AA26" s="29" t="str">
        <f>VLOOKUP(B26,Custumer_Master!A:K,11,)</f>
        <v>August</v>
      </c>
      <c r="AB26" s="24" t="s">
        <v>2108</v>
      </c>
      <c r="AC26" s="138" t="str">
        <f>PROPER(LEFT(TRIM(F26), 3)) &amp; RIGHT(TRIM(B26), 3) &amp; PROPER(LEFT(TRIM(I26), 2))</f>
        <v>Vik005Mu</v>
      </c>
      <c r="AD26" s="154">
        <f t="shared" ca="1" si="1"/>
        <v>34</v>
      </c>
      <c r="AE26" s="154">
        <f>IFERROR(IF(OR(E26="", D26="", LOWER(TRIM(E26))="pending", LOWER(TRIM(D26))="pending"), "Pending", E26 - D26), "Pending")</f>
        <v>11</v>
      </c>
      <c r="AF26" s="138" t="str">
        <f>IFERROR(IF(OR(E26="", D26="","Pending","Pending"), "Pending", IF((E26 - D26) &lt;= 5, "On Time", "Delayed")), "Pending")</f>
        <v>Delayed</v>
      </c>
      <c r="AG26" s="24" t="str">
        <f t="shared" si="2"/>
        <v>Completed</v>
      </c>
    </row>
    <row r="27" spans="1:33">
      <c r="A27" s="24" t="s">
        <v>230</v>
      </c>
      <c r="B27" s="24" t="s">
        <v>83</v>
      </c>
      <c r="C27" s="24" t="s">
        <v>222</v>
      </c>
      <c r="D27" s="30">
        <v>45832</v>
      </c>
      <c r="E27" s="30" t="s">
        <v>232</v>
      </c>
      <c r="F27" s="24" t="str">
        <f>VLOOKUP(B27,Custumer_Master!A:D,2,FALSE)</f>
        <v>Arjun Rao</v>
      </c>
      <c r="G27" s="24" t="str">
        <f>VLOOKUP($B27,Custumer_Master!$A:$J,6,FALSE)</f>
        <v>Male</v>
      </c>
      <c r="H27" s="30" t="str">
        <f>VLOOKUP($B27,Custumer_Master!$A:$J,7,FALSE)</f>
        <v>07/02/1988</v>
      </c>
      <c r="I27" s="24" t="str">
        <f>VLOOKUP($B27,Custumer_Master!$A:$J,9,FALSE)</f>
        <v>Hyderabad</v>
      </c>
      <c r="J27" s="24" t="str">
        <f>VLOOKUP($B27,Custumer_Master!$A:$J,10,FALSE)</f>
        <v>South</v>
      </c>
      <c r="K27" s="24" t="str">
        <f>VLOOKUP(B27,Custumer_Master!A:D,4,FALSE)</f>
        <v>RJ</v>
      </c>
      <c r="L27" s="24" t="str">
        <f>PROPER(TRIM(VLOOKUP('Final Data'!C27,Product_Master!A:F,3,FALSE)))</f>
        <v>Stationery</v>
      </c>
      <c r="M27" s="24" t="s">
        <v>227</v>
      </c>
      <c r="N27" s="34">
        <v>2</v>
      </c>
      <c r="O27" s="192">
        <f>VLOOKUP(C27,Product_Master!A:F,5,FALSE)</f>
        <v>15</v>
      </c>
      <c r="P27" s="33">
        <v>0.15</v>
      </c>
      <c r="Q27" s="34">
        <f t="shared" si="0"/>
        <v>25.5</v>
      </c>
      <c r="R27" s="34">
        <v>1</v>
      </c>
      <c r="S27" s="24" t="s">
        <v>2149</v>
      </c>
      <c r="T27" s="24" t="s">
        <v>35</v>
      </c>
      <c r="U27" s="24" t="s">
        <v>89</v>
      </c>
      <c r="V27" s="34">
        <v>9193154372</v>
      </c>
      <c r="W27" s="24" t="str">
        <f>VLOOKUP(C27,Product_Master!A:F,4,FALSE)</f>
        <v>Prime Supplies</v>
      </c>
      <c r="X27" s="34">
        <f>VLOOKUP(C27,Product_Master!A:F,6,FALSE)</f>
        <v>12</v>
      </c>
      <c r="Y27" s="24" t="str">
        <f>VLOOKUP(B27,Custumer_Master!A:D,3,FALSE)</f>
        <v>Silver</v>
      </c>
      <c r="Z27" s="30">
        <f>EDATE(E27,X27)</f>
        <v>46205</v>
      </c>
      <c r="AA27" s="29" t="str">
        <f>VLOOKUP(B27,Custumer_Master!A:K,11,)</f>
        <v>February</v>
      </c>
      <c r="AB27" s="24" t="s">
        <v>2160</v>
      </c>
      <c r="AC27" s="138" t="str">
        <f>PROPER(LEFT(TRIM(F27), 3)) &amp; RIGHT(TRIM(B27), 3) &amp; PROPER(LEFT(TRIM(I27), 2))</f>
        <v>Arj007Hy</v>
      </c>
      <c r="AD27" s="154">
        <f t="shared" ca="1" si="1"/>
        <v>38</v>
      </c>
      <c r="AE27" s="154">
        <f>IFERROR(IF(OR(E27="", D27="", LOWER(TRIM(E27))="pending", LOWER(TRIM(D27))="pending"), "Pending", E27 - D27), "Pending")</f>
        <v>8</v>
      </c>
      <c r="AF27" s="138" t="str">
        <f>IFERROR(IF(OR(E27="", D27="","Pending","Pending"), "Pending", IF((E27 - D27) &lt;= 5, "On Time", "Delayed")), "Pending")</f>
        <v>Delayed</v>
      </c>
      <c r="AG27" s="24" t="str">
        <f t="shared" si="2"/>
        <v>Completed</v>
      </c>
    </row>
    <row r="28" spans="1:33">
      <c r="A28" s="24" t="s">
        <v>235</v>
      </c>
      <c r="B28" s="24" t="s">
        <v>71</v>
      </c>
      <c r="C28" s="24" t="s">
        <v>92</v>
      </c>
      <c r="D28" s="30">
        <v>45799</v>
      </c>
      <c r="E28" s="30" t="s">
        <v>237</v>
      </c>
      <c r="F28" s="24" t="str">
        <f>VLOOKUP(B28,Custumer_Master!A:D,2,FALSE)</f>
        <v>Mohit Verma</v>
      </c>
      <c r="G28" s="24" t="str">
        <f>VLOOKUP($B28,Custumer_Master!$A:$J,6,FALSE)</f>
        <v>Male</v>
      </c>
      <c r="H28" s="30" t="str">
        <f>VLOOKUP($B28,Custumer_Master!$A:$J,7,FALSE)</f>
        <v>13/04/1976</v>
      </c>
      <c r="I28" s="24" t="str">
        <f>VLOOKUP($B28,Custumer_Master!$A:$J,9,FALSE)</f>
        <v>Delhi</v>
      </c>
      <c r="J28" s="24" t="str">
        <f>VLOOKUP($B28,Custumer_Master!$A:$J,10,FALSE)</f>
        <v>North</v>
      </c>
      <c r="K28" s="24" t="str">
        <f>VLOOKUP(B28,Custumer_Master!A:D,4,FALSE)</f>
        <v>KA</v>
      </c>
      <c r="L28" s="24" t="str">
        <f>PROPER(TRIM(VLOOKUP('Final Data'!C28,Product_Master!A:F,3,FALSE)))</f>
        <v>Home Appliances</v>
      </c>
      <c r="M28" s="24" t="s">
        <v>97</v>
      </c>
      <c r="N28" s="34">
        <v>12</v>
      </c>
      <c r="O28" s="192">
        <f>VLOOKUP(C28,Product_Master!A:F,5,FALSE)</f>
        <v>2625</v>
      </c>
      <c r="P28" s="33">
        <v>0.15</v>
      </c>
      <c r="Q28" s="34">
        <f t="shared" si="0"/>
        <v>26775</v>
      </c>
      <c r="R28" s="34">
        <v>4</v>
      </c>
      <c r="S28" s="24" t="s">
        <v>34</v>
      </c>
      <c r="T28" s="24" t="s">
        <v>49</v>
      </c>
      <c r="U28" s="24" t="s">
        <v>80</v>
      </c>
      <c r="V28" s="34">
        <v>9400073244</v>
      </c>
      <c r="W28" s="24" t="str">
        <f>VLOOKUP(C28,Product_Master!A:F,4,FALSE)</f>
        <v>Global Trade</v>
      </c>
      <c r="X28" s="34">
        <f>VLOOKUP(C28,Product_Master!A:F,6,FALSE)</f>
        <v>6</v>
      </c>
      <c r="Y28" s="24" t="str">
        <f>VLOOKUP(B28,Custumer_Master!A:D,3,FALSE)</f>
        <v>Platinum</v>
      </c>
      <c r="Z28" s="30">
        <f>EDATE(E28,X28)</f>
        <v>45986</v>
      </c>
      <c r="AA28" s="29" t="str">
        <f>VLOOKUP(B28,Custumer_Master!A:K,11,)</f>
        <v>April</v>
      </c>
      <c r="AB28" s="24" t="s">
        <v>2108</v>
      </c>
      <c r="AC28" s="138" t="str">
        <f>PROPER(LEFT(TRIM(F28), 3)) &amp; RIGHT(TRIM(B28), 3) &amp; PROPER(LEFT(TRIM(I28), 2))</f>
        <v>Moh009De</v>
      </c>
      <c r="AD28" s="154">
        <f t="shared" ca="1" si="1"/>
        <v>50</v>
      </c>
      <c r="AE28" s="154">
        <f>IFERROR(IF(OR(E28="", D28="", LOWER(TRIM(E28))="pending", LOWER(TRIM(D28))="pending"), "Pending", E28 - D28), "Pending")</f>
        <v>3</v>
      </c>
      <c r="AF28" s="138" t="str">
        <f>IFERROR(IF(OR(E28="", D28="","Pending","Pending"), "Pending", IF((E28 - D28) &lt;= 5, "On Time", "Delayed")), "Pending")</f>
        <v>On Time</v>
      </c>
      <c r="AG28" s="24" t="str">
        <f t="shared" si="2"/>
        <v>Completed</v>
      </c>
    </row>
    <row r="29" spans="1:33">
      <c r="A29" s="24" t="s">
        <v>240</v>
      </c>
      <c r="B29" s="24" t="s">
        <v>23</v>
      </c>
      <c r="C29" s="24" t="s">
        <v>72</v>
      </c>
      <c r="D29" s="30">
        <v>46094</v>
      </c>
      <c r="E29" s="30" t="s">
        <v>242</v>
      </c>
      <c r="F29" s="24" t="str">
        <f>VLOOKUP(B29,Custumer_Master!A:D,2,FALSE)</f>
        <v>Kavya Nair</v>
      </c>
      <c r="G29" s="24" t="str">
        <f>VLOOKUP($B29,Custumer_Master!$A:$J,6,FALSE)</f>
        <v>Female</v>
      </c>
      <c r="H29" s="30" t="str">
        <f>VLOOKUP($B29,Custumer_Master!$A:$J,7,FALSE)</f>
        <v>01/08/1976</v>
      </c>
      <c r="I29" s="24" t="str">
        <f>VLOOKUP($B29,Custumer_Master!$A:$J,9,FALSE)</f>
        <v>Hyderabad</v>
      </c>
      <c r="J29" s="24" t="str">
        <f>VLOOKUP($B29,Custumer_Master!$A:$J,10,FALSE)</f>
        <v>South</v>
      </c>
      <c r="K29" s="24" t="str">
        <f>VLOOKUP(B29,Custumer_Master!A:D,4,FALSE)</f>
        <v>WB</v>
      </c>
      <c r="L29" s="24" t="str">
        <f>PROPER(TRIM(VLOOKUP('Final Data'!C29,Product_Master!A:F,3,FALSE)))</f>
        <v>Electronics</v>
      </c>
      <c r="M29" s="24" t="s">
        <v>78</v>
      </c>
      <c r="N29" s="34">
        <v>11</v>
      </c>
      <c r="O29" s="192">
        <f>VLOOKUP(C29,Product_Master!A:F,5,FALSE)</f>
        <v>900</v>
      </c>
      <c r="P29" s="33">
        <v>0</v>
      </c>
      <c r="Q29" s="34">
        <f t="shared" si="0"/>
        <v>9900</v>
      </c>
      <c r="R29" s="34">
        <v>2</v>
      </c>
      <c r="S29" s="24" t="s">
        <v>2149</v>
      </c>
      <c r="T29" s="24" t="s">
        <v>151</v>
      </c>
      <c r="U29" s="24" t="s">
        <v>50</v>
      </c>
      <c r="V29" s="34">
        <v>9771556720</v>
      </c>
      <c r="W29" s="24" t="str">
        <f>VLOOKUP(C29,Product_Master!A:F,4,FALSE)</f>
        <v>TechHub</v>
      </c>
      <c r="X29" s="34">
        <f>VLOOKUP(C29,Product_Master!A:F,6,FALSE)</f>
        <v>6</v>
      </c>
      <c r="Y29" s="24" t="str">
        <f>VLOOKUP(B29,Custumer_Master!A:D,3,FALSE)</f>
        <v>Silver</v>
      </c>
      <c r="Z29" s="30">
        <f>EDATE(E29,X29)</f>
        <v>46285</v>
      </c>
      <c r="AA29" s="29" t="str">
        <f>VLOOKUP(B29,Custumer_Master!A:K,11,)</f>
        <v>August</v>
      </c>
      <c r="AB29" s="24" t="s">
        <v>2160</v>
      </c>
      <c r="AC29" s="138" t="str">
        <f>PROPER(LEFT(TRIM(F29), 3)) &amp; RIGHT(TRIM(B29), 3) &amp; PROPER(LEFT(TRIM(I29), 2))</f>
        <v>Kav008Hy</v>
      </c>
      <c r="AD29" s="154">
        <f t="shared" ca="1" si="1"/>
        <v>49</v>
      </c>
      <c r="AE29" s="154">
        <f>IFERROR(IF(OR(E29="", D29="", LOWER(TRIM(E29))="pending", LOWER(TRIM(D29))="pending"), "Pending", E29 - D29), "Pending")</f>
        <v>7</v>
      </c>
      <c r="AF29" s="138" t="str">
        <f>IFERROR(IF(OR(E29="", D29="","Pending","Pending"), "Pending", IF((E29 - D29) &lt;= 5, "On Time", "Delayed")), "Pending")</f>
        <v>Delayed</v>
      </c>
      <c r="AG29" s="24" t="str">
        <f t="shared" si="2"/>
        <v>Completed</v>
      </c>
    </row>
    <row r="30" spans="1:33">
      <c r="A30" s="24" t="s">
        <v>245</v>
      </c>
      <c r="B30" s="24" t="s">
        <v>127</v>
      </c>
      <c r="C30" s="24" t="s">
        <v>169</v>
      </c>
      <c r="D30" s="30">
        <v>45908</v>
      </c>
      <c r="E30" s="30" t="s">
        <v>247</v>
      </c>
      <c r="F30" s="24" t="str">
        <f>VLOOKUP(B30,Custumer_Master!A:D,2,FALSE)</f>
        <v>Rohit Singh</v>
      </c>
      <c r="G30" s="24" t="str">
        <f>VLOOKUP($B30,Custumer_Master!$A:$J,6,FALSE)</f>
        <v>Male</v>
      </c>
      <c r="H30" s="30" t="str">
        <f>VLOOKUP($B30,Custumer_Master!$A:$J,7,FALSE)</f>
        <v>10/05/1982</v>
      </c>
      <c r="I30" s="24" t="str">
        <f>VLOOKUP($B30,Custumer_Master!$A:$J,9,FALSE)</f>
        <v>Delhi</v>
      </c>
      <c r="J30" s="24" t="str">
        <f>VLOOKUP($B30,Custumer_Master!$A:$J,10,FALSE)</f>
        <v>North</v>
      </c>
      <c r="K30" s="24" t="str">
        <f>VLOOKUP(B30,Custumer_Master!A:D,4,FALSE)</f>
        <v>DL</v>
      </c>
      <c r="L30" s="24" t="str">
        <f>PROPER(TRIM(VLOOKUP('Final Data'!C30,Product_Master!A:F,3,FALSE)))</f>
        <v>Home Appliances</v>
      </c>
      <c r="M30" s="24" t="s">
        <v>174</v>
      </c>
      <c r="N30" s="34">
        <v>6</v>
      </c>
      <c r="O30" s="192">
        <f>VLOOKUP(C30,Product_Master!A:F,5,FALSE)</f>
        <v>6375</v>
      </c>
      <c r="P30" s="33">
        <v>0.65</v>
      </c>
      <c r="Q30" s="34">
        <f t="shared" si="0"/>
        <v>13387.5</v>
      </c>
      <c r="R30" s="34">
        <v>1</v>
      </c>
      <c r="S30" s="24" t="s">
        <v>79</v>
      </c>
      <c r="T30" s="24" t="s">
        <v>61</v>
      </c>
      <c r="U30" s="24" t="s">
        <v>132</v>
      </c>
      <c r="V30" s="34">
        <v>9127480734</v>
      </c>
      <c r="W30" s="24" t="str">
        <f>VLOOKUP(C30,Product_Master!A:F,4,FALSE)</f>
        <v>TechHub</v>
      </c>
      <c r="X30" s="34">
        <f>VLOOKUP(C30,Product_Master!A:F,6,FALSE)</f>
        <v>24</v>
      </c>
      <c r="Y30" s="24" t="str">
        <f>VLOOKUP(B30,Custumer_Master!A:D,3,FALSE)</f>
        <v>Gold</v>
      </c>
      <c r="Z30" s="30">
        <f>EDATE(E30,X30)</f>
        <v>46650</v>
      </c>
      <c r="AA30" s="29" t="str">
        <f>VLOOKUP(B30,Custumer_Master!A:K,11,)</f>
        <v>May</v>
      </c>
      <c r="AB30" s="24" t="s">
        <v>2160</v>
      </c>
      <c r="AC30" s="138" t="str">
        <f>PROPER(LEFT(TRIM(F30), 3)) &amp; RIGHT(TRIM(B30), 3) &amp; PROPER(LEFT(TRIM(I30), 2))</f>
        <v>Roh003De</v>
      </c>
      <c r="AD30" s="154">
        <f t="shared" ca="1" si="1"/>
        <v>44</v>
      </c>
      <c r="AE30" s="154">
        <f>IFERROR(IF(OR(E30="", D30="", LOWER(TRIM(E30))="pending", LOWER(TRIM(D30))="pending"), "Pending", E30 - D30), "Pending")</f>
        <v>12</v>
      </c>
      <c r="AF30" s="138" t="str">
        <f>IFERROR(IF(OR(E30="", D30="","Pending","Pending"), "Pending", IF((E30 - D30) &lt;= 5, "On Time", "Delayed")), "Pending")</f>
        <v>Delayed</v>
      </c>
      <c r="AG30" s="24" t="str">
        <f t="shared" si="2"/>
        <v>Completed</v>
      </c>
    </row>
    <row r="31" spans="1:33">
      <c r="A31" s="24" t="s">
        <v>250</v>
      </c>
      <c r="B31" s="24" t="s">
        <v>251</v>
      </c>
      <c r="C31" s="24" t="s">
        <v>118</v>
      </c>
      <c r="D31" s="30">
        <v>46033</v>
      </c>
      <c r="E31" s="30" t="s">
        <v>253</v>
      </c>
      <c r="F31" s="24" t="str">
        <f>VLOOKUP(B31,Custumer_Master!A:D,2,FALSE)</f>
        <v>Sneha Joshi</v>
      </c>
      <c r="G31" s="24" t="str">
        <f>VLOOKUP($B31,Custumer_Master!$A:$J,6,FALSE)</f>
        <v>Female</v>
      </c>
      <c r="H31" s="30" t="str">
        <f>VLOOKUP($B31,Custumer_Master!$A:$J,7,FALSE)</f>
        <v>04/04/1981</v>
      </c>
      <c r="I31" s="24" t="str">
        <f>VLOOKUP($B31,Custumer_Master!$A:$J,9,FALSE)</f>
        <v>Pune</v>
      </c>
      <c r="J31" s="24" t="str">
        <f>VLOOKUP($B31,Custumer_Master!$A:$J,10,FALSE)</f>
        <v>West</v>
      </c>
      <c r="K31" s="24" t="str">
        <f>VLOOKUP(B31,Custumer_Master!A:D,4,FALSE)</f>
        <v>WB</v>
      </c>
      <c r="L31" s="24" t="str">
        <f>PROPER(TRIM(VLOOKUP('Final Data'!C31,Product_Master!A:F,3,FALSE)))</f>
        <v>Stationery</v>
      </c>
      <c r="M31" s="24" t="s">
        <v>123</v>
      </c>
      <c r="N31" s="34">
        <v>2</v>
      </c>
      <c r="O31" s="192">
        <f>VLOOKUP(C31,Product_Master!A:F,5,FALSE)</f>
        <v>45</v>
      </c>
      <c r="P31" s="33">
        <v>0.05</v>
      </c>
      <c r="Q31" s="34">
        <f t="shared" si="0"/>
        <v>85.5</v>
      </c>
      <c r="R31" s="34">
        <v>3</v>
      </c>
      <c r="S31" s="24" t="s">
        <v>34</v>
      </c>
      <c r="T31" s="24" t="s">
        <v>151</v>
      </c>
      <c r="U31" s="24" t="s">
        <v>256</v>
      </c>
      <c r="V31" s="34">
        <v>9512997042</v>
      </c>
      <c r="W31" s="24" t="str">
        <f>VLOOKUP(C31,Product_Master!A:F,4,FALSE)</f>
        <v>ABC Corp</v>
      </c>
      <c r="X31" s="34">
        <f>VLOOKUP(C31,Product_Master!A:F,6,FALSE)</f>
        <v>12</v>
      </c>
      <c r="Y31" s="24" t="str">
        <f>VLOOKUP(B31,Custumer_Master!A:D,3,FALSE)</f>
        <v>Gold</v>
      </c>
      <c r="Z31" s="30">
        <f>EDATE(E31,X31)</f>
        <v>46403</v>
      </c>
      <c r="AA31" s="29" t="str">
        <f>VLOOKUP(B31,Custumer_Master!A:K,11,)</f>
        <v>April</v>
      </c>
      <c r="AB31" s="24" t="s">
        <v>2108</v>
      </c>
      <c r="AC31" s="138" t="str">
        <f>PROPER(LEFT(TRIM(F31), 3)) &amp; RIGHT(TRIM(B31), 3) &amp; PROPER(LEFT(TRIM(I31), 2))</f>
        <v>Sne006Pu</v>
      </c>
      <c r="AD31" s="154">
        <f t="shared" ca="1" si="1"/>
        <v>45</v>
      </c>
      <c r="AE31" s="154">
        <f>IFERROR(IF(OR(E31="", D31="", LOWER(TRIM(E31))="pending", LOWER(TRIM(D31))="pending"), "Pending", E31 - D31), "Pending")</f>
        <v>5</v>
      </c>
      <c r="AF31" s="138" t="str">
        <f>IFERROR(IF(OR(E31="", D31="","Pending","Pending"), "Pending", IF((E31 - D31) &lt;= 5, "On Time", "Delayed")), "Pending")</f>
        <v>On Time</v>
      </c>
      <c r="AG31" s="24" t="str">
        <f t="shared" si="2"/>
        <v>Completed</v>
      </c>
    </row>
    <row r="32" spans="1:33">
      <c r="A32" s="24" t="s">
        <v>258</v>
      </c>
      <c r="B32" s="24" t="s">
        <v>23</v>
      </c>
      <c r="C32" s="24" t="s">
        <v>259</v>
      </c>
      <c r="D32" s="30">
        <v>45824</v>
      </c>
      <c r="E32" s="30" t="s">
        <v>261</v>
      </c>
      <c r="F32" s="24" t="str">
        <f>VLOOKUP(B32,Custumer_Master!A:D,2,FALSE)</f>
        <v>Kavya Nair</v>
      </c>
      <c r="G32" s="24" t="str">
        <f>VLOOKUP($B32,Custumer_Master!$A:$J,6,FALSE)</f>
        <v>Female</v>
      </c>
      <c r="H32" s="30" t="str">
        <f>VLOOKUP($B32,Custumer_Master!$A:$J,7,FALSE)</f>
        <v>01/08/1976</v>
      </c>
      <c r="I32" s="24" t="str">
        <f>VLOOKUP($B32,Custumer_Master!$A:$J,9,FALSE)</f>
        <v>Hyderabad</v>
      </c>
      <c r="J32" s="24" t="str">
        <f>VLOOKUP($B32,Custumer_Master!$A:$J,10,FALSE)</f>
        <v>South</v>
      </c>
      <c r="K32" s="24" t="str">
        <f>VLOOKUP(B32,Custumer_Master!A:D,4,FALSE)</f>
        <v>WB</v>
      </c>
      <c r="L32" s="24" t="str">
        <f>PROPER(TRIM(VLOOKUP('Final Data'!C32,Product_Master!A:F,3,FALSE)))</f>
        <v>Stationery</v>
      </c>
      <c r="M32" s="24" t="s">
        <v>263</v>
      </c>
      <c r="N32" s="34">
        <v>19</v>
      </c>
      <c r="O32" s="192">
        <f>VLOOKUP(C32,Product_Master!A:F,5,FALSE)</f>
        <v>33.75</v>
      </c>
      <c r="P32" s="33">
        <v>0.2</v>
      </c>
      <c r="Q32" s="34">
        <f t="shared" si="0"/>
        <v>513</v>
      </c>
      <c r="R32" s="34">
        <v>4</v>
      </c>
      <c r="S32" s="24" t="s">
        <v>2148</v>
      </c>
      <c r="T32" s="24" t="s">
        <v>61</v>
      </c>
      <c r="U32" s="24" t="s">
        <v>50</v>
      </c>
      <c r="V32" s="34">
        <v>9372748661</v>
      </c>
      <c r="W32" s="24" t="str">
        <f>VLOOKUP(C32,Product_Master!A:F,4,FALSE)</f>
        <v>TechHub</v>
      </c>
      <c r="X32" s="34">
        <f>VLOOKUP(C32,Product_Master!A:F,6,FALSE)</f>
        <v>12</v>
      </c>
      <c r="Y32" s="24" t="str">
        <f>VLOOKUP(B32,Custumer_Master!A:D,3,FALSE)</f>
        <v>Silver</v>
      </c>
      <c r="Z32" s="30">
        <f>EDATE(E32,X32)</f>
        <v>46199</v>
      </c>
      <c r="AA32" s="29" t="str">
        <f>VLOOKUP(B32,Custumer_Master!A:K,11,)</f>
        <v>August</v>
      </c>
      <c r="AB32" s="24" t="s">
        <v>2108</v>
      </c>
      <c r="AC32" s="138" t="str">
        <f>PROPER(LEFT(TRIM(F32), 3)) &amp; RIGHT(TRIM(B32), 3) &amp; PROPER(LEFT(TRIM(I32), 2))</f>
        <v>Kav008Hy</v>
      </c>
      <c r="AD32" s="154">
        <f t="shared" ca="1" si="1"/>
        <v>49</v>
      </c>
      <c r="AE32" s="154">
        <f>IFERROR(IF(OR(E32="", D32="", LOWER(TRIM(E32))="pending", LOWER(TRIM(D32))="pending"), "Pending", E32 - D32), "Pending")</f>
        <v>10</v>
      </c>
      <c r="AF32" s="138" t="str">
        <f>IFERROR(IF(OR(E32="", D32="","Pending","Pending"), "Pending", IF((E32 - D32) &lt;= 5, "On Time", "Delayed")), "Pending")</f>
        <v>Delayed</v>
      </c>
      <c r="AG32" s="24" t="str">
        <f t="shared" si="2"/>
        <v>Completed</v>
      </c>
    </row>
    <row r="33" spans="1:33">
      <c r="A33" s="24" t="s">
        <v>265</v>
      </c>
      <c r="B33" s="24" t="s">
        <v>100</v>
      </c>
      <c r="C33" s="24" t="s">
        <v>40</v>
      </c>
      <c r="D33" s="30">
        <v>45839</v>
      </c>
      <c r="E33" s="30" t="s">
        <v>267</v>
      </c>
      <c r="F33" s="24" t="str">
        <f>VLOOKUP(B33,Custumer_Master!A:D,2,FALSE)</f>
        <v>Priya Patel</v>
      </c>
      <c r="G33" s="24" t="str">
        <f>VLOOKUP($B33,Custumer_Master!$A:$J,6,FALSE)</f>
        <v>Female</v>
      </c>
      <c r="H33" s="30" t="str">
        <f>VLOOKUP($B33,Custumer_Master!$A:$J,7,FALSE)</f>
        <v>07/03/1995</v>
      </c>
      <c r="I33" s="24" t="str">
        <f>VLOOKUP($B33,Custumer_Master!$A:$J,9,FALSE)</f>
        <v>Mumbai</v>
      </c>
      <c r="J33" s="24" t="str">
        <f>VLOOKUP($B33,Custumer_Master!$A:$J,10,FALSE)</f>
        <v>West</v>
      </c>
      <c r="K33" s="24" t="str">
        <f>VLOOKUP(B33,Custumer_Master!A:D,4,FALSE)</f>
        <v>WB</v>
      </c>
      <c r="L33" s="24" t="str">
        <f>PROPER(TRIM(VLOOKUP('Final Data'!C33,Product_Master!A:F,3,FALSE)))</f>
        <v>Electronics</v>
      </c>
      <c r="M33" s="24" t="s">
        <v>47</v>
      </c>
      <c r="N33" s="34">
        <v>11</v>
      </c>
      <c r="O33" s="192">
        <f>VLOOKUP(C33,Product_Master!A:F,5,FALSE)</f>
        <v>9000</v>
      </c>
      <c r="P33" s="33">
        <v>0</v>
      </c>
      <c r="Q33" s="34">
        <f t="shared" si="0"/>
        <v>99000</v>
      </c>
      <c r="R33" s="34">
        <v>3</v>
      </c>
      <c r="S33" s="24" t="s">
        <v>2149</v>
      </c>
      <c r="T33" s="24" t="s">
        <v>35</v>
      </c>
      <c r="U33" s="24" t="s">
        <v>144</v>
      </c>
      <c r="V33" s="34">
        <v>9570437805</v>
      </c>
      <c r="W33" s="24" t="str">
        <f>VLOOKUP(C33,Product_Master!A:F,4,FALSE)</f>
        <v>Global Trade</v>
      </c>
      <c r="X33" s="34">
        <f>VLOOKUP(C33,Product_Master!A:F,6,FALSE)</f>
        <v>24</v>
      </c>
      <c r="Y33" s="24" t="str">
        <f>VLOOKUP(B33,Custumer_Master!A:D,3,FALSE)</f>
        <v>Platinum</v>
      </c>
      <c r="Z33" s="30">
        <f>EDATE(E33,X33)</f>
        <v>46581</v>
      </c>
      <c r="AA33" s="29" t="str">
        <f>VLOOKUP(B33,Custumer_Master!A:K,11,)</f>
        <v>March</v>
      </c>
      <c r="AB33" s="24" t="s">
        <v>2112</v>
      </c>
      <c r="AC33" s="138" t="str">
        <f>PROPER(LEFT(TRIM(F33), 3)) &amp; RIGHT(TRIM(B33), 3) &amp; PROPER(LEFT(TRIM(I33), 2))</f>
        <v>Pri002Mu</v>
      </c>
      <c r="AD33" s="154">
        <f t="shared" ca="1" si="1"/>
        <v>31</v>
      </c>
      <c r="AE33" s="154">
        <f>IFERROR(IF(OR(E33="", D33="", LOWER(TRIM(E33))="pending", LOWER(TRIM(D33))="pending"), "Pending", E33 - D33), "Pending")</f>
        <v>12</v>
      </c>
      <c r="AF33" s="138" t="str">
        <f>IFERROR(IF(OR(E33="", D33="","Pending","Pending"), "Pending", IF((E33 - D33) &lt;= 5, "On Time", "Delayed")), "Pending")</f>
        <v>Delayed</v>
      </c>
      <c r="AG33" s="24" t="str">
        <f t="shared" si="2"/>
        <v>Completed</v>
      </c>
    </row>
    <row r="34" spans="1:33">
      <c r="A34" s="24" t="s">
        <v>271</v>
      </c>
      <c r="B34" s="24" t="s">
        <v>251</v>
      </c>
      <c r="C34" s="24" t="s">
        <v>24</v>
      </c>
      <c r="D34" s="30">
        <v>45723</v>
      </c>
      <c r="E34" s="30" t="s">
        <v>136</v>
      </c>
      <c r="F34" s="24" t="str">
        <f>VLOOKUP(B34,Custumer_Master!A:D,2,FALSE)</f>
        <v>Sneha Joshi</v>
      </c>
      <c r="G34" s="24" t="str">
        <f>VLOOKUP($B34,Custumer_Master!$A:$J,6,FALSE)</f>
        <v>Female</v>
      </c>
      <c r="H34" s="30" t="str">
        <f>VLOOKUP($B34,Custumer_Master!$A:$J,7,FALSE)</f>
        <v>04/04/1981</v>
      </c>
      <c r="I34" s="24" t="str">
        <f>VLOOKUP($B34,Custumer_Master!$A:$J,9,FALSE)</f>
        <v>Pune</v>
      </c>
      <c r="J34" s="24" t="str">
        <f>VLOOKUP($B34,Custumer_Master!$A:$J,10,FALSE)</f>
        <v>West</v>
      </c>
      <c r="K34" s="24" t="str">
        <f>VLOOKUP(B34,Custumer_Master!A:D,4,FALSE)</f>
        <v>WB</v>
      </c>
      <c r="L34" s="24" t="str">
        <f>PROPER(TRIM(VLOOKUP('Final Data'!C34,Product_Master!A:F,3,FALSE)))</f>
        <v>Home Appliances</v>
      </c>
      <c r="M34" s="24" t="s">
        <v>33</v>
      </c>
      <c r="N34" s="34">
        <v>20</v>
      </c>
      <c r="O34" s="192">
        <f>VLOOKUP(C34,Product_Master!A:F,5,FALSE)</f>
        <v>1650</v>
      </c>
      <c r="P34" s="33">
        <v>0.05</v>
      </c>
      <c r="Q34" s="34">
        <f t="shared" si="0"/>
        <v>31350</v>
      </c>
      <c r="R34" s="34">
        <v>1</v>
      </c>
      <c r="S34" s="24" t="s">
        <v>34</v>
      </c>
      <c r="T34" s="24" t="s">
        <v>49</v>
      </c>
      <c r="U34" s="24" t="s">
        <v>256</v>
      </c>
      <c r="V34" s="34">
        <v>9310669113</v>
      </c>
      <c r="W34" s="24" t="str">
        <f>VLOOKUP(C34,Product_Master!A:F,4,FALSE)</f>
        <v>Global Trade</v>
      </c>
      <c r="X34" s="34">
        <f>VLOOKUP(C34,Product_Master!A:F,6,FALSE)</f>
        <v>24</v>
      </c>
      <c r="Y34" s="24" t="str">
        <f>VLOOKUP(B34,Custumer_Master!A:D,3,FALSE)</f>
        <v>Gold</v>
      </c>
      <c r="Z34" s="30">
        <f>EDATE(E34,X34)</f>
        <v>46461</v>
      </c>
      <c r="AA34" s="29" t="str">
        <f>VLOOKUP(B34,Custumer_Master!A:K,11,)</f>
        <v>April</v>
      </c>
      <c r="AB34" s="24" t="s">
        <v>2160</v>
      </c>
      <c r="AC34" s="138" t="str">
        <f>PROPER(LEFT(TRIM(F34), 3)) &amp; RIGHT(TRIM(B34), 3) &amp; PROPER(LEFT(TRIM(I34), 2))</f>
        <v>Sne006Pu</v>
      </c>
      <c r="AD34" s="154">
        <f t="shared" ca="1" si="1"/>
        <v>45</v>
      </c>
      <c r="AE34" s="154">
        <f>IFERROR(IF(OR(E34="", D34="", LOWER(TRIM(E34))="pending", LOWER(TRIM(D34))="pending"), "Pending", E34 - D34), "Pending")</f>
        <v>8</v>
      </c>
      <c r="AF34" s="138" t="str">
        <f>IFERROR(IF(OR(E34="", D34="","Pending","Pending"), "Pending", IF((E34 - D34) &lt;= 5, "On Time", "Delayed")), "Pending")</f>
        <v>Delayed</v>
      </c>
      <c r="AG34" s="24" t="str">
        <f t="shared" si="2"/>
        <v>Completed</v>
      </c>
    </row>
    <row r="35" spans="1:33">
      <c r="A35" s="24" t="s">
        <v>275</v>
      </c>
      <c r="B35" s="24" t="s">
        <v>83</v>
      </c>
      <c r="C35" s="24" t="s">
        <v>222</v>
      </c>
      <c r="D35" s="30">
        <v>45832</v>
      </c>
      <c r="E35" s="30" t="s">
        <v>276</v>
      </c>
      <c r="F35" s="24" t="str">
        <f>VLOOKUP(B35,Custumer_Master!A:D,2,FALSE)</f>
        <v>Arjun Rao</v>
      </c>
      <c r="G35" s="24" t="str">
        <f>VLOOKUP($B35,Custumer_Master!$A:$J,6,FALSE)</f>
        <v>Male</v>
      </c>
      <c r="H35" s="30" t="str">
        <f>VLOOKUP($B35,Custumer_Master!$A:$J,7,FALSE)</f>
        <v>07/02/1988</v>
      </c>
      <c r="I35" s="24" t="str">
        <f>VLOOKUP($B35,Custumer_Master!$A:$J,9,FALSE)</f>
        <v>Hyderabad</v>
      </c>
      <c r="J35" s="24" t="str">
        <f>VLOOKUP($B35,Custumer_Master!$A:$J,10,FALSE)</f>
        <v>South</v>
      </c>
      <c r="K35" s="24" t="str">
        <f>VLOOKUP(B35,Custumer_Master!A:D,4,FALSE)</f>
        <v>RJ</v>
      </c>
      <c r="L35" s="24" t="str">
        <f>PROPER(TRIM(VLOOKUP('Final Data'!C35,Product_Master!A:F,3,FALSE)))</f>
        <v>Stationery</v>
      </c>
      <c r="M35" s="24" t="s">
        <v>227</v>
      </c>
      <c r="N35" s="34">
        <v>3</v>
      </c>
      <c r="O35" s="192">
        <f>VLOOKUP(C35,Product_Master!A:F,5,FALSE)</f>
        <v>15</v>
      </c>
      <c r="P35" s="33">
        <v>0</v>
      </c>
      <c r="Q35" s="34">
        <f t="shared" si="0"/>
        <v>45</v>
      </c>
      <c r="R35" s="34">
        <v>2</v>
      </c>
      <c r="S35" s="24" t="s">
        <v>79</v>
      </c>
      <c r="T35" s="24" t="s">
        <v>35</v>
      </c>
      <c r="U35" s="24" t="s">
        <v>89</v>
      </c>
      <c r="V35" s="34">
        <v>9437132894</v>
      </c>
      <c r="W35" s="24" t="str">
        <f>VLOOKUP(C35,Product_Master!A:F,4,FALSE)</f>
        <v>Prime Supplies</v>
      </c>
      <c r="X35" s="34">
        <f>VLOOKUP(C35,Product_Master!A:F,6,FALSE)</f>
        <v>12</v>
      </c>
      <c r="Y35" s="24" t="str">
        <f>VLOOKUP(B35,Custumer_Master!A:D,3,FALSE)</f>
        <v>Silver</v>
      </c>
      <c r="Z35" s="30">
        <f>EDATE(E35,X35)</f>
        <v>46207</v>
      </c>
      <c r="AA35" s="29" t="str">
        <f>VLOOKUP(B35,Custumer_Master!A:K,11,)</f>
        <v>February</v>
      </c>
      <c r="AB35" s="24" t="s">
        <v>2160</v>
      </c>
      <c r="AC35" s="138" t="str">
        <f>PROPER(LEFT(TRIM(F35), 3)) &amp; RIGHT(TRIM(B35), 3) &amp; PROPER(LEFT(TRIM(I35), 2))</f>
        <v>Arj007Hy</v>
      </c>
      <c r="AD35" s="154">
        <f t="shared" ca="1" si="1"/>
        <v>38</v>
      </c>
      <c r="AE35" s="154">
        <f>IFERROR(IF(OR(E35="", D35="", LOWER(TRIM(E35))="pending", LOWER(TRIM(D35))="pending"), "Pending", E35 - D35), "Pending")</f>
        <v>10</v>
      </c>
      <c r="AF35" s="138" t="str">
        <f>IFERROR(IF(OR(E35="", D35="","Pending","Pending"), "Pending", IF((E35 - D35) &lt;= 5, "On Time", "Delayed")), "Pending")</f>
        <v>Delayed</v>
      </c>
      <c r="AG35" s="24" t="str">
        <f t="shared" si="2"/>
        <v>Completed</v>
      </c>
    </row>
    <row r="36" spans="1:33">
      <c r="A36" s="24" t="s">
        <v>280</v>
      </c>
      <c r="B36" s="24" t="s">
        <v>127</v>
      </c>
      <c r="C36" s="24" t="s">
        <v>259</v>
      </c>
      <c r="D36" s="30">
        <v>45939</v>
      </c>
      <c r="E36" s="30" t="s">
        <v>282</v>
      </c>
      <c r="F36" s="24" t="str">
        <f>VLOOKUP(B36,Custumer_Master!A:D,2,FALSE)</f>
        <v>Rohit Singh</v>
      </c>
      <c r="G36" s="24" t="str">
        <f>VLOOKUP($B36,Custumer_Master!$A:$J,6,FALSE)</f>
        <v>Male</v>
      </c>
      <c r="H36" s="30" t="str">
        <f>VLOOKUP($B36,Custumer_Master!$A:$J,7,FALSE)</f>
        <v>10/05/1982</v>
      </c>
      <c r="I36" s="24" t="str">
        <f>VLOOKUP($B36,Custumer_Master!$A:$J,9,FALSE)</f>
        <v>Delhi</v>
      </c>
      <c r="J36" s="24" t="str">
        <f>VLOOKUP($B36,Custumer_Master!$A:$J,10,FALSE)</f>
        <v>North</v>
      </c>
      <c r="K36" s="24" t="str">
        <f>VLOOKUP(B36,Custumer_Master!A:D,4,FALSE)</f>
        <v>DL</v>
      </c>
      <c r="L36" s="24" t="str">
        <f>PROPER(TRIM(VLOOKUP('Final Data'!C36,Product_Master!A:F,3,FALSE)))</f>
        <v>Stationery</v>
      </c>
      <c r="M36" s="24" t="s">
        <v>263</v>
      </c>
      <c r="N36" s="34">
        <v>18</v>
      </c>
      <c r="O36" s="192">
        <f>VLOOKUP(C36,Product_Master!A:F,5,FALSE)</f>
        <v>33.75</v>
      </c>
      <c r="P36" s="33">
        <v>0.2</v>
      </c>
      <c r="Q36" s="34">
        <f t="shared" si="0"/>
        <v>486</v>
      </c>
      <c r="R36" s="34">
        <v>4</v>
      </c>
      <c r="S36" s="24" t="s">
        <v>2148</v>
      </c>
      <c r="T36" s="24" t="s">
        <v>35</v>
      </c>
      <c r="U36" s="24" t="s">
        <v>132</v>
      </c>
      <c r="V36" s="34">
        <v>9762437243</v>
      </c>
      <c r="W36" s="24" t="str">
        <f>VLOOKUP(C36,Product_Master!A:F,4,FALSE)</f>
        <v>TechHub</v>
      </c>
      <c r="X36" s="34">
        <f>VLOOKUP(C36,Product_Master!A:F,6,FALSE)</f>
        <v>12</v>
      </c>
      <c r="Y36" s="24" t="str">
        <f>VLOOKUP(B36,Custumer_Master!A:D,3,FALSE)</f>
        <v>Gold</v>
      </c>
      <c r="Z36" s="30">
        <f>EDATE(E36,X36)</f>
        <v>46314</v>
      </c>
      <c r="AA36" s="29" t="str">
        <f>VLOOKUP(B36,Custumer_Master!A:K,11,)</f>
        <v>May</v>
      </c>
      <c r="AB36" s="24" t="s">
        <v>2108</v>
      </c>
      <c r="AC36" s="138" t="str">
        <f>PROPER(LEFT(TRIM(F36), 3)) &amp; RIGHT(TRIM(B36), 3) &amp; PROPER(LEFT(TRIM(I36), 2))</f>
        <v>Roh003De</v>
      </c>
      <c r="AD36" s="154">
        <f t="shared" ca="1" si="1"/>
        <v>44</v>
      </c>
      <c r="AE36" s="154">
        <f>IFERROR(IF(OR(E36="", D36="", LOWER(TRIM(E36))="pending", LOWER(TRIM(D36))="pending"), "Pending", E36 - D36), "Pending")</f>
        <v>10</v>
      </c>
      <c r="AF36" s="138" t="str">
        <f>IFERROR(IF(OR(E36="", D36="","Pending","Pending"), "Pending", IF((E36 - D36) &lt;= 5, "On Time", "Delayed")), "Pending")</f>
        <v>Delayed</v>
      </c>
      <c r="AG36" s="24" t="str">
        <f t="shared" si="2"/>
        <v>Completed</v>
      </c>
    </row>
    <row r="37" spans="1:33">
      <c r="A37" s="24" t="s">
        <v>285</v>
      </c>
      <c r="B37" s="24" t="s">
        <v>127</v>
      </c>
      <c r="C37" s="24" t="s">
        <v>72</v>
      </c>
      <c r="D37" s="30">
        <v>45980</v>
      </c>
      <c r="E37" s="30" t="s">
        <v>287</v>
      </c>
      <c r="F37" s="24" t="str">
        <f>VLOOKUP(B37,Custumer_Master!A:D,2,FALSE)</f>
        <v>Rohit Singh</v>
      </c>
      <c r="G37" s="24" t="str">
        <f>VLOOKUP($B37,Custumer_Master!$A:$J,6,FALSE)</f>
        <v>Male</v>
      </c>
      <c r="H37" s="30" t="str">
        <f>VLOOKUP($B37,Custumer_Master!$A:$J,7,FALSE)</f>
        <v>10/05/1982</v>
      </c>
      <c r="I37" s="24" t="str">
        <f>VLOOKUP($B37,Custumer_Master!$A:$J,9,FALSE)</f>
        <v>Delhi</v>
      </c>
      <c r="J37" s="24" t="str">
        <f>VLOOKUP($B37,Custumer_Master!$A:$J,10,FALSE)</f>
        <v>North</v>
      </c>
      <c r="K37" s="24" t="str">
        <f>VLOOKUP(B37,Custumer_Master!A:D,4,FALSE)</f>
        <v>DL</v>
      </c>
      <c r="L37" s="24" t="str">
        <f>PROPER(TRIM(VLOOKUP('Final Data'!C37,Product_Master!A:F,3,FALSE)))</f>
        <v>Electronics</v>
      </c>
      <c r="M37" s="24" t="s">
        <v>78</v>
      </c>
      <c r="N37" s="34">
        <v>4</v>
      </c>
      <c r="O37" s="192">
        <f>VLOOKUP(C37,Product_Master!A:F,5,FALSE)</f>
        <v>900</v>
      </c>
      <c r="P37" s="33">
        <v>0.2</v>
      </c>
      <c r="Q37" s="34">
        <f t="shared" si="0"/>
        <v>2880</v>
      </c>
      <c r="R37" s="34">
        <v>3</v>
      </c>
      <c r="S37" s="24" t="s">
        <v>2148</v>
      </c>
      <c r="T37" s="24" t="s">
        <v>61</v>
      </c>
      <c r="U37" s="24" t="s">
        <v>132</v>
      </c>
      <c r="V37" s="34">
        <v>9149046970</v>
      </c>
      <c r="W37" s="24" t="str">
        <f>VLOOKUP(C37,Product_Master!A:F,4,FALSE)</f>
        <v>TechHub</v>
      </c>
      <c r="X37" s="34">
        <f>VLOOKUP(C37,Product_Master!A:F,6,FALSE)</f>
        <v>6</v>
      </c>
      <c r="Y37" s="24" t="str">
        <f>VLOOKUP(B37,Custumer_Master!A:D,3,FALSE)</f>
        <v>Gold</v>
      </c>
      <c r="Z37" s="30">
        <f>EDATE(E37,X37)</f>
        <v>46168</v>
      </c>
      <c r="AA37" s="29" t="str">
        <f>VLOOKUP(B37,Custumer_Master!A:K,11,)</f>
        <v>May</v>
      </c>
      <c r="AB37" s="24" t="s">
        <v>2108</v>
      </c>
      <c r="AC37" s="138" t="str">
        <f>PROPER(LEFT(TRIM(F37), 3)) &amp; RIGHT(TRIM(B37), 3) &amp; PROPER(LEFT(TRIM(I37), 2))</f>
        <v>Roh003De</v>
      </c>
      <c r="AD37" s="154">
        <f t="shared" ca="1" si="1"/>
        <v>44</v>
      </c>
      <c r="AE37" s="154">
        <f>IFERROR(IF(OR(E37="", D37="", LOWER(TRIM(E37))="pending", LOWER(TRIM(D37))="pending"), "Pending", E37 - D37), "Pending")</f>
        <v>7</v>
      </c>
      <c r="AF37" s="138" t="str">
        <f>IFERROR(IF(OR(E37="", D37="","Pending","Pending"), "Pending", IF((E37 - D37) &lt;= 5, "On Time", "Delayed")), "Pending")</f>
        <v>Delayed</v>
      </c>
      <c r="AG37" s="24" t="str">
        <f t="shared" si="2"/>
        <v>Completed</v>
      </c>
    </row>
    <row r="38" spans="1:33">
      <c r="A38" s="24" t="s">
        <v>290</v>
      </c>
      <c r="B38" s="24" t="s">
        <v>71</v>
      </c>
      <c r="C38" s="24" t="s">
        <v>54</v>
      </c>
      <c r="D38" s="30">
        <v>45966</v>
      </c>
      <c r="E38" s="30" t="s">
        <v>292</v>
      </c>
      <c r="F38" s="24" t="str">
        <f>VLOOKUP(B38,Custumer_Master!A:D,2,FALSE)</f>
        <v>Mohit Verma</v>
      </c>
      <c r="G38" s="24" t="str">
        <f>VLOOKUP($B38,Custumer_Master!$A:$J,6,FALSE)</f>
        <v>Male</v>
      </c>
      <c r="H38" s="30" t="str">
        <f>VLOOKUP($B38,Custumer_Master!$A:$J,7,FALSE)</f>
        <v>13/04/1976</v>
      </c>
      <c r="I38" s="24" t="str">
        <f>VLOOKUP($B38,Custumer_Master!$A:$J,9,FALSE)</f>
        <v>Delhi</v>
      </c>
      <c r="J38" s="24" t="str">
        <f>VLOOKUP($B38,Custumer_Master!$A:$J,10,FALSE)</f>
        <v>North</v>
      </c>
      <c r="K38" s="24" t="str">
        <f>VLOOKUP(B38,Custumer_Master!A:D,4,FALSE)</f>
        <v>KA</v>
      </c>
      <c r="L38" s="24" t="str">
        <f>PROPER(TRIM(VLOOKUP('Final Data'!C38,Product_Master!A:F,3,FALSE)))</f>
        <v>Electronics</v>
      </c>
      <c r="M38" s="24" t="s">
        <v>60</v>
      </c>
      <c r="N38" s="34">
        <v>10</v>
      </c>
      <c r="O38" s="192">
        <f>VLOOKUP(C38,Product_Master!A:F,5,FALSE)</f>
        <v>41250</v>
      </c>
      <c r="P38" s="33">
        <v>0</v>
      </c>
      <c r="Q38" s="34">
        <f t="shared" si="0"/>
        <v>412500</v>
      </c>
      <c r="R38" s="34">
        <v>1</v>
      </c>
      <c r="S38" s="24" t="s">
        <v>2149</v>
      </c>
      <c r="T38" s="24" t="s">
        <v>49</v>
      </c>
      <c r="U38" s="24" t="s">
        <v>80</v>
      </c>
      <c r="V38" s="34">
        <v>9869182901</v>
      </c>
      <c r="W38" s="24" t="str">
        <f>VLOOKUP(C38,Product_Master!A:F,4,FALSE)</f>
        <v>TechHub</v>
      </c>
      <c r="X38" s="34">
        <f>VLOOKUP(C38,Product_Master!A:F,6,FALSE)</f>
        <v>12</v>
      </c>
      <c r="Y38" s="24" t="str">
        <f>VLOOKUP(B38,Custumer_Master!A:D,3,FALSE)</f>
        <v>Platinum</v>
      </c>
      <c r="Z38" s="30">
        <f>EDATE(E38,X38)</f>
        <v>46340</v>
      </c>
      <c r="AA38" s="29" t="str">
        <f>VLOOKUP(B38,Custumer_Master!A:K,11,)</f>
        <v>April</v>
      </c>
      <c r="AB38" s="24" t="s">
        <v>2160</v>
      </c>
      <c r="AC38" s="138" t="str">
        <f>PROPER(LEFT(TRIM(F38), 3)) &amp; RIGHT(TRIM(B38), 3) &amp; PROPER(LEFT(TRIM(I38), 2))</f>
        <v>Moh009De</v>
      </c>
      <c r="AD38" s="154">
        <f t="shared" ca="1" si="1"/>
        <v>50</v>
      </c>
      <c r="AE38" s="154">
        <f>IFERROR(IF(OR(E38="", D38="", LOWER(TRIM(E38))="pending", LOWER(TRIM(D38))="pending"), "Pending", E38 - D38), "Pending")</f>
        <v>9</v>
      </c>
      <c r="AF38" s="138" t="str">
        <f>IFERROR(IF(OR(E38="", D38="","Pending","Pending"), "Pending", IF((E38 - D38) &lt;= 5, "On Time", "Delayed")), "Pending")</f>
        <v>Delayed</v>
      </c>
      <c r="AG38" s="24" t="str">
        <f t="shared" si="2"/>
        <v>Completed</v>
      </c>
    </row>
    <row r="39" spans="1:33">
      <c r="A39" s="24" t="s">
        <v>297</v>
      </c>
      <c r="B39" s="24" t="s">
        <v>251</v>
      </c>
      <c r="C39" s="24" t="s">
        <v>92</v>
      </c>
      <c r="D39" s="30">
        <v>46089</v>
      </c>
      <c r="E39" s="30" t="s">
        <v>242</v>
      </c>
      <c r="F39" s="24" t="str">
        <f>VLOOKUP(B39,Custumer_Master!A:D,2,FALSE)</f>
        <v>Sneha Joshi</v>
      </c>
      <c r="G39" s="24" t="str">
        <f>VLOOKUP($B39,Custumer_Master!$A:$J,6,FALSE)</f>
        <v>Female</v>
      </c>
      <c r="H39" s="30" t="str">
        <f>VLOOKUP($B39,Custumer_Master!$A:$J,7,FALSE)</f>
        <v>04/04/1981</v>
      </c>
      <c r="I39" s="24" t="str">
        <f>VLOOKUP($B39,Custumer_Master!$A:$J,9,FALSE)</f>
        <v>Pune</v>
      </c>
      <c r="J39" s="24" t="str">
        <f>VLOOKUP($B39,Custumer_Master!$A:$J,10,FALSE)</f>
        <v>West</v>
      </c>
      <c r="K39" s="24" t="str">
        <f>VLOOKUP(B39,Custumer_Master!A:D,4,FALSE)</f>
        <v>WB</v>
      </c>
      <c r="L39" s="24" t="str">
        <f>PROPER(TRIM(VLOOKUP('Final Data'!C39,Product_Master!A:F,3,FALSE)))</f>
        <v>Home Appliances</v>
      </c>
      <c r="M39" s="24" t="s">
        <v>97</v>
      </c>
      <c r="N39" s="34">
        <v>20</v>
      </c>
      <c r="O39" s="192">
        <f>VLOOKUP(C39,Product_Master!A:F,5,FALSE)</f>
        <v>2625</v>
      </c>
      <c r="P39" s="33">
        <v>0.1</v>
      </c>
      <c r="Q39" s="34">
        <f t="shared" si="0"/>
        <v>47250</v>
      </c>
      <c r="R39" s="34">
        <v>3</v>
      </c>
      <c r="S39" s="24" t="s">
        <v>79</v>
      </c>
      <c r="T39" s="24" t="s">
        <v>49</v>
      </c>
      <c r="U39" s="24" t="s">
        <v>256</v>
      </c>
      <c r="V39" s="34">
        <v>9283578533</v>
      </c>
      <c r="W39" s="24" t="str">
        <f>VLOOKUP(C39,Product_Master!A:F,4,FALSE)</f>
        <v>Global Trade</v>
      </c>
      <c r="X39" s="34">
        <f>VLOOKUP(C39,Product_Master!A:F,6,FALSE)</f>
        <v>6</v>
      </c>
      <c r="Y39" s="24" t="str">
        <f>VLOOKUP(B39,Custumer_Master!A:D,3,FALSE)</f>
        <v>Gold</v>
      </c>
      <c r="Z39" s="30">
        <f>EDATE(E39,X39)</f>
        <v>46285</v>
      </c>
      <c r="AA39" s="29" t="str">
        <f>VLOOKUP(B39,Custumer_Master!A:K,11,)</f>
        <v>April</v>
      </c>
      <c r="AB39" s="24" t="s">
        <v>2108</v>
      </c>
      <c r="AC39" s="138" t="str">
        <f>PROPER(LEFT(TRIM(F39), 3)) &amp; RIGHT(TRIM(B39), 3) &amp; PROPER(LEFT(TRIM(I39), 2))</f>
        <v>Sne006Pu</v>
      </c>
      <c r="AD39" s="154">
        <f t="shared" ca="1" si="1"/>
        <v>45</v>
      </c>
      <c r="AE39" s="154">
        <f>IFERROR(IF(OR(E39="", D39="", LOWER(TRIM(E39))="pending", LOWER(TRIM(D39))="pending"), "Pending", E39 - D39), "Pending")</f>
        <v>12</v>
      </c>
      <c r="AF39" s="138" t="str">
        <f>IFERROR(IF(OR(E39="", D39="","Pending","Pending"), "Pending", IF((E39 - D39) &lt;= 5, "On Time", "Delayed")), "Pending")</f>
        <v>Delayed</v>
      </c>
      <c r="AG39" s="24" t="str">
        <f t="shared" si="2"/>
        <v>Completed</v>
      </c>
    </row>
    <row r="40" spans="1:33">
      <c r="A40" s="24" t="s">
        <v>301</v>
      </c>
      <c r="B40" s="24" t="s">
        <v>23</v>
      </c>
      <c r="C40" s="24" t="s">
        <v>222</v>
      </c>
      <c r="D40" s="30">
        <v>45701</v>
      </c>
      <c r="E40" s="30" t="s">
        <v>303</v>
      </c>
      <c r="F40" s="24" t="str">
        <f>VLOOKUP(B40,Custumer_Master!A:D,2,FALSE)</f>
        <v>Kavya Nair</v>
      </c>
      <c r="G40" s="24" t="str">
        <f>VLOOKUP($B40,Custumer_Master!$A:$J,6,FALSE)</f>
        <v>Female</v>
      </c>
      <c r="H40" s="30" t="str">
        <f>VLOOKUP($B40,Custumer_Master!$A:$J,7,FALSE)</f>
        <v>01/08/1976</v>
      </c>
      <c r="I40" s="24" t="str">
        <f>VLOOKUP($B40,Custumer_Master!$A:$J,9,FALSE)</f>
        <v>Hyderabad</v>
      </c>
      <c r="J40" s="24" t="str">
        <f>VLOOKUP($B40,Custumer_Master!$A:$J,10,FALSE)</f>
        <v>South</v>
      </c>
      <c r="K40" s="24" t="str">
        <f>VLOOKUP(B40,Custumer_Master!A:D,4,FALSE)</f>
        <v>WB</v>
      </c>
      <c r="L40" s="24" t="str">
        <f>PROPER(TRIM(VLOOKUP('Final Data'!C40,Product_Master!A:F,3,FALSE)))</f>
        <v>Stationery</v>
      </c>
      <c r="M40" s="24" t="s">
        <v>227</v>
      </c>
      <c r="N40" s="34">
        <v>5</v>
      </c>
      <c r="O40" s="192">
        <f>VLOOKUP(C40,Product_Master!A:F,5,FALSE)</f>
        <v>15</v>
      </c>
      <c r="P40" s="33">
        <v>0</v>
      </c>
      <c r="Q40" s="34">
        <f t="shared" si="0"/>
        <v>75</v>
      </c>
      <c r="R40" s="34">
        <v>1</v>
      </c>
      <c r="S40" s="24" t="s">
        <v>34</v>
      </c>
      <c r="T40" s="24" t="s">
        <v>49</v>
      </c>
      <c r="U40" s="24" t="s">
        <v>50</v>
      </c>
      <c r="V40" s="34">
        <v>9963005771</v>
      </c>
      <c r="W40" s="24" t="str">
        <f>VLOOKUP(C40,Product_Master!A:F,4,FALSE)</f>
        <v>Prime Supplies</v>
      </c>
      <c r="X40" s="34">
        <f>VLOOKUP(C40,Product_Master!A:F,6,FALSE)</f>
        <v>12</v>
      </c>
      <c r="Y40" s="24" t="str">
        <f>VLOOKUP(B40,Custumer_Master!A:D,3,FALSE)</f>
        <v>Silver</v>
      </c>
      <c r="Z40" s="30">
        <f>EDATE(E40,X40)</f>
        <v>46072</v>
      </c>
      <c r="AA40" s="29" t="str">
        <f>VLOOKUP(B40,Custumer_Master!A:K,11,)</f>
        <v>August</v>
      </c>
      <c r="AB40" s="24" t="s">
        <v>2160</v>
      </c>
      <c r="AC40" s="138" t="str">
        <f>PROPER(LEFT(TRIM(F40), 3)) &amp; RIGHT(TRIM(B40), 3) &amp; PROPER(LEFT(TRIM(I40), 2))</f>
        <v>Kav008Hy</v>
      </c>
      <c r="AD40" s="154">
        <f t="shared" ca="1" si="1"/>
        <v>49</v>
      </c>
      <c r="AE40" s="154">
        <f>IFERROR(IF(OR(E40="", D40="", LOWER(TRIM(E40))="pending", LOWER(TRIM(D40))="pending"), "Pending", E40 - D40), "Pending")</f>
        <v>6</v>
      </c>
      <c r="AF40" s="138" t="str">
        <f>IFERROR(IF(OR(E40="", D40="","Pending","Pending"), "Pending", IF((E40 - D40) &lt;= 5, "On Time", "Delayed")), "Pending")</f>
        <v>Delayed</v>
      </c>
      <c r="AG40" s="24" t="str">
        <f t="shared" si="2"/>
        <v>Completed</v>
      </c>
    </row>
    <row r="41" spans="1:33">
      <c r="A41" s="24" t="s">
        <v>307</v>
      </c>
      <c r="B41" s="24" t="s">
        <v>53</v>
      </c>
      <c r="C41" s="24" t="s">
        <v>169</v>
      </c>
      <c r="D41" s="30">
        <v>45935</v>
      </c>
      <c r="E41" s="30" t="s">
        <v>309</v>
      </c>
      <c r="F41" s="24" t="str">
        <f>VLOOKUP(B41,Custumer_Master!A:D,2,FALSE)</f>
        <v>Pooja Shah</v>
      </c>
      <c r="G41" s="24" t="str">
        <f>VLOOKUP($B41,Custumer_Master!$A:$J,6,FALSE)</f>
        <v>Female</v>
      </c>
      <c r="H41" s="30" t="str">
        <f>VLOOKUP($B41,Custumer_Master!$A:$J,7,FALSE)</f>
        <v>16/09/1994</v>
      </c>
      <c r="I41" s="24" t="str">
        <f>VLOOKUP($B41,Custumer_Master!$A:$J,9,FALSE)</f>
        <v>Bengaluru</v>
      </c>
      <c r="J41" s="24" t="str">
        <f>VLOOKUP($B41,Custumer_Master!$A:$J,10,FALSE)</f>
        <v>South</v>
      </c>
      <c r="K41" s="24" t="str">
        <f>VLOOKUP(B41,Custumer_Master!A:D,4,FALSE)</f>
        <v>WB</v>
      </c>
      <c r="L41" s="24" t="str">
        <f>PROPER(TRIM(VLOOKUP('Final Data'!C41,Product_Master!A:F,3,FALSE)))</f>
        <v>Home Appliances</v>
      </c>
      <c r="M41" s="24" t="s">
        <v>174</v>
      </c>
      <c r="N41" s="34">
        <v>20</v>
      </c>
      <c r="O41" s="192">
        <f>VLOOKUP(C41,Product_Master!A:F,5,FALSE)</f>
        <v>6375</v>
      </c>
      <c r="P41" s="33">
        <v>0</v>
      </c>
      <c r="Q41" s="34">
        <f t="shared" si="0"/>
        <v>127500</v>
      </c>
      <c r="R41" s="34">
        <v>1</v>
      </c>
      <c r="S41" s="24" t="s">
        <v>2149</v>
      </c>
      <c r="T41" s="24" t="s">
        <v>115</v>
      </c>
      <c r="U41" s="24" t="s">
        <v>62</v>
      </c>
      <c r="V41" s="34">
        <v>9484632635</v>
      </c>
      <c r="W41" s="24" t="str">
        <f>VLOOKUP(C41,Product_Master!A:F,4,FALSE)</f>
        <v>TechHub</v>
      </c>
      <c r="X41" s="34">
        <f>VLOOKUP(C41,Product_Master!A:F,6,FALSE)</f>
        <v>24</v>
      </c>
      <c r="Y41" s="24" t="str">
        <f>VLOOKUP(B41,Custumer_Master!A:D,3,FALSE)</f>
        <v>Silver</v>
      </c>
      <c r="Z41" s="30">
        <f>EDATE(E41,X41)</f>
        <v>46675</v>
      </c>
      <c r="AA41" s="29" t="str">
        <f>VLOOKUP(B41,Custumer_Master!A:K,11,)</f>
        <v>September</v>
      </c>
      <c r="AB41" s="24" t="s">
        <v>2160</v>
      </c>
      <c r="AC41" s="138" t="str">
        <f>PROPER(LEFT(TRIM(F41), 3)) &amp; RIGHT(TRIM(B41), 3) &amp; PROPER(LEFT(TRIM(I41), 2))</f>
        <v>Poo010Be</v>
      </c>
      <c r="AD41" s="154">
        <f t="shared" ca="1" si="1"/>
        <v>31</v>
      </c>
      <c r="AE41" s="154">
        <f>IFERROR(IF(OR(E41="", D41="", LOWER(TRIM(E41))="pending", LOWER(TRIM(D41))="pending"), "Pending", E41 - D41), "Pending")</f>
        <v>10</v>
      </c>
      <c r="AF41" s="138" t="str">
        <f>IFERROR(IF(OR(E41="", D41="","Pending","Pending"), "Pending", IF((E41 - D41) &lt;= 5, "On Time", "Delayed")), "Pending")</f>
        <v>Delayed</v>
      </c>
      <c r="AG41" s="24" t="str">
        <f t="shared" si="2"/>
        <v>Completed</v>
      </c>
    </row>
    <row r="42" spans="1:33">
      <c r="A42" s="24" t="s">
        <v>312</v>
      </c>
      <c r="B42" s="24" t="s">
        <v>83</v>
      </c>
      <c r="C42" s="24" t="s">
        <v>118</v>
      </c>
      <c r="D42" s="30">
        <v>46063</v>
      </c>
      <c r="E42" s="30" t="s">
        <v>314</v>
      </c>
      <c r="F42" s="24" t="str">
        <f>VLOOKUP(B42,Custumer_Master!A:D,2,FALSE)</f>
        <v>Arjun Rao</v>
      </c>
      <c r="G42" s="24" t="str">
        <f>VLOOKUP($B42,Custumer_Master!$A:$J,6,FALSE)</f>
        <v>Male</v>
      </c>
      <c r="H42" s="30" t="str">
        <f>VLOOKUP($B42,Custumer_Master!$A:$J,7,FALSE)</f>
        <v>07/02/1988</v>
      </c>
      <c r="I42" s="24" t="str">
        <f>VLOOKUP($B42,Custumer_Master!$A:$J,9,FALSE)</f>
        <v>Hyderabad</v>
      </c>
      <c r="J42" s="24" t="str">
        <f>VLOOKUP($B42,Custumer_Master!$A:$J,10,FALSE)</f>
        <v>South</v>
      </c>
      <c r="K42" s="24" t="str">
        <f>VLOOKUP(B42,Custumer_Master!A:D,4,FALSE)</f>
        <v>RJ</v>
      </c>
      <c r="L42" s="24" t="str">
        <f>PROPER(TRIM(VLOOKUP('Final Data'!C42,Product_Master!A:F,3,FALSE)))</f>
        <v>Stationery</v>
      </c>
      <c r="M42" s="24" t="s">
        <v>123</v>
      </c>
      <c r="N42" s="34">
        <v>8</v>
      </c>
      <c r="O42" s="192">
        <f>VLOOKUP(C42,Product_Master!A:F,5,FALSE)</f>
        <v>45</v>
      </c>
      <c r="P42" s="33">
        <v>0.15</v>
      </c>
      <c r="Q42" s="34">
        <f t="shared" si="0"/>
        <v>306</v>
      </c>
      <c r="R42" s="34">
        <v>5</v>
      </c>
      <c r="S42" s="24" t="s">
        <v>2149</v>
      </c>
      <c r="T42" s="24" t="s">
        <v>49</v>
      </c>
      <c r="U42" s="24" t="s">
        <v>89</v>
      </c>
      <c r="V42" s="34">
        <v>9276319484</v>
      </c>
      <c r="W42" s="24" t="str">
        <f>VLOOKUP(C42,Product_Master!A:F,4,FALSE)</f>
        <v>ABC Corp</v>
      </c>
      <c r="X42" s="34">
        <f>VLOOKUP(C42,Product_Master!A:F,6,FALSE)</f>
        <v>12</v>
      </c>
      <c r="Y42" s="24" t="str">
        <f>VLOOKUP(B42,Custumer_Master!A:D,3,FALSE)</f>
        <v>Silver</v>
      </c>
      <c r="Z42" s="30">
        <f>EDATE(E42,X42)</f>
        <v>46430</v>
      </c>
      <c r="AA42" s="29" t="str">
        <f>VLOOKUP(B42,Custumer_Master!A:K,11,)</f>
        <v>February</v>
      </c>
      <c r="AB42" s="24" t="s">
        <v>2108</v>
      </c>
      <c r="AC42" s="138" t="str">
        <f>PROPER(LEFT(TRIM(F42), 3)) &amp; RIGHT(TRIM(B42), 3) &amp; PROPER(LEFT(TRIM(I42), 2))</f>
        <v>Arj007Hy</v>
      </c>
      <c r="AD42" s="154">
        <f t="shared" ca="1" si="1"/>
        <v>38</v>
      </c>
      <c r="AE42" s="154">
        <f>IFERROR(IF(OR(E42="", D42="", LOWER(TRIM(E42))="pending", LOWER(TRIM(D42))="pending"), "Pending", E42 - D42), "Pending")</f>
        <v>2</v>
      </c>
      <c r="AF42" s="138" t="str">
        <f>IFERROR(IF(OR(E42="", D42="","Pending","Pending"), "Pending", IF((E42 - D42) &lt;= 5, "On Time", "Delayed")), "Pending")</f>
        <v>On Time</v>
      </c>
      <c r="AG42" s="24" t="str">
        <f t="shared" si="2"/>
        <v>Completed</v>
      </c>
    </row>
    <row r="43" spans="1:33">
      <c r="A43" s="24" t="s">
        <v>317</v>
      </c>
      <c r="B43" s="24" t="s">
        <v>53</v>
      </c>
      <c r="C43" s="24" t="s">
        <v>92</v>
      </c>
      <c r="D43" s="30">
        <v>45812</v>
      </c>
      <c r="E43" s="30" t="s">
        <v>260</v>
      </c>
      <c r="F43" s="24" t="str">
        <f>VLOOKUP(B43,Custumer_Master!A:D,2,FALSE)</f>
        <v>Pooja Shah</v>
      </c>
      <c r="G43" s="24" t="str">
        <f>VLOOKUP($B43,Custumer_Master!$A:$J,6,FALSE)</f>
        <v>Female</v>
      </c>
      <c r="H43" s="30" t="str">
        <f>VLOOKUP($B43,Custumer_Master!$A:$J,7,FALSE)</f>
        <v>16/09/1994</v>
      </c>
      <c r="I43" s="24" t="str">
        <f>VLOOKUP($B43,Custumer_Master!$A:$J,9,FALSE)</f>
        <v>Bengaluru</v>
      </c>
      <c r="J43" s="24" t="str">
        <f>VLOOKUP($B43,Custumer_Master!$A:$J,10,FALSE)</f>
        <v>South</v>
      </c>
      <c r="K43" s="24" t="str">
        <f>VLOOKUP(B43,Custumer_Master!A:D,4,FALSE)</f>
        <v>WB</v>
      </c>
      <c r="L43" s="24" t="str">
        <f>PROPER(TRIM(VLOOKUP('Final Data'!C43,Product_Master!A:F,3,FALSE)))</f>
        <v>Home Appliances</v>
      </c>
      <c r="M43" s="24" t="s">
        <v>97</v>
      </c>
      <c r="N43" s="34">
        <v>8</v>
      </c>
      <c r="O43" s="192">
        <f>VLOOKUP(C43,Product_Master!A:F,5,FALSE)</f>
        <v>2625</v>
      </c>
      <c r="P43" s="33">
        <v>0.05</v>
      </c>
      <c r="Q43" s="34">
        <f t="shared" si="0"/>
        <v>19950</v>
      </c>
      <c r="R43" s="34">
        <v>1</v>
      </c>
      <c r="S43" s="24" t="s">
        <v>79</v>
      </c>
      <c r="T43" s="24" t="s">
        <v>115</v>
      </c>
      <c r="U43" s="24" t="s">
        <v>62</v>
      </c>
      <c r="V43" s="34">
        <v>9619034852</v>
      </c>
      <c r="W43" s="24" t="str">
        <f>VLOOKUP(C43,Product_Master!A:F,4,FALSE)</f>
        <v>Global Trade</v>
      </c>
      <c r="X43" s="34">
        <f>VLOOKUP(C43,Product_Master!A:F,6,FALSE)</f>
        <v>6</v>
      </c>
      <c r="Y43" s="24" t="str">
        <f>VLOOKUP(B43,Custumer_Master!A:D,3,FALSE)</f>
        <v>Silver</v>
      </c>
      <c r="Z43" s="30">
        <f>EDATE(E43,X43)</f>
        <v>46007</v>
      </c>
      <c r="AA43" s="29" t="str">
        <f>VLOOKUP(B43,Custumer_Master!A:K,11,)</f>
        <v>September</v>
      </c>
      <c r="AB43" s="24" t="s">
        <v>2160</v>
      </c>
      <c r="AC43" s="138" t="str">
        <f>PROPER(LEFT(TRIM(F43), 3)) &amp; RIGHT(TRIM(B43), 3) &amp; PROPER(LEFT(TRIM(I43), 2))</f>
        <v>Poo010Be</v>
      </c>
      <c r="AD43" s="154">
        <f t="shared" ca="1" si="1"/>
        <v>31</v>
      </c>
      <c r="AE43" s="154">
        <f>IFERROR(IF(OR(E43="", D43="", LOWER(TRIM(E43))="pending", LOWER(TRIM(D43))="pending"), "Pending", E43 - D43), "Pending")</f>
        <v>12</v>
      </c>
      <c r="AF43" s="138" t="str">
        <f>IFERROR(IF(OR(E43="", D43="","Pending","Pending"), "Pending", IF((E43 - D43) &lt;= 5, "On Time", "Delayed")), "Pending")</f>
        <v>Delayed</v>
      </c>
      <c r="AG43" s="24" t="str">
        <f t="shared" si="2"/>
        <v>Completed</v>
      </c>
    </row>
    <row r="44" spans="1:33">
      <c r="A44" s="24" t="s">
        <v>321</v>
      </c>
      <c r="B44" s="24" t="s">
        <v>71</v>
      </c>
      <c r="C44" s="24" t="s">
        <v>169</v>
      </c>
      <c r="D44" s="30">
        <v>46061</v>
      </c>
      <c r="E44" s="30" t="s">
        <v>323</v>
      </c>
      <c r="F44" s="24" t="str">
        <f>VLOOKUP(B44,Custumer_Master!A:D,2,FALSE)</f>
        <v>Mohit Verma</v>
      </c>
      <c r="G44" s="24" t="str">
        <f>VLOOKUP($B44,Custumer_Master!$A:$J,6,FALSE)</f>
        <v>Male</v>
      </c>
      <c r="H44" s="30" t="str">
        <f>VLOOKUP($B44,Custumer_Master!$A:$J,7,FALSE)</f>
        <v>13/04/1976</v>
      </c>
      <c r="I44" s="24" t="str">
        <f>VLOOKUP($B44,Custumer_Master!$A:$J,9,FALSE)</f>
        <v>Delhi</v>
      </c>
      <c r="J44" s="24" t="str">
        <f>VLOOKUP($B44,Custumer_Master!$A:$J,10,FALSE)</f>
        <v>North</v>
      </c>
      <c r="K44" s="24" t="str">
        <f>VLOOKUP(B44,Custumer_Master!A:D,4,FALSE)</f>
        <v>KA</v>
      </c>
      <c r="L44" s="24" t="str">
        <f>PROPER(TRIM(VLOOKUP('Final Data'!C44,Product_Master!A:F,3,FALSE)))</f>
        <v>Home Appliances</v>
      </c>
      <c r="M44" s="24" t="s">
        <v>174</v>
      </c>
      <c r="N44" s="34">
        <v>1</v>
      </c>
      <c r="O44" s="192">
        <f>VLOOKUP(C44,Product_Master!A:F,5,FALSE)</f>
        <v>6375</v>
      </c>
      <c r="P44" s="33">
        <v>0</v>
      </c>
      <c r="Q44" s="34">
        <f t="shared" si="0"/>
        <v>6375</v>
      </c>
      <c r="R44" s="34">
        <v>2</v>
      </c>
      <c r="S44" s="24" t="s">
        <v>79</v>
      </c>
      <c r="T44" s="24" t="s">
        <v>115</v>
      </c>
      <c r="U44" s="24" t="s">
        <v>80</v>
      </c>
      <c r="V44" s="34">
        <v>9636416962</v>
      </c>
      <c r="W44" s="24" t="str">
        <f>VLOOKUP(C44,Product_Master!A:F,4,FALSE)</f>
        <v>TechHub</v>
      </c>
      <c r="X44" s="34">
        <f>VLOOKUP(C44,Product_Master!A:F,6,FALSE)</f>
        <v>24</v>
      </c>
      <c r="Y44" s="24" t="str">
        <f>VLOOKUP(B44,Custumer_Master!A:D,3,FALSE)</f>
        <v>Platinum</v>
      </c>
      <c r="Z44" s="30">
        <f>EDATE(E44,X44)</f>
        <v>46797</v>
      </c>
      <c r="AA44" s="29" t="str">
        <f>VLOOKUP(B44,Custumer_Master!A:K,11,)</f>
        <v>April</v>
      </c>
      <c r="AB44" s="24" t="s">
        <v>2160</v>
      </c>
      <c r="AC44" s="138" t="str">
        <f>PROPER(LEFT(TRIM(F44), 3)) &amp; RIGHT(TRIM(B44), 3) &amp; PROPER(LEFT(TRIM(I44), 2))</f>
        <v>Moh009De</v>
      </c>
      <c r="AD44" s="154">
        <f t="shared" ca="1" si="1"/>
        <v>50</v>
      </c>
      <c r="AE44" s="154">
        <f>IFERROR(IF(OR(E44="", D44="", LOWER(TRIM(E44))="pending", LOWER(TRIM(D44))="pending"), "Pending", E44 - D44), "Pending")</f>
        <v>6</v>
      </c>
      <c r="AF44" s="138" t="str">
        <f>IFERROR(IF(OR(E44="", D44="","Pending","Pending"), "Pending", IF((E44 - D44) &lt;= 5, "On Time", "Delayed")), "Pending")</f>
        <v>Delayed</v>
      </c>
      <c r="AG44" s="24" t="str">
        <f t="shared" si="2"/>
        <v>Completed</v>
      </c>
    </row>
    <row r="45" spans="1:33">
      <c r="A45" s="24" t="s">
        <v>326</v>
      </c>
      <c r="B45" s="24" t="s">
        <v>327</v>
      </c>
      <c r="C45" s="24" t="s">
        <v>259</v>
      </c>
      <c r="D45" s="30">
        <v>45746</v>
      </c>
      <c r="E45" s="30" t="s">
        <v>329</v>
      </c>
      <c r="F45" s="24" t="str">
        <f>VLOOKUP(B45,Custumer_Master!A:D,2,FALSE)</f>
        <v>Amit Sharma</v>
      </c>
      <c r="G45" s="24" t="str">
        <f>VLOOKUP($B45,Custumer_Master!$A:$J,6,FALSE)</f>
        <v>Male</v>
      </c>
      <c r="H45" s="30" t="str">
        <f>VLOOKUP($B45,Custumer_Master!$A:$J,7,FALSE)</f>
        <v>09/08/1991</v>
      </c>
      <c r="I45" s="24" t="str">
        <f>VLOOKUP($B45,Custumer_Master!$A:$J,9,FALSE)</f>
        <v>Pune</v>
      </c>
      <c r="J45" s="24" t="str">
        <f>VLOOKUP($B45,Custumer_Master!$A:$J,10,FALSE)</f>
        <v>West</v>
      </c>
      <c r="K45" s="24" t="str">
        <f>VLOOKUP(B45,Custumer_Master!A:D,4,FALSE)</f>
        <v>RJ</v>
      </c>
      <c r="L45" s="24" t="str">
        <f>PROPER(TRIM(VLOOKUP('Final Data'!C45,Product_Master!A:F,3,FALSE)))</f>
        <v>Stationery</v>
      </c>
      <c r="M45" s="24" t="s">
        <v>263</v>
      </c>
      <c r="N45" s="34">
        <v>8</v>
      </c>
      <c r="O45" s="192">
        <f>VLOOKUP(C45,Product_Master!A:F,5,FALSE)</f>
        <v>33.75</v>
      </c>
      <c r="P45" s="33">
        <v>0.15</v>
      </c>
      <c r="Q45" s="34">
        <f t="shared" si="0"/>
        <v>229.5</v>
      </c>
      <c r="R45" s="34">
        <v>2</v>
      </c>
      <c r="S45" s="24" t="s">
        <v>79</v>
      </c>
      <c r="T45" s="24" t="s">
        <v>61</v>
      </c>
      <c r="U45" s="24" t="s">
        <v>332</v>
      </c>
      <c r="V45" s="34">
        <v>9357133880</v>
      </c>
      <c r="W45" s="24" t="str">
        <f>VLOOKUP(C45,Product_Master!A:F,4,FALSE)</f>
        <v>TechHub</v>
      </c>
      <c r="X45" s="34">
        <f>VLOOKUP(C45,Product_Master!A:F,6,FALSE)</f>
        <v>12</v>
      </c>
      <c r="Y45" s="24" t="str">
        <f>VLOOKUP(B45,Custumer_Master!A:D,3,FALSE)</f>
        <v>Silver</v>
      </c>
      <c r="Z45" s="30">
        <f>EDATE(E45,X45)</f>
        <v>46112</v>
      </c>
      <c r="AA45" s="29" t="str">
        <f>VLOOKUP(B45,Custumer_Master!A:K,11,)</f>
        <v>August</v>
      </c>
      <c r="AB45" s="24" t="s">
        <v>2160</v>
      </c>
      <c r="AC45" s="138" t="str">
        <f>PROPER(LEFT(TRIM(F45), 3)) &amp; RIGHT(TRIM(B45), 3) &amp; PROPER(LEFT(TRIM(I45), 2))</f>
        <v>Ami001Pu</v>
      </c>
      <c r="AD45" s="154">
        <f t="shared" ca="1" si="1"/>
        <v>34</v>
      </c>
      <c r="AE45" s="154">
        <f>IFERROR(IF(OR(E45="", D45="", LOWER(TRIM(E45))="pending", LOWER(TRIM(D45))="pending"), "Pending", E45 - D45), "Pending")</f>
        <v>1</v>
      </c>
      <c r="AF45" s="138" t="str">
        <f>IFERROR(IF(OR(E45="", D45="","Pending","Pending"), "Pending", IF((E45 - D45) &lt;= 5, "On Time", "Delayed")), "Pending")</f>
        <v>On Time</v>
      </c>
      <c r="AG45" s="24" t="str">
        <f t="shared" si="2"/>
        <v>Completed</v>
      </c>
    </row>
    <row r="46" spans="1:33">
      <c r="A46" s="24" t="s">
        <v>334</v>
      </c>
      <c r="B46" s="24" t="s">
        <v>251</v>
      </c>
      <c r="C46" s="24" t="s">
        <v>24</v>
      </c>
      <c r="D46" s="30">
        <v>45772</v>
      </c>
      <c r="E46" s="30" t="s">
        <v>336</v>
      </c>
      <c r="F46" s="24" t="str">
        <f>VLOOKUP(B46,Custumer_Master!A:D,2,FALSE)</f>
        <v>Sneha Joshi</v>
      </c>
      <c r="G46" s="24" t="str">
        <f>VLOOKUP($B46,Custumer_Master!$A:$J,6,FALSE)</f>
        <v>Female</v>
      </c>
      <c r="H46" s="30" t="str">
        <f>VLOOKUP($B46,Custumer_Master!$A:$J,7,FALSE)</f>
        <v>04/04/1981</v>
      </c>
      <c r="I46" s="24" t="str">
        <f>VLOOKUP($B46,Custumer_Master!$A:$J,9,FALSE)</f>
        <v>Pune</v>
      </c>
      <c r="J46" s="24" t="str">
        <f>VLOOKUP($B46,Custumer_Master!$A:$J,10,FALSE)</f>
        <v>West</v>
      </c>
      <c r="K46" s="24" t="str">
        <f>VLOOKUP(B46,Custumer_Master!A:D,4,FALSE)</f>
        <v>WB</v>
      </c>
      <c r="L46" s="24" t="str">
        <f>PROPER(TRIM(VLOOKUP('Final Data'!C46,Product_Master!A:F,3,FALSE)))</f>
        <v>Home Appliances</v>
      </c>
      <c r="M46" s="24" t="s">
        <v>33</v>
      </c>
      <c r="N46" s="34">
        <v>16</v>
      </c>
      <c r="O46" s="192">
        <f>VLOOKUP(C46,Product_Master!A:F,5,FALSE)</f>
        <v>1650</v>
      </c>
      <c r="P46" s="33">
        <v>0.05</v>
      </c>
      <c r="Q46" s="34">
        <f t="shared" si="0"/>
        <v>25080</v>
      </c>
      <c r="R46" s="34">
        <v>5</v>
      </c>
      <c r="S46" s="24" t="s">
        <v>79</v>
      </c>
      <c r="T46" s="24" t="s">
        <v>61</v>
      </c>
      <c r="U46" s="24" t="s">
        <v>256</v>
      </c>
      <c r="V46" s="34">
        <v>9575210324</v>
      </c>
      <c r="W46" s="24" t="str">
        <f>VLOOKUP(C46,Product_Master!A:F,4,FALSE)</f>
        <v>Global Trade</v>
      </c>
      <c r="X46" s="34">
        <f>VLOOKUP(C46,Product_Master!A:F,6,FALSE)</f>
        <v>24</v>
      </c>
      <c r="Y46" s="24" t="str">
        <f>VLOOKUP(B46,Custumer_Master!A:D,3,FALSE)</f>
        <v>Gold</v>
      </c>
      <c r="Z46" s="30">
        <f>EDATE(E46,X46)</f>
        <v>46505</v>
      </c>
      <c r="AA46" s="29" t="str">
        <f>VLOOKUP(B46,Custumer_Master!A:K,11,)</f>
        <v>April</v>
      </c>
      <c r="AB46" s="24" t="s">
        <v>2108</v>
      </c>
      <c r="AC46" s="138" t="str">
        <f>PROPER(LEFT(TRIM(F46), 3)) &amp; RIGHT(TRIM(B46), 3) &amp; PROPER(LEFT(TRIM(I46), 2))</f>
        <v>Sne006Pu</v>
      </c>
      <c r="AD46" s="154">
        <f t="shared" ca="1" si="1"/>
        <v>45</v>
      </c>
      <c r="AE46" s="154">
        <f>IFERROR(IF(OR(E46="", D46="", LOWER(TRIM(E46))="pending", LOWER(TRIM(D46))="pending"), "Pending", E46 - D46), "Pending")</f>
        <v>3</v>
      </c>
      <c r="AF46" s="138" t="str">
        <f>IFERROR(IF(OR(E46="", D46="","Pending","Pending"), "Pending", IF((E46 - D46) &lt;= 5, "On Time", "Delayed")), "Pending")</f>
        <v>On Time</v>
      </c>
      <c r="AG46" s="24" t="str">
        <f t="shared" si="2"/>
        <v>Completed</v>
      </c>
    </row>
    <row r="47" spans="1:33">
      <c r="A47" s="24" t="s">
        <v>339</v>
      </c>
      <c r="B47" s="24" t="s">
        <v>71</v>
      </c>
      <c r="C47" s="24" t="s">
        <v>92</v>
      </c>
      <c r="D47" s="30">
        <v>45943</v>
      </c>
      <c r="E47" s="30" t="s">
        <v>341</v>
      </c>
      <c r="F47" s="24" t="str">
        <f>VLOOKUP(B47,Custumer_Master!A:D,2,FALSE)</f>
        <v>Mohit Verma</v>
      </c>
      <c r="G47" s="24" t="str">
        <f>VLOOKUP($B47,Custumer_Master!$A:$J,6,FALSE)</f>
        <v>Male</v>
      </c>
      <c r="H47" s="30" t="str">
        <f>VLOOKUP($B47,Custumer_Master!$A:$J,7,FALSE)</f>
        <v>13/04/1976</v>
      </c>
      <c r="I47" s="24" t="str">
        <f>VLOOKUP($B47,Custumer_Master!$A:$J,9,FALSE)</f>
        <v>Delhi</v>
      </c>
      <c r="J47" s="24" t="str">
        <f>VLOOKUP($B47,Custumer_Master!$A:$J,10,FALSE)</f>
        <v>North</v>
      </c>
      <c r="K47" s="24" t="str">
        <f>VLOOKUP(B47,Custumer_Master!A:D,4,FALSE)</f>
        <v>KA</v>
      </c>
      <c r="L47" s="24" t="str">
        <f>PROPER(TRIM(VLOOKUP('Final Data'!C47,Product_Master!A:F,3,FALSE)))</f>
        <v>Home Appliances</v>
      </c>
      <c r="M47" s="24" t="s">
        <v>97</v>
      </c>
      <c r="N47" s="34">
        <v>19</v>
      </c>
      <c r="O47" s="192">
        <f>VLOOKUP(C47,Product_Master!A:F,5,FALSE)</f>
        <v>2625</v>
      </c>
      <c r="P47" s="33">
        <v>0.2</v>
      </c>
      <c r="Q47" s="34">
        <f t="shared" si="0"/>
        <v>39900</v>
      </c>
      <c r="R47" s="34">
        <v>3</v>
      </c>
      <c r="S47" s="24" t="s">
        <v>34</v>
      </c>
      <c r="T47" s="24" t="s">
        <v>151</v>
      </c>
      <c r="U47" s="24" t="s">
        <v>80</v>
      </c>
      <c r="V47" s="34">
        <v>9276080204</v>
      </c>
      <c r="W47" s="24" t="str">
        <f>VLOOKUP(C47,Product_Master!A:F,4,FALSE)</f>
        <v>Global Trade</v>
      </c>
      <c r="X47" s="34">
        <f>VLOOKUP(C47,Product_Master!A:F,6,FALSE)</f>
        <v>6</v>
      </c>
      <c r="Y47" s="24" t="str">
        <f>VLOOKUP(B47,Custumer_Master!A:D,3,FALSE)</f>
        <v>Platinum</v>
      </c>
      <c r="Z47" s="30">
        <f>EDATE(E47,X47)</f>
        <v>46135</v>
      </c>
      <c r="AA47" s="29" t="str">
        <f>VLOOKUP(B47,Custumer_Master!A:K,11,)</f>
        <v>April</v>
      </c>
      <c r="AB47" s="24" t="s">
        <v>2108</v>
      </c>
      <c r="AC47" s="138" t="str">
        <f>PROPER(LEFT(TRIM(F47), 3)) &amp; RIGHT(TRIM(B47), 3) &amp; PROPER(LEFT(TRIM(I47), 2))</f>
        <v>Moh009De</v>
      </c>
      <c r="AD47" s="154">
        <f t="shared" ca="1" si="1"/>
        <v>50</v>
      </c>
      <c r="AE47" s="154">
        <f>IFERROR(IF(OR(E47="", D47="", LOWER(TRIM(E47))="pending", LOWER(TRIM(D47))="pending"), "Pending", E47 - D47), "Pending")</f>
        <v>10</v>
      </c>
      <c r="AF47" s="138" t="str">
        <f>IFERROR(IF(OR(E47="", D47="","Pending","Pending"), "Pending", IF((E47 - D47) &lt;= 5, "On Time", "Delayed")), "Pending")</f>
        <v>Delayed</v>
      </c>
      <c r="AG47" s="24" t="str">
        <f t="shared" si="2"/>
        <v>Completed</v>
      </c>
    </row>
    <row r="48" spans="1:33">
      <c r="A48" s="24" t="s">
        <v>344</v>
      </c>
      <c r="B48" s="24" t="s">
        <v>251</v>
      </c>
      <c r="C48" s="24" t="s">
        <v>184</v>
      </c>
      <c r="D48" s="30">
        <v>45941</v>
      </c>
      <c r="E48" s="30" t="s">
        <v>346</v>
      </c>
      <c r="F48" s="24" t="str">
        <f>VLOOKUP(B48,Custumer_Master!A:D,2,FALSE)</f>
        <v>Sneha Joshi</v>
      </c>
      <c r="G48" s="24" t="str">
        <f>VLOOKUP($B48,Custumer_Master!$A:$J,6,FALSE)</f>
        <v>Female</v>
      </c>
      <c r="H48" s="30" t="str">
        <f>VLOOKUP($B48,Custumer_Master!$A:$J,7,FALSE)</f>
        <v>04/04/1981</v>
      </c>
      <c r="I48" s="24" t="str">
        <f>VLOOKUP($B48,Custumer_Master!$A:$J,9,FALSE)</f>
        <v>Pune</v>
      </c>
      <c r="J48" s="24" t="str">
        <f>VLOOKUP($B48,Custumer_Master!$A:$J,10,FALSE)</f>
        <v>West</v>
      </c>
      <c r="K48" s="24" t="str">
        <f>VLOOKUP(B48,Custumer_Master!A:D,4,FALSE)</f>
        <v>WB</v>
      </c>
      <c r="L48" s="24" t="str">
        <f>PROPER(TRIM(VLOOKUP('Final Data'!C48,Product_Master!A:F,3,FALSE)))</f>
        <v>Electronics</v>
      </c>
      <c r="M48" s="24" t="s">
        <v>189</v>
      </c>
      <c r="N48" s="34">
        <v>15</v>
      </c>
      <c r="O48" s="192">
        <f>VLOOKUP(C48,Product_Master!A:F,5,FALSE)</f>
        <v>525</v>
      </c>
      <c r="P48" s="33">
        <v>0.15</v>
      </c>
      <c r="Q48" s="34">
        <f t="shared" si="0"/>
        <v>6693.75</v>
      </c>
      <c r="R48" s="34">
        <v>4</v>
      </c>
      <c r="S48" s="24" t="s">
        <v>2149</v>
      </c>
      <c r="T48" s="24" t="s">
        <v>115</v>
      </c>
      <c r="U48" s="24" t="s">
        <v>256</v>
      </c>
      <c r="V48" s="34">
        <v>9856624471</v>
      </c>
      <c r="W48" s="24" t="str">
        <f>VLOOKUP(C48,Product_Master!A:F,4,FALSE)</f>
        <v>TechHub</v>
      </c>
      <c r="X48" s="34">
        <f>VLOOKUP(C48,Product_Master!A:F,6,FALSE)</f>
        <v>24</v>
      </c>
      <c r="Y48" s="24" t="str">
        <f>VLOOKUP(B48,Custumer_Master!A:D,3,FALSE)</f>
        <v>Gold</v>
      </c>
      <c r="Z48" s="30">
        <f>EDATE(E48,X48)</f>
        <v>46674</v>
      </c>
      <c r="AA48" s="29" t="str">
        <f>VLOOKUP(B48,Custumer_Master!A:K,11,)</f>
        <v>April</v>
      </c>
      <c r="AB48" s="24" t="s">
        <v>2108</v>
      </c>
      <c r="AC48" s="138" t="str">
        <f>PROPER(LEFT(TRIM(F48), 3)) &amp; RIGHT(TRIM(B48), 3) &amp; PROPER(LEFT(TRIM(I48), 2))</f>
        <v>Sne006Pu</v>
      </c>
      <c r="AD48" s="154">
        <f t="shared" ca="1" si="1"/>
        <v>45</v>
      </c>
      <c r="AE48" s="154">
        <f>IFERROR(IF(OR(E48="", D48="", LOWER(TRIM(E48))="pending", LOWER(TRIM(D48))="pending"), "Pending", E48 - D48), "Pending")</f>
        <v>3</v>
      </c>
      <c r="AF48" s="138" t="str">
        <f>IFERROR(IF(OR(E48="", D48="","Pending","Pending"), "Pending", IF((E48 - D48) &lt;= 5, "On Time", "Delayed")), "Pending")</f>
        <v>On Time</v>
      </c>
      <c r="AG48" s="24" t="str">
        <f t="shared" si="2"/>
        <v>Completed</v>
      </c>
    </row>
    <row r="49" spans="1:33">
      <c r="A49" s="24" t="s">
        <v>350</v>
      </c>
      <c r="B49" s="24" t="s">
        <v>251</v>
      </c>
      <c r="C49" s="24" t="s">
        <v>184</v>
      </c>
      <c r="D49" s="30">
        <v>45988</v>
      </c>
      <c r="E49" s="30" t="s">
        <v>352</v>
      </c>
      <c r="F49" s="24" t="str">
        <f>VLOOKUP(B49,Custumer_Master!A:D,2,FALSE)</f>
        <v>Sneha Joshi</v>
      </c>
      <c r="G49" s="24" t="str">
        <f>VLOOKUP($B49,Custumer_Master!$A:$J,6,FALSE)</f>
        <v>Female</v>
      </c>
      <c r="H49" s="30" t="str">
        <f>VLOOKUP($B49,Custumer_Master!$A:$J,7,FALSE)</f>
        <v>04/04/1981</v>
      </c>
      <c r="I49" s="24" t="str">
        <f>VLOOKUP($B49,Custumer_Master!$A:$J,9,FALSE)</f>
        <v>Pune</v>
      </c>
      <c r="J49" s="24" t="str">
        <f>VLOOKUP($B49,Custumer_Master!$A:$J,10,FALSE)</f>
        <v>West</v>
      </c>
      <c r="K49" s="24" t="str">
        <f>VLOOKUP(B49,Custumer_Master!A:D,4,FALSE)</f>
        <v>WB</v>
      </c>
      <c r="L49" s="24" t="str">
        <f>PROPER(TRIM(VLOOKUP('Final Data'!C49,Product_Master!A:F,3,FALSE)))</f>
        <v>Electronics</v>
      </c>
      <c r="M49" s="24" t="s">
        <v>189</v>
      </c>
      <c r="N49" s="34">
        <v>19</v>
      </c>
      <c r="O49" s="192">
        <f>VLOOKUP(C49,Product_Master!A:F,5,FALSE)</f>
        <v>525</v>
      </c>
      <c r="P49" s="33">
        <v>0.2</v>
      </c>
      <c r="Q49" s="34">
        <f t="shared" si="0"/>
        <v>7980</v>
      </c>
      <c r="R49" s="34">
        <v>1</v>
      </c>
      <c r="S49" s="24" t="s">
        <v>34</v>
      </c>
      <c r="T49" s="24" t="s">
        <v>115</v>
      </c>
      <c r="U49" s="24" t="s">
        <v>256</v>
      </c>
      <c r="V49" s="34">
        <v>9238141322</v>
      </c>
      <c r="W49" s="24" t="str">
        <f>VLOOKUP(C49,Product_Master!A:F,4,FALSE)</f>
        <v>TechHub</v>
      </c>
      <c r="X49" s="34">
        <f>VLOOKUP(C49,Product_Master!A:F,6,FALSE)</f>
        <v>24</v>
      </c>
      <c r="Y49" s="24" t="str">
        <f>VLOOKUP(B49,Custumer_Master!A:D,3,FALSE)</f>
        <v>Gold</v>
      </c>
      <c r="Z49" s="30">
        <f>EDATE(E49,X49)</f>
        <v>46724</v>
      </c>
      <c r="AA49" s="29" t="str">
        <f>VLOOKUP(B49,Custumer_Master!A:K,11,)</f>
        <v>April</v>
      </c>
      <c r="AB49" s="24" t="s">
        <v>2160</v>
      </c>
      <c r="AC49" s="138" t="str">
        <f>PROPER(LEFT(TRIM(F49), 3)) &amp; RIGHT(TRIM(B49), 3) &amp; PROPER(LEFT(TRIM(I49), 2))</f>
        <v>Sne006Pu</v>
      </c>
      <c r="AD49" s="154">
        <f t="shared" ca="1" si="1"/>
        <v>45</v>
      </c>
      <c r="AE49" s="154">
        <f>IFERROR(IF(OR(E49="", D49="", LOWER(TRIM(E49))="pending", LOWER(TRIM(D49))="pending"), "Pending", E49 - D49), "Pending")</f>
        <v>6</v>
      </c>
      <c r="AF49" s="138" t="str">
        <f>IFERROR(IF(OR(E49="", D49="","Pending","Pending"), "Pending", IF((E49 - D49) &lt;= 5, "On Time", "Delayed")), "Pending")</f>
        <v>Delayed</v>
      </c>
      <c r="AG49" s="24" t="str">
        <f t="shared" si="2"/>
        <v>Completed</v>
      </c>
    </row>
    <row r="50" spans="1:33">
      <c r="A50" s="24" t="s">
        <v>355</v>
      </c>
      <c r="B50" s="24" t="s">
        <v>71</v>
      </c>
      <c r="C50" s="24" t="s">
        <v>40</v>
      </c>
      <c r="D50" s="30">
        <v>46131</v>
      </c>
      <c r="E50" s="30"/>
      <c r="F50" s="24" t="str">
        <f>VLOOKUP(B50,Custumer_Master!A:D,2,FALSE)</f>
        <v>Mohit Verma</v>
      </c>
      <c r="G50" s="24" t="str">
        <f>VLOOKUP($B50,Custumer_Master!$A:$J,6,FALSE)</f>
        <v>Male</v>
      </c>
      <c r="H50" s="30" t="str">
        <f>VLOOKUP($B50,Custumer_Master!$A:$J,7,FALSE)</f>
        <v>13/04/1976</v>
      </c>
      <c r="I50" s="24" t="str">
        <f>VLOOKUP($B50,Custumer_Master!$A:$J,9,FALSE)</f>
        <v>Delhi</v>
      </c>
      <c r="J50" s="24" t="str">
        <f>VLOOKUP($B50,Custumer_Master!$A:$J,10,FALSE)</f>
        <v>North</v>
      </c>
      <c r="K50" s="24" t="str">
        <f>VLOOKUP(B50,Custumer_Master!A:D,4,FALSE)</f>
        <v>KA</v>
      </c>
      <c r="L50" s="24" t="str">
        <f>PROPER(TRIM(VLOOKUP('Final Data'!C50,Product_Master!A:F,3,FALSE)))</f>
        <v>Electronics</v>
      </c>
      <c r="M50" s="24" t="s">
        <v>47</v>
      </c>
      <c r="N50" s="34">
        <v>19</v>
      </c>
      <c r="O50" s="192">
        <f>VLOOKUP(C50,Product_Master!A:F,5,FALSE)</f>
        <v>9000</v>
      </c>
      <c r="P50" s="33">
        <v>0</v>
      </c>
      <c r="Q50" s="34">
        <f t="shared" si="0"/>
        <v>171000</v>
      </c>
      <c r="R50" s="34">
        <v>1</v>
      </c>
      <c r="S50" s="24" t="s">
        <v>2148</v>
      </c>
      <c r="T50" s="24" t="s">
        <v>61</v>
      </c>
      <c r="U50" s="24" t="s">
        <v>80</v>
      </c>
      <c r="V50" s="34">
        <v>9890380030</v>
      </c>
      <c r="W50" s="24" t="str">
        <f>VLOOKUP(C50,Product_Master!A:F,4,FALSE)</f>
        <v>Global Trade</v>
      </c>
      <c r="X50" s="34">
        <f>VLOOKUP(C50,Product_Master!A:F,6,FALSE)</f>
        <v>24</v>
      </c>
      <c r="Y50" s="24" t="str">
        <f>VLOOKUP(B50,Custumer_Master!A:D,3,FALSE)</f>
        <v>Platinum</v>
      </c>
      <c r="Z50" s="30">
        <f>EDATE(E50,X50)</f>
        <v>731</v>
      </c>
      <c r="AA50" s="29" t="str">
        <f>VLOOKUP(B50,Custumer_Master!A:K,11,)</f>
        <v>April</v>
      </c>
      <c r="AB50" s="24" t="s">
        <v>2160</v>
      </c>
      <c r="AC50" s="138" t="str">
        <f>PROPER(LEFT(TRIM(F50), 3)) &amp; RIGHT(TRIM(B50), 3) &amp; PROPER(LEFT(TRIM(I50), 2))</f>
        <v>Moh009De</v>
      </c>
      <c r="AD50" s="154">
        <f t="shared" ca="1" si="1"/>
        <v>50</v>
      </c>
      <c r="AE50" s="154" t="str">
        <f>IFERROR(IF(OR(E50="", D50="", LOWER(TRIM(E50))="pending", LOWER(TRIM(D50))="pending"), "Pending", E50 - D50), "Pending")</f>
        <v>Pending</v>
      </c>
      <c r="AF50" s="138" t="str">
        <f>IFERROR(IF(OR(E50="", D50="","Pending","Pending"), "Pending", IF((E50 - D50) &lt;= 5, "On Time", "Delayed")), "Pending")</f>
        <v>Pending</v>
      </c>
      <c r="AG50" s="24" t="str">
        <f t="shared" si="2"/>
        <v>Pending</v>
      </c>
    </row>
    <row r="51" spans="1:33">
      <c r="A51" s="24" t="s">
        <v>359</v>
      </c>
      <c r="B51" s="24" t="s">
        <v>168</v>
      </c>
      <c r="C51" s="24" t="s">
        <v>72</v>
      </c>
      <c r="D51" s="30">
        <v>46131</v>
      </c>
      <c r="E51" s="30" t="s">
        <v>360</v>
      </c>
      <c r="F51" s="24" t="str">
        <f>VLOOKUP(B51,Custumer_Master!A:D,2,FALSE)</f>
        <v>Anita Gupta</v>
      </c>
      <c r="G51" s="24" t="str">
        <f>VLOOKUP($B51,Custumer_Master!$A:$J,6,FALSE)</f>
        <v>Female</v>
      </c>
      <c r="H51" s="30" t="str">
        <f>VLOOKUP($B51,Custumer_Master!$A:$J,7,FALSE)</f>
        <v>16/01/2002</v>
      </c>
      <c r="I51" s="24" t="str">
        <f>VLOOKUP($B51,Custumer_Master!$A:$J,9,FALSE)</f>
        <v>Pune</v>
      </c>
      <c r="J51" s="24" t="str">
        <f>VLOOKUP($B51,Custumer_Master!$A:$J,10,FALSE)</f>
        <v>West</v>
      </c>
      <c r="K51" s="24" t="str">
        <f>VLOOKUP(B51,Custumer_Master!A:D,4,FALSE)</f>
        <v>WB</v>
      </c>
      <c r="L51" s="24" t="str">
        <f>PROPER(TRIM(VLOOKUP('Final Data'!C51,Product_Master!A:F,3,FALSE)))</f>
        <v>Electronics</v>
      </c>
      <c r="M51" s="24" t="s">
        <v>78</v>
      </c>
      <c r="N51" s="34">
        <v>6</v>
      </c>
      <c r="O51" s="192">
        <f>VLOOKUP(C51,Product_Master!A:F,5,FALSE)</f>
        <v>900</v>
      </c>
      <c r="P51" s="33">
        <v>0.05</v>
      </c>
      <c r="Q51" s="34">
        <f t="shared" si="0"/>
        <v>5130</v>
      </c>
      <c r="R51" s="34">
        <v>2</v>
      </c>
      <c r="S51" s="24" t="s">
        <v>34</v>
      </c>
      <c r="T51" s="24" t="s">
        <v>35</v>
      </c>
      <c r="U51" s="24" t="s">
        <v>175</v>
      </c>
      <c r="V51" s="34">
        <v>9495893170</v>
      </c>
      <c r="W51" s="24" t="str">
        <f>VLOOKUP(C51,Product_Master!A:F,4,FALSE)</f>
        <v>TechHub</v>
      </c>
      <c r="X51" s="34">
        <f>VLOOKUP(C51,Product_Master!A:F,6,FALSE)</f>
        <v>6</v>
      </c>
      <c r="Y51" s="24" t="str">
        <f>VLOOKUP(B51,Custumer_Master!A:D,3,FALSE)</f>
        <v>Gold</v>
      </c>
      <c r="Z51" s="30">
        <f>EDATE(E51,X51)</f>
        <v>46316</v>
      </c>
      <c r="AA51" s="29" t="str">
        <f>VLOOKUP(B51,Custumer_Master!A:K,11,)</f>
        <v>January</v>
      </c>
      <c r="AB51" s="24" t="s">
        <v>2160</v>
      </c>
      <c r="AC51" s="138" t="str">
        <f>PROPER(LEFT(TRIM(F51), 3)) &amp; RIGHT(TRIM(B51), 3) &amp; PROPER(LEFT(TRIM(I51), 2))</f>
        <v>Ani004Pu</v>
      </c>
      <c r="AD51" s="154">
        <f t="shared" ca="1" si="1"/>
        <v>24</v>
      </c>
      <c r="AE51" s="154">
        <f>IFERROR(IF(OR(E51="", D51="", LOWER(TRIM(E51))="pending", LOWER(TRIM(D51))="pending"), "Pending", E51 - D51), "Pending")</f>
        <v>2</v>
      </c>
      <c r="AF51" s="138" t="str">
        <f>IFERROR(IF(OR(E51="", D51="","Pending","Pending"), "Pending", IF((E51 - D51) &lt;= 5, "On Time", "Delayed")), "Pending")</f>
        <v>On Time</v>
      </c>
      <c r="AG51" s="24" t="str">
        <f t="shared" si="2"/>
        <v>Completed</v>
      </c>
    </row>
    <row r="52" spans="1:33">
      <c r="A52" s="24" t="s">
        <v>364</v>
      </c>
      <c r="B52" s="24" t="s">
        <v>53</v>
      </c>
      <c r="C52" s="24" t="s">
        <v>24</v>
      </c>
      <c r="D52" s="30">
        <v>45744</v>
      </c>
      <c r="E52" s="30" t="s">
        <v>366</v>
      </c>
      <c r="F52" s="24" t="str">
        <f>VLOOKUP(B52,Custumer_Master!A:D,2,FALSE)</f>
        <v>Pooja Shah</v>
      </c>
      <c r="G52" s="24" t="str">
        <f>VLOOKUP($B52,Custumer_Master!$A:$J,6,FALSE)</f>
        <v>Female</v>
      </c>
      <c r="H52" s="30" t="str">
        <f>VLOOKUP($B52,Custumer_Master!$A:$J,7,FALSE)</f>
        <v>16/09/1994</v>
      </c>
      <c r="I52" s="24" t="str">
        <f>VLOOKUP($B52,Custumer_Master!$A:$J,9,FALSE)</f>
        <v>Bengaluru</v>
      </c>
      <c r="J52" s="24" t="str">
        <f>VLOOKUP($B52,Custumer_Master!$A:$J,10,FALSE)</f>
        <v>South</v>
      </c>
      <c r="K52" s="24" t="str">
        <f>VLOOKUP(B52,Custumer_Master!A:D,4,FALSE)</f>
        <v>WB</v>
      </c>
      <c r="L52" s="24" t="str">
        <f>PROPER(TRIM(VLOOKUP('Final Data'!C52,Product_Master!A:F,3,FALSE)))</f>
        <v>Home Appliances</v>
      </c>
      <c r="M52" s="24" t="s">
        <v>33</v>
      </c>
      <c r="N52" s="34">
        <v>7</v>
      </c>
      <c r="O52" s="192">
        <f>VLOOKUP(C52,Product_Master!A:F,5,FALSE)</f>
        <v>1650</v>
      </c>
      <c r="P52" s="33">
        <v>0.15</v>
      </c>
      <c r="Q52" s="34">
        <f t="shared" si="0"/>
        <v>9817.5</v>
      </c>
      <c r="R52" s="34">
        <v>1</v>
      </c>
      <c r="S52" s="24" t="s">
        <v>2149</v>
      </c>
      <c r="T52" s="24" t="s">
        <v>61</v>
      </c>
      <c r="U52" s="24" t="s">
        <v>62</v>
      </c>
      <c r="V52" s="34">
        <v>9485166307</v>
      </c>
      <c r="W52" s="24" t="str">
        <f>VLOOKUP(C52,Product_Master!A:F,4,FALSE)</f>
        <v>Global Trade</v>
      </c>
      <c r="X52" s="34">
        <f>VLOOKUP(C52,Product_Master!A:F,6,FALSE)</f>
        <v>24</v>
      </c>
      <c r="Y52" s="24" t="str">
        <f>VLOOKUP(B52,Custumer_Master!A:D,3,FALSE)</f>
        <v>Silver</v>
      </c>
      <c r="Z52" s="30">
        <f>EDATE(E52,X52)</f>
        <v>46484</v>
      </c>
      <c r="AA52" s="29" t="str">
        <f>VLOOKUP(B52,Custumer_Master!A:K,11,)</f>
        <v>September</v>
      </c>
      <c r="AB52" s="24" t="s">
        <v>2160</v>
      </c>
      <c r="AC52" s="138" t="str">
        <f>PROPER(LEFT(TRIM(F52), 3)) &amp; RIGHT(TRIM(B52), 3) &amp; PROPER(LEFT(TRIM(I52), 2))</f>
        <v>Poo010Be</v>
      </c>
      <c r="AD52" s="154">
        <f t="shared" ca="1" si="1"/>
        <v>31</v>
      </c>
      <c r="AE52" s="154">
        <f>IFERROR(IF(OR(E52="", D52="", LOWER(TRIM(E52))="pending", LOWER(TRIM(D52))="pending"), "Pending", E52 - D52), "Pending")</f>
        <v>10</v>
      </c>
      <c r="AF52" s="138" t="str">
        <f>IFERROR(IF(OR(E52="", D52="","Pending","Pending"), "Pending", IF((E52 - D52) &lt;= 5, "On Time", "Delayed")), "Pending")</f>
        <v>Delayed</v>
      </c>
      <c r="AG52" s="24" t="str">
        <f t="shared" si="2"/>
        <v>Completed</v>
      </c>
    </row>
    <row r="53" spans="1:33">
      <c r="A53" s="24" t="s">
        <v>370</v>
      </c>
      <c r="B53" s="24" t="s">
        <v>100</v>
      </c>
      <c r="C53" s="24" t="s">
        <v>118</v>
      </c>
      <c r="D53" s="30">
        <v>45894</v>
      </c>
      <c r="E53" s="30" t="s">
        <v>372</v>
      </c>
      <c r="F53" s="24" t="str">
        <f>VLOOKUP(B53,Custumer_Master!A:D,2,FALSE)</f>
        <v>Priya Patel</v>
      </c>
      <c r="G53" s="24" t="str">
        <f>VLOOKUP($B53,Custumer_Master!$A:$J,6,FALSE)</f>
        <v>Female</v>
      </c>
      <c r="H53" s="30" t="str">
        <f>VLOOKUP($B53,Custumer_Master!$A:$J,7,FALSE)</f>
        <v>07/03/1995</v>
      </c>
      <c r="I53" s="24" t="str">
        <f>VLOOKUP($B53,Custumer_Master!$A:$J,9,FALSE)</f>
        <v>Mumbai</v>
      </c>
      <c r="J53" s="24" t="str">
        <f>VLOOKUP($B53,Custumer_Master!$A:$J,10,FALSE)</f>
        <v>West</v>
      </c>
      <c r="K53" s="24" t="str">
        <f>VLOOKUP(B53,Custumer_Master!A:D,4,FALSE)</f>
        <v>WB</v>
      </c>
      <c r="L53" s="24" t="str">
        <f>PROPER(TRIM(VLOOKUP('Final Data'!C53,Product_Master!A:F,3,FALSE)))</f>
        <v>Stationery</v>
      </c>
      <c r="M53" s="24" t="s">
        <v>123</v>
      </c>
      <c r="N53" s="34">
        <v>8</v>
      </c>
      <c r="O53" s="192">
        <f>VLOOKUP(C53,Product_Master!A:F,5,FALSE)</f>
        <v>45</v>
      </c>
      <c r="P53" s="33">
        <v>0.1</v>
      </c>
      <c r="Q53" s="34">
        <f t="shared" si="0"/>
        <v>324</v>
      </c>
      <c r="R53" s="34">
        <v>5</v>
      </c>
      <c r="S53" s="24" t="s">
        <v>79</v>
      </c>
      <c r="T53" s="24" t="s">
        <v>61</v>
      </c>
      <c r="U53" s="24" t="s">
        <v>144</v>
      </c>
      <c r="V53" s="34">
        <v>9924709648</v>
      </c>
      <c r="W53" s="24" t="str">
        <f>VLOOKUP(C53,Product_Master!A:F,4,FALSE)</f>
        <v>ABC Corp</v>
      </c>
      <c r="X53" s="34">
        <f>VLOOKUP(C53,Product_Master!A:F,6,FALSE)</f>
        <v>12</v>
      </c>
      <c r="Y53" s="24" t="str">
        <f>VLOOKUP(B53,Custumer_Master!A:D,3,FALSE)</f>
        <v>Platinum</v>
      </c>
      <c r="Z53" s="30">
        <f>EDATE(E53,X53)</f>
        <v>46262</v>
      </c>
      <c r="AA53" s="29" t="str">
        <f>VLOOKUP(B53,Custumer_Master!A:K,11,)</f>
        <v>March</v>
      </c>
      <c r="AB53" s="24" t="s">
        <v>2108</v>
      </c>
      <c r="AC53" s="138" t="str">
        <f>PROPER(LEFT(TRIM(F53), 3)) &amp; RIGHT(TRIM(B53), 3) &amp; PROPER(LEFT(TRIM(I53), 2))</f>
        <v>Pri002Mu</v>
      </c>
      <c r="AD53" s="154">
        <f t="shared" ca="1" si="1"/>
        <v>31</v>
      </c>
      <c r="AE53" s="154">
        <f>IFERROR(IF(OR(E53="", D53="", LOWER(TRIM(E53))="pending", LOWER(TRIM(D53))="pending"), "Pending", E53 - D53), "Pending")</f>
        <v>3</v>
      </c>
      <c r="AF53" s="138" t="str">
        <f>IFERROR(IF(OR(E53="", D53="","Pending","Pending"), "Pending", IF((E53 - D53) &lt;= 5, "On Time", "Delayed")), "Pending")</f>
        <v>On Time</v>
      </c>
      <c r="AG53" s="24" t="str">
        <f t="shared" si="2"/>
        <v>Completed</v>
      </c>
    </row>
    <row r="54" spans="1:33">
      <c r="A54" s="24" t="s">
        <v>375</v>
      </c>
      <c r="B54" s="24" t="s">
        <v>221</v>
      </c>
      <c r="C54" s="24" t="s">
        <v>54</v>
      </c>
      <c r="D54" s="30">
        <v>45888</v>
      </c>
      <c r="E54" s="30" t="s">
        <v>377</v>
      </c>
      <c r="F54" s="24" t="str">
        <f>VLOOKUP(B54,Custumer_Master!A:D,2,FALSE)</f>
        <v>Vikas Mehta</v>
      </c>
      <c r="G54" s="24" t="str">
        <f>VLOOKUP($B54,Custumer_Master!$A:$J,6,FALSE)</f>
        <v>Male</v>
      </c>
      <c r="H54" s="30" t="str">
        <f>VLOOKUP($B54,Custumer_Master!$A:$J,7,FALSE)</f>
        <v>03/08/1991</v>
      </c>
      <c r="I54" s="24" t="str">
        <f>VLOOKUP($B54,Custumer_Master!$A:$J,9,FALSE)</f>
        <v>Mumbai</v>
      </c>
      <c r="J54" s="24" t="str">
        <f>VLOOKUP($B54,Custumer_Master!$A:$J,10,FALSE)</f>
        <v>West</v>
      </c>
      <c r="K54" s="24" t="str">
        <f>VLOOKUP(B54,Custumer_Master!A:D,4,FALSE)</f>
        <v>DL</v>
      </c>
      <c r="L54" s="24" t="str">
        <f>PROPER(TRIM(VLOOKUP('Final Data'!C54,Product_Master!A:F,3,FALSE)))</f>
        <v>Electronics</v>
      </c>
      <c r="M54" s="24" t="s">
        <v>60</v>
      </c>
      <c r="N54" s="34">
        <v>12</v>
      </c>
      <c r="O54" s="192">
        <f>VLOOKUP(C54,Product_Master!A:F,5,FALSE)</f>
        <v>41250</v>
      </c>
      <c r="P54" s="33">
        <v>0.05</v>
      </c>
      <c r="Q54" s="34">
        <f t="shared" si="0"/>
        <v>470250</v>
      </c>
      <c r="R54" s="34">
        <v>2</v>
      </c>
      <c r="S54" s="24" t="s">
        <v>2149</v>
      </c>
      <c r="T54" s="24" t="s">
        <v>49</v>
      </c>
      <c r="U54" s="24" t="s">
        <v>228</v>
      </c>
      <c r="V54" s="34">
        <v>9350554626</v>
      </c>
      <c r="W54" s="24" t="str">
        <f>VLOOKUP(C54,Product_Master!A:F,4,FALSE)</f>
        <v>TechHub</v>
      </c>
      <c r="X54" s="34">
        <f>VLOOKUP(C54,Product_Master!A:F,6,FALSE)</f>
        <v>12</v>
      </c>
      <c r="Y54" s="24" t="str">
        <f>VLOOKUP(B54,Custumer_Master!A:D,3,FALSE)</f>
        <v>Gold</v>
      </c>
      <c r="Z54" s="30">
        <f>EDATE(E54,X54)</f>
        <v>46257</v>
      </c>
      <c r="AA54" s="29" t="str">
        <f>VLOOKUP(B54,Custumer_Master!A:K,11,)</f>
        <v>August</v>
      </c>
      <c r="AB54" s="24" t="s">
        <v>2160</v>
      </c>
      <c r="AC54" s="138" t="str">
        <f>PROPER(LEFT(TRIM(F54), 3)) &amp; RIGHT(TRIM(B54), 3) &amp; PROPER(LEFT(TRIM(I54), 2))</f>
        <v>Vik005Mu</v>
      </c>
      <c r="AD54" s="154">
        <f t="shared" ca="1" si="1"/>
        <v>34</v>
      </c>
      <c r="AE54" s="154">
        <f>IFERROR(IF(OR(E54="", D54="", LOWER(TRIM(E54))="pending", LOWER(TRIM(D54))="pending"), "Pending", E54 - D54), "Pending")</f>
        <v>4</v>
      </c>
      <c r="AF54" s="138" t="str">
        <f>IFERROR(IF(OR(E54="", D54="","Pending","Pending"), "Pending", IF((E54 - D54) &lt;= 5, "On Time", "Delayed")), "Pending")</f>
        <v>On Time</v>
      </c>
      <c r="AG54" s="24" t="str">
        <f t="shared" si="2"/>
        <v>Completed</v>
      </c>
    </row>
    <row r="55" spans="1:33">
      <c r="A55" s="24" t="s">
        <v>380</v>
      </c>
      <c r="B55" s="24" t="s">
        <v>23</v>
      </c>
      <c r="C55" s="24" t="s">
        <v>184</v>
      </c>
      <c r="D55" s="30">
        <v>45865</v>
      </c>
      <c r="E55" s="30" t="s">
        <v>382</v>
      </c>
      <c r="F55" s="24" t="str">
        <f>VLOOKUP(B55,Custumer_Master!A:D,2,FALSE)</f>
        <v>Kavya Nair</v>
      </c>
      <c r="G55" s="24" t="str">
        <f>VLOOKUP($B55,Custumer_Master!$A:$J,6,FALSE)</f>
        <v>Female</v>
      </c>
      <c r="H55" s="30" t="str">
        <f>VLOOKUP($B55,Custumer_Master!$A:$J,7,FALSE)</f>
        <v>01/08/1976</v>
      </c>
      <c r="I55" s="24" t="str">
        <f>VLOOKUP($B55,Custumer_Master!$A:$J,9,FALSE)</f>
        <v>Hyderabad</v>
      </c>
      <c r="J55" s="24" t="str">
        <f>VLOOKUP($B55,Custumer_Master!$A:$J,10,FALSE)</f>
        <v>South</v>
      </c>
      <c r="K55" s="24" t="str">
        <f>VLOOKUP(B55,Custumer_Master!A:D,4,FALSE)</f>
        <v>WB</v>
      </c>
      <c r="L55" s="24" t="str">
        <f>PROPER(TRIM(VLOOKUP('Final Data'!C55,Product_Master!A:F,3,FALSE)))</f>
        <v>Electronics</v>
      </c>
      <c r="M55" s="24" t="s">
        <v>189</v>
      </c>
      <c r="N55" s="34">
        <v>3</v>
      </c>
      <c r="O55" s="192">
        <f>VLOOKUP(C55,Product_Master!A:F,5,FALSE)</f>
        <v>525</v>
      </c>
      <c r="P55" s="33">
        <v>0</v>
      </c>
      <c r="Q55" s="34">
        <f t="shared" si="0"/>
        <v>1575</v>
      </c>
      <c r="R55" s="34">
        <v>3</v>
      </c>
      <c r="S55" s="24" t="s">
        <v>79</v>
      </c>
      <c r="T55" s="24" t="s">
        <v>151</v>
      </c>
      <c r="U55" s="24" t="s">
        <v>50</v>
      </c>
      <c r="V55" s="34">
        <v>9743295580</v>
      </c>
      <c r="W55" s="24" t="str">
        <f>VLOOKUP(C55,Product_Master!A:F,4,FALSE)</f>
        <v>TechHub</v>
      </c>
      <c r="X55" s="34">
        <f>VLOOKUP(C55,Product_Master!A:F,6,FALSE)</f>
        <v>24</v>
      </c>
      <c r="Y55" s="24" t="str">
        <f>VLOOKUP(B55,Custumer_Master!A:D,3,FALSE)</f>
        <v>Silver</v>
      </c>
      <c r="Z55" s="30">
        <f>EDATE(E55,X55)</f>
        <v>46604</v>
      </c>
      <c r="AA55" s="29" t="str">
        <f>VLOOKUP(B55,Custumer_Master!A:K,11,)</f>
        <v>August</v>
      </c>
      <c r="AB55" s="24" t="s">
        <v>2108</v>
      </c>
      <c r="AC55" s="138" t="str">
        <f>PROPER(LEFT(TRIM(F55), 3)) &amp; RIGHT(TRIM(B55), 3) &amp; PROPER(LEFT(TRIM(I55), 2))</f>
        <v>Kav008Hy</v>
      </c>
      <c r="AD55" s="154">
        <f t="shared" ca="1" si="1"/>
        <v>49</v>
      </c>
      <c r="AE55" s="154">
        <f>IFERROR(IF(OR(E55="", D55="", LOWER(TRIM(E55))="pending", LOWER(TRIM(D55))="pending"), "Pending", E55 - D55), "Pending")</f>
        <v>9</v>
      </c>
      <c r="AF55" s="138" t="str">
        <f>IFERROR(IF(OR(E55="", D55="","Pending","Pending"), "Pending", IF((E55 - D55) &lt;= 5, "On Time", "Delayed")), "Pending")</f>
        <v>Delayed</v>
      </c>
      <c r="AG55" s="24" t="str">
        <f t="shared" si="2"/>
        <v>Completed</v>
      </c>
    </row>
    <row r="56" spans="1:33">
      <c r="A56" s="24" t="s">
        <v>385</v>
      </c>
      <c r="B56" s="24" t="s">
        <v>127</v>
      </c>
      <c r="C56" s="24" t="s">
        <v>118</v>
      </c>
      <c r="D56" s="30">
        <v>45709</v>
      </c>
      <c r="E56" s="30" t="s">
        <v>387</v>
      </c>
      <c r="F56" s="24" t="str">
        <f>VLOOKUP(B56,Custumer_Master!A:D,2,FALSE)</f>
        <v>Rohit Singh</v>
      </c>
      <c r="G56" s="24" t="str">
        <f>VLOOKUP($B56,Custumer_Master!$A:$J,6,FALSE)</f>
        <v>Male</v>
      </c>
      <c r="H56" s="30" t="str">
        <f>VLOOKUP($B56,Custumer_Master!$A:$J,7,FALSE)</f>
        <v>10/05/1982</v>
      </c>
      <c r="I56" s="24" t="str">
        <f>VLOOKUP($B56,Custumer_Master!$A:$J,9,FALSE)</f>
        <v>Delhi</v>
      </c>
      <c r="J56" s="24" t="str">
        <f>VLOOKUP($B56,Custumer_Master!$A:$J,10,FALSE)</f>
        <v>North</v>
      </c>
      <c r="K56" s="24" t="str">
        <f>VLOOKUP(B56,Custumer_Master!A:D,4,FALSE)</f>
        <v>DL</v>
      </c>
      <c r="L56" s="24" t="str">
        <f>PROPER(TRIM(VLOOKUP('Final Data'!C56,Product_Master!A:F,3,FALSE)))</f>
        <v>Stationery</v>
      </c>
      <c r="M56" s="24" t="s">
        <v>123</v>
      </c>
      <c r="N56" s="34">
        <v>19</v>
      </c>
      <c r="O56" s="192">
        <f>VLOOKUP(C56,Product_Master!A:F,5,FALSE)</f>
        <v>45</v>
      </c>
      <c r="P56" s="33">
        <v>0.15</v>
      </c>
      <c r="Q56" s="34">
        <f t="shared" si="0"/>
        <v>726.75</v>
      </c>
      <c r="R56" s="34">
        <v>4</v>
      </c>
      <c r="S56" s="24" t="s">
        <v>79</v>
      </c>
      <c r="T56" s="24" t="s">
        <v>49</v>
      </c>
      <c r="U56" s="24" t="s">
        <v>132</v>
      </c>
      <c r="V56" s="34">
        <v>9822926495</v>
      </c>
      <c r="W56" s="24" t="str">
        <f>VLOOKUP(C56,Product_Master!A:F,4,FALSE)</f>
        <v>ABC Corp</v>
      </c>
      <c r="X56" s="34">
        <f>VLOOKUP(C56,Product_Master!A:F,6,FALSE)</f>
        <v>12</v>
      </c>
      <c r="Y56" s="24" t="str">
        <f>VLOOKUP(B56,Custumer_Master!A:D,3,FALSE)</f>
        <v>Gold</v>
      </c>
      <c r="Z56" s="30">
        <f>EDATE(E56,X56)</f>
        <v>46079</v>
      </c>
      <c r="AA56" s="29" t="str">
        <f>VLOOKUP(B56,Custumer_Master!A:K,11,)</f>
        <v>May</v>
      </c>
      <c r="AB56" s="24" t="s">
        <v>2108</v>
      </c>
      <c r="AC56" s="138" t="str">
        <f>PROPER(LEFT(TRIM(F56), 3)) &amp; RIGHT(TRIM(B56), 3) &amp; PROPER(LEFT(TRIM(I56), 2))</f>
        <v>Roh003De</v>
      </c>
      <c r="AD56" s="154">
        <f t="shared" ca="1" si="1"/>
        <v>44</v>
      </c>
      <c r="AE56" s="154">
        <f>IFERROR(IF(OR(E56="", D56="", LOWER(TRIM(E56))="pending", LOWER(TRIM(D56))="pending"), "Pending", E56 - D56), "Pending")</f>
        <v>5</v>
      </c>
      <c r="AF56" s="138" t="str">
        <f>IFERROR(IF(OR(E56="", D56="","Pending","Pending"), "Pending", IF((E56 - D56) &lt;= 5, "On Time", "Delayed")), "Pending")</f>
        <v>On Time</v>
      </c>
      <c r="AG56" s="24" t="str">
        <f t="shared" si="2"/>
        <v>Completed</v>
      </c>
    </row>
    <row r="57" spans="1:33">
      <c r="A57" s="24" t="s">
        <v>391</v>
      </c>
      <c r="B57" s="24" t="s">
        <v>327</v>
      </c>
      <c r="C57" s="24" t="s">
        <v>118</v>
      </c>
      <c r="D57" s="30">
        <v>45879</v>
      </c>
      <c r="E57" s="30" t="s">
        <v>393</v>
      </c>
      <c r="F57" s="24" t="str">
        <f>VLOOKUP(B57,Custumer_Master!A:D,2,FALSE)</f>
        <v>Amit Sharma</v>
      </c>
      <c r="G57" s="24" t="str">
        <f>VLOOKUP($B57,Custumer_Master!$A:$J,6,FALSE)</f>
        <v>Male</v>
      </c>
      <c r="H57" s="30" t="str">
        <f>VLOOKUP($B57,Custumer_Master!$A:$J,7,FALSE)</f>
        <v>09/08/1991</v>
      </c>
      <c r="I57" s="24" t="str">
        <f>VLOOKUP($B57,Custumer_Master!$A:$J,9,FALSE)</f>
        <v>Pune</v>
      </c>
      <c r="J57" s="24" t="str">
        <f>VLOOKUP($B57,Custumer_Master!$A:$J,10,FALSE)</f>
        <v>West</v>
      </c>
      <c r="K57" s="24" t="str">
        <f>VLOOKUP(B57,Custumer_Master!A:D,4,FALSE)</f>
        <v>RJ</v>
      </c>
      <c r="L57" s="24" t="str">
        <f>PROPER(TRIM(VLOOKUP('Final Data'!C57,Product_Master!A:F,3,FALSE)))</f>
        <v>Stationery</v>
      </c>
      <c r="M57" s="24" t="s">
        <v>123</v>
      </c>
      <c r="N57" s="34">
        <v>9</v>
      </c>
      <c r="O57" s="192">
        <f>VLOOKUP(C57,Product_Master!A:F,5,FALSE)</f>
        <v>45</v>
      </c>
      <c r="P57" s="33">
        <v>0.2</v>
      </c>
      <c r="Q57" s="34">
        <f t="shared" si="0"/>
        <v>324</v>
      </c>
      <c r="R57" s="34">
        <v>1</v>
      </c>
      <c r="S57" s="24" t="s">
        <v>2148</v>
      </c>
      <c r="T57" s="24" t="s">
        <v>115</v>
      </c>
      <c r="U57" s="24" t="s">
        <v>332</v>
      </c>
      <c r="V57" s="34">
        <v>9518298190</v>
      </c>
      <c r="W57" s="24" t="str">
        <f>VLOOKUP(C57,Product_Master!A:F,4,FALSE)</f>
        <v>ABC Corp</v>
      </c>
      <c r="X57" s="34">
        <f>VLOOKUP(C57,Product_Master!A:F,6,FALSE)</f>
        <v>12</v>
      </c>
      <c r="Y57" s="24" t="str">
        <f>VLOOKUP(B57,Custumer_Master!A:D,3,FALSE)</f>
        <v>Silver</v>
      </c>
      <c r="Z57" s="30">
        <f>EDATE(E57,X57)</f>
        <v>46245</v>
      </c>
      <c r="AA57" s="29" t="str">
        <f>VLOOKUP(B57,Custumer_Master!A:K,11,)</f>
        <v>August</v>
      </c>
      <c r="AB57" s="24" t="s">
        <v>2160</v>
      </c>
      <c r="AC57" s="138" t="str">
        <f>PROPER(LEFT(TRIM(F57), 3)) &amp; RIGHT(TRIM(B57), 3) &amp; PROPER(LEFT(TRIM(I57), 2))</f>
        <v>Ami001Pu</v>
      </c>
      <c r="AD57" s="154">
        <f t="shared" ca="1" si="1"/>
        <v>34</v>
      </c>
      <c r="AE57" s="154">
        <f>IFERROR(IF(OR(E57="", D57="", LOWER(TRIM(E57))="pending", LOWER(TRIM(D57))="pending"), "Pending", E57 - D57), "Pending")</f>
        <v>1</v>
      </c>
      <c r="AF57" s="138" t="str">
        <f>IFERROR(IF(OR(E57="", D57="","Pending","Pending"), "Pending", IF((E57 - D57) &lt;= 5, "On Time", "Delayed")), "Pending")</f>
        <v>On Time</v>
      </c>
      <c r="AG57" s="24" t="str">
        <f t="shared" si="2"/>
        <v>Completed</v>
      </c>
    </row>
    <row r="58" spans="1:33">
      <c r="A58" s="24" t="s">
        <v>397</v>
      </c>
      <c r="B58" s="24" t="s">
        <v>327</v>
      </c>
      <c r="C58" s="24" t="s">
        <v>184</v>
      </c>
      <c r="D58" s="30">
        <v>46105</v>
      </c>
      <c r="E58" s="30" t="s">
        <v>399</v>
      </c>
      <c r="F58" s="24" t="str">
        <f>VLOOKUP(B58,Custumer_Master!A:D,2,FALSE)</f>
        <v>Amit Sharma</v>
      </c>
      <c r="G58" s="24" t="str">
        <f>VLOOKUP($B58,Custumer_Master!$A:$J,6,FALSE)</f>
        <v>Male</v>
      </c>
      <c r="H58" s="30" t="str">
        <f>VLOOKUP($B58,Custumer_Master!$A:$J,7,FALSE)</f>
        <v>09/08/1991</v>
      </c>
      <c r="I58" s="24" t="str">
        <f>VLOOKUP($B58,Custumer_Master!$A:$J,9,FALSE)</f>
        <v>Pune</v>
      </c>
      <c r="J58" s="24" t="str">
        <f>VLOOKUP($B58,Custumer_Master!$A:$J,10,FALSE)</f>
        <v>West</v>
      </c>
      <c r="K58" s="24" t="str">
        <f>VLOOKUP(B58,Custumer_Master!A:D,4,FALSE)</f>
        <v>RJ</v>
      </c>
      <c r="L58" s="24" t="str">
        <f>PROPER(TRIM(VLOOKUP('Final Data'!C58,Product_Master!A:F,3,FALSE)))</f>
        <v>Electronics</v>
      </c>
      <c r="M58" s="24" t="s">
        <v>189</v>
      </c>
      <c r="N58" s="34">
        <v>6</v>
      </c>
      <c r="O58" s="192">
        <f>VLOOKUP(C58,Product_Master!A:F,5,FALSE)</f>
        <v>525</v>
      </c>
      <c r="P58" s="33">
        <v>0</v>
      </c>
      <c r="Q58" s="34">
        <f t="shared" si="0"/>
        <v>3150</v>
      </c>
      <c r="R58" s="34">
        <v>4</v>
      </c>
      <c r="S58" s="24" t="s">
        <v>2149</v>
      </c>
      <c r="T58" s="24" t="s">
        <v>49</v>
      </c>
      <c r="U58" s="24" t="s">
        <v>332</v>
      </c>
      <c r="V58" s="34">
        <v>9366223547</v>
      </c>
      <c r="W58" s="24" t="str">
        <f>VLOOKUP(C58,Product_Master!A:F,4,FALSE)</f>
        <v>TechHub</v>
      </c>
      <c r="X58" s="34">
        <f>VLOOKUP(C58,Product_Master!A:F,6,FALSE)</f>
        <v>24</v>
      </c>
      <c r="Y58" s="24" t="str">
        <f>VLOOKUP(B58,Custumer_Master!A:D,3,FALSE)</f>
        <v>Silver</v>
      </c>
      <c r="Z58" s="30">
        <f>EDATE(E58,X58)</f>
        <v>46842</v>
      </c>
      <c r="AA58" s="29" t="str">
        <f>VLOOKUP(B58,Custumer_Master!A:K,11,)</f>
        <v>August</v>
      </c>
      <c r="AB58" s="24" t="s">
        <v>2108</v>
      </c>
      <c r="AC58" s="138" t="str">
        <f>PROPER(LEFT(TRIM(F58), 3)) &amp; RIGHT(TRIM(B58), 3) &amp; PROPER(LEFT(TRIM(I58), 2))</f>
        <v>Ami001Pu</v>
      </c>
      <c r="AD58" s="154">
        <f t="shared" ca="1" si="1"/>
        <v>34</v>
      </c>
      <c r="AE58" s="154">
        <f>IFERROR(IF(OR(E58="", D58="", LOWER(TRIM(E58))="pending", LOWER(TRIM(D58))="pending"), "Pending", E58 - D58), "Pending")</f>
        <v>6</v>
      </c>
      <c r="AF58" s="138" t="str">
        <f>IFERROR(IF(OR(E58="", D58="","Pending","Pending"), "Pending", IF((E58 - D58) &lt;= 5, "On Time", "Delayed")), "Pending")</f>
        <v>Delayed</v>
      </c>
      <c r="AG58" s="24" t="str">
        <f t="shared" si="2"/>
        <v>Completed</v>
      </c>
    </row>
    <row r="59" spans="1:33">
      <c r="A59" s="24" t="s">
        <v>403</v>
      </c>
      <c r="B59" s="24" t="s">
        <v>127</v>
      </c>
      <c r="C59" s="24" t="s">
        <v>259</v>
      </c>
      <c r="D59" s="30">
        <v>46094</v>
      </c>
      <c r="E59" s="30" t="s">
        <v>404</v>
      </c>
      <c r="F59" s="24" t="str">
        <f>VLOOKUP(B59,Custumer_Master!A:D,2,FALSE)</f>
        <v>Rohit Singh</v>
      </c>
      <c r="G59" s="24" t="str">
        <f>VLOOKUP($B59,Custumer_Master!$A:$J,6,FALSE)</f>
        <v>Male</v>
      </c>
      <c r="H59" s="30" t="str">
        <f>VLOOKUP($B59,Custumer_Master!$A:$J,7,FALSE)</f>
        <v>10/05/1982</v>
      </c>
      <c r="I59" s="24" t="str">
        <f>VLOOKUP($B59,Custumer_Master!$A:$J,9,FALSE)</f>
        <v>Delhi</v>
      </c>
      <c r="J59" s="24" t="str">
        <f>VLOOKUP($B59,Custumer_Master!$A:$J,10,FALSE)</f>
        <v>North</v>
      </c>
      <c r="K59" s="24" t="str">
        <f>VLOOKUP(B59,Custumer_Master!A:D,4,FALSE)</f>
        <v>DL</v>
      </c>
      <c r="L59" s="24" t="str">
        <f>PROPER(TRIM(VLOOKUP('Final Data'!C59,Product_Master!A:F,3,FALSE)))</f>
        <v>Stationery</v>
      </c>
      <c r="M59" s="24" t="s">
        <v>263</v>
      </c>
      <c r="N59" s="34">
        <v>18</v>
      </c>
      <c r="O59" s="192">
        <f>VLOOKUP(C59,Product_Master!A:F,5,FALSE)</f>
        <v>33.75</v>
      </c>
      <c r="P59" s="33">
        <v>0.05</v>
      </c>
      <c r="Q59" s="34">
        <f t="shared" si="0"/>
        <v>577.125</v>
      </c>
      <c r="R59" s="34">
        <v>1</v>
      </c>
      <c r="S59" s="24" t="s">
        <v>79</v>
      </c>
      <c r="T59" s="24" t="s">
        <v>61</v>
      </c>
      <c r="U59" s="24" t="s">
        <v>132</v>
      </c>
      <c r="V59" s="34">
        <v>9701988524</v>
      </c>
      <c r="W59" s="24" t="str">
        <f>VLOOKUP(C59,Product_Master!A:F,4,FALSE)</f>
        <v>TechHub</v>
      </c>
      <c r="X59" s="34">
        <f>VLOOKUP(C59,Product_Master!A:F,6,FALSE)</f>
        <v>12</v>
      </c>
      <c r="Y59" s="24" t="str">
        <f>VLOOKUP(B59,Custumer_Master!A:D,3,FALSE)</f>
        <v>Gold</v>
      </c>
      <c r="Z59" s="30">
        <f>EDATE(E59,X59)</f>
        <v>46465</v>
      </c>
      <c r="AA59" s="29" t="str">
        <f>VLOOKUP(B59,Custumer_Master!A:K,11,)</f>
        <v>May</v>
      </c>
      <c r="AB59" s="24" t="s">
        <v>2160</v>
      </c>
      <c r="AC59" s="138" t="str">
        <f>PROPER(LEFT(TRIM(F59), 3)) &amp; RIGHT(TRIM(B59), 3) &amp; PROPER(LEFT(TRIM(I59), 2))</f>
        <v>Roh003De</v>
      </c>
      <c r="AD59" s="154">
        <f t="shared" ca="1" si="1"/>
        <v>44</v>
      </c>
      <c r="AE59" s="154">
        <f>IFERROR(IF(OR(E59="", D59="", LOWER(TRIM(E59))="pending", LOWER(TRIM(D59))="pending"), "Pending", E59 - D59), "Pending")</f>
        <v>6</v>
      </c>
      <c r="AF59" s="138" t="str">
        <f>IFERROR(IF(OR(E59="", D59="","Pending","Pending"), "Pending", IF((E59 - D59) &lt;= 5, "On Time", "Delayed")), "Pending")</f>
        <v>Delayed</v>
      </c>
      <c r="AG59" s="24" t="str">
        <f t="shared" si="2"/>
        <v>Completed</v>
      </c>
    </row>
    <row r="60" spans="1:33">
      <c r="A60" s="24" t="s">
        <v>407</v>
      </c>
      <c r="B60" s="24" t="s">
        <v>83</v>
      </c>
      <c r="C60" s="24" t="s">
        <v>222</v>
      </c>
      <c r="D60" s="30">
        <v>45823</v>
      </c>
      <c r="E60" s="30" t="s">
        <v>261</v>
      </c>
      <c r="F60" s="24" t="str">
        <f>VLOOKUP(B60,Custumer_Master!A:D,2,FALSE)</f>
        <v>Arjun Rao</v>
      </c>
      <c r="G60" s="24" t="str">
        <f>VLOOKUP($B60,Custumer_Master!$A:$J,6,FALSE)</f>
        <v>Male</v>
      </c>
      <c r="H60" s="30" t="str">
        <f>VLOOKUP($B60,Custumer_Master!$A:$J,7,FALSE)</f>
        <v>07/02/1988</v>
      </c>
      <c r="I60" s="24" t="str">
        <f>VLOOKUP($B60,Custumer_Master!$A:$J,9,FALSE)</f>
        <v>Hyderabad</v>
      </c>
      <c r="J60" s="24" t="str">
        <f>VLOOKUP($B60,Custumer_Master!$A:$J,10,FALSE)</f>
        <v>South</v>
      </c>
      <c r="K60" s="24" t="str">
        <f>VLOOKUP(B60,Custumer_Master!A:D,4,FALSE)</f>
        <v>RJ</v>
      </c>
      <c r="L60" s="24" t="str">
        <f>PROPER(TRIM(VLOOKUP('Final Data'!C60,Product_Master!A:F,3,FALSE)))</f>
        <v>Stationery</v>
      </c>
      <c r="M60" s="24" t="s">
        <v>227</v>
      </c>
      <c r="N60" s="34">
        <v>8</v>
      </c>
      <c r="O60" s="192">
        <f>VLOOKUP(C60,Product_Master!A:F,5,FALSE)</f>
        <v>15</v>
      </c>
      <c r="P60" s="33">
        <v>0.05</v>
      </c>
      <c r="Q60" s="34">
        <f t="shared" si="0"/>
        <v>114</v>
      </c>
      <c r="R60" s="34">
        <v>1</v>
      </c>
      <c r="S60" s="24" t="s">
        <v>79</v>
      </c>
      <c r="T60" s="24" t="s">
        <v>35</v>
      </c>
      <c r="U60" s="24" t="s">
        <v>89</v>
      </c>
      <c r="V60" s="34">
        <v>9836327649</v>
      </c>
      <c r="W60" s="24" t="str">
        <f>VLOOKUP(C60,Product_Master!A:F,4,FALSE)</f>
        <v>Prime Supplies</v>
      </c>
      <c r="X60" s="34">
        <f>VLOOKUP(C60,Product_Master!A:F,6,FALSE)</f>
        <v>12</v>
      </c>
      <c r="Y60" s="24" t="str">
        <f>VLOOKUP(B60,Custumer_Master!A:D,3,FALSE)</f>
        <v>Silver</v>
      </c>
      <c r="Z60" s="30">
        <f>EDATE(E60,X60)</f>
        <v>46199</v>
      </c>
      <c r="AA60" s="29" t="str">
        <f>VLOOKUP(B60,Custumer_Master!A:K,11,)</f>
        <v>February</v>
      </c>
      <c r="AB60" s="24" t="s">
        <v>2160</v>
      </c>
      <c r="AC60" s="138" t="str">
        <f>PROPER(LEFT(TRIM(F60), 3)) &amp; RIGHT(TRIM(B60), 3) &amp; PROPER(LEFT(TRIM(I60), 2))</f>
        <v>Arj007Hy</v>
      </c>
      <c r="AD60" s="154">
        <f t="shared" ca="1" si="1"/>
        <v>38</v>
      </c>
      <c r="AE60" s="154">
        <f>IFERROR(IF(OR(E60="", D60="", LOWER(TRIM(E60))="pending", LOWER(TRIM(D60))="pending"), "Pending", E60 - D60), "Pending")</f>
        <v>11</v>
      </c>
      <c r="AF60" s="138" t="str">
        <f>IFERROR(IF(OR(E60="", D60="","Pending","Pending"), "Pending", IF((E60 - D60) &lt;= 5, "On Time", "Delayed")), "Pending")</f>
        <v>Delayed</v>
      </c>
      <c r="AG60" s="24" t="str">
        <f t="shared" si="2"/>
        <v>Completed</v>
      </c>
    </row>
    <row r="61" spans="1:33">
      <c r="A61" s="24" t="s">
        <v>412</v>
      </c>
      <c r="B61" s="24" t="s">
        <v>221</v>
      </c>
      <c r="C61" s="24" t="s">
        <v>184</v>
      </c>
      <c r="D61" s="30">
        <v>45721</v>
      </c>
      <c r="E61" s="30" t="s">
        <v>414</v>
      </c>
      <c r="F61" s="24" t="str">
        <f>VLOOKUP(B61,Custumer_Master!A:D,2,FALSE)</f>
        <v>Vikas Mehta</v>
      </c>
      <c r="G61" s="24" t="str">
        <f>VLOOKUP($B61,Custumer_Master!$A:$J,6,FALSE)</f>
        <v>Male</v>
      </c>
      <c r="H61" s="30" t="str">
        <f>VLOOKUP($B61,Custumer_Master!$A:$J,7,FALSE)</f>
        <v>03/08/1991</v>
      </c>
      <c r="I61" s="24" t="str">
        <f>VLOOKUP($B61,Custumer_Master!$A:$J,9,FALSE)</f>
        <v>Mumbai</v>
      </c>
      <c r="J61" s="24" t="str">
        <f>VLOOKUP($B61,Custumer_Master!$A:$J,10,FALSE)</f>
        <v>West</v>
      </c>
      <c r="K61" s="24" t="str">
        <f>VLOOKUP(B61,Custumer_Master!A:D,4,FALSE)</f>
        <v>DL</v>
      </c>
      <c r="L61" s="24" t="str">
        <f>PROPER(TRIM(VLOOKUP('Final Data'!C61,Product_Master!A:F,3,FALSE)))</f>
        <v>Electronics</v>
      </c>
      <c r="M61" s="24" t="s">
        <v>189</v>
      </c>
      <c r="N61" s="34">
        <v>8</v>
      </c>
      <c r="O61" s="192">
        <f>VLOOKUP(C61,Product_Master!A:F,5,FALSE)</f>
        <v>525</v>
      </c>
      <c r="P61" s="33">
        <v>0.1</v>
      </c>
      <c r="Q61" s="34">
        <f t="shared" si="0"/>
        <v>3780</v>
      </c>
      <c r="R61" s="34">
        <v>1</v>
      </c>
      <c r="S61" s="24" t="s">
        <v>2148</v>
      </c>
      <c r="T61" s="24" t="s">
        <v>61</v>
      </c>
      <c r="U61" s="24" t="s">
        <v>228</v>
      </c>
      <c r="V61" s="34">
        <v>9261800516</v>
      </c>
      <c r="W61" s="24" t="str">
        <f>VLOOKUP(C61,Product_Master!A:F,4,FALSE)</f>
        <v>TechHub</v>
      </c>
      <c r="X61" s="34">
        <f>VLOOKUP(C61,Product_Master!A:F,6,FALSE)</f>
        <v>24</v>
      </c>
      <c r="Y61" s="24" t="str">
        <f>VLOOKUP(B61,Custumer_Master!A:D,3,FALSE)</f>
        <v>Gold</v>
      </c>
      <c r="Z61" s="30">
        <f>EDATE(E61,X61)</f>
        <v>46452</v>
      </c>
      <c r="AA61" s="29" t="str">
        <f>VLOOKUP(B61,Custumer_Master!A:K,11,)</f>
        <v>August</v>
      </c>
      <c r="AB61" s="24" t="s">
        <v>2160</v>
      </c>
      <c r="AC61" s="138" t="str">
        <f>PROPER(LEFT(TRIM(F61), 3)) &amp; RIGHT(TRIM(B61), 3) &amp; PROPER(LEFT(TRIM(I61), 2))</f>
        <v>Vik005Mu</v>
      </c>
      <c r="AD61" s="154">
        <f t="shared" ca="1" si="1"/>
        <v>34</v>
      </c>
      <c r="AE61" s="154">
        <f>IFERROR(IF(OR(E61="", D61="", LOWER(TRIM(E61))="pending", LOWER(TRIM(D61))="pending"), "Pending", E61 - D61), "Pending")</f>
        <v>1</v>
      </c>
      <c r="AF61" s="138" t="str">
        <f>IFERROR(IF(OR(E61="", D61="","Pending","Pending"), "Pending", IF((E61 - D61) &lt;= 5, "On Time", "Delayed")), "Pending")</f>
        <v>On Time</v>
      </c>
      <c r="AG61" s="24" t="str">
        <f t="shared" si="2"/>
        <v>Completed</v>
      </c>
    </row>
    <row r="62" spans="1:33">
      <c r="A62" s="24" t="s">
        <v>418</v>
      </c>
      <c r="B62" s="24" t="s">
        <v>23</v>
      </c>
      <c r="C62" s="24" t="s">
        <v>222</v>
      </c>
      <c r="D62" s="30">
        <v>46121</v>
      </c>
      <c r="E62" s="30" t="s">
        <v>356</v>
      </c>
      <c r="F62" s="24" t="str">
        <f>VLOOKUP(B62,Custumer_Master!A:D,2,FALSE)</f>
        <v>Kavya Nair</v>
      </c>
      <c r="G62" s="24" t="str">
        <f>VLOOKUP($B62,Custumer_Master!$A:$J,6,FALSE)</f>
        <v>Female</v>
      </c>
      <c r="H62" s="30" t="str">
        <f>VLOOKUP($B62,Custumer_Master!$A:$J,7,FALSE)</f>
        <v>01/08/1976</v>
      </c>
      <c r="I62" s="24" t="str">
        <f>VLOOKUP($B62,Custumer_Master!$A:$J,9,FALSE)</f>
        <v>Hyderabad</v>
      </c>
      <c r="J62" s="24" t="str">
        <f>VLOOKUP($B62,Custumer_Master!$A:$J,10,FALSE)</f>
        <v>South</v>
      </c>
      <c r="K62" s="24" t="str">
        <f>VLOOKUP(B62,Custumer_Master!A:D,4,FALSE)</f>
        <v>WB</v>
      </c>
      <c r="L62" s="24" t="str">
        <f>PROPER(TRIM(VLOOKUP('Final Data'!C62,Product_Master!A:F,3,FALSE)))</f>
        <v>Stationery</v>
      </c>
      <c r="M62" s="24" t="s">
        <v>227</v>
      </c>
      <c r="N62" s="34">
        <v>7</v>
      </c>
      <c r="O62" s="192">
        <f>VLOOKUP(C62,Product_Master!A:F,5,FALSE)</f>
        <v>15</v>
      </c>
      <c r="P62" s="33">
        <v>0.15</v>
      </c>
      <c r="Q62" s="34">
        <f t="shared" si="0"/>
        <v>89.25</v>
      </c>
      <c r="R62" s="34">
        <v>5</v>
      </c>
      <c r="S62" s="24" t="s">
        <v>79</v>
      </c>
      <c r="T62" s="24" t="s">
        <v>49</v>
      </c>
      <c r="U62" s="24" t="s">
        <v>50</v>
      </c>
      <c r="V62" s="34">
        <v>9950802015</v>
      </c>
      <c r="W62" s="24" t="str">
        <f>VLOOKUP(C62,Product_Master!A:F,4,FALSE)</f>
        <v>Prime Supplies</v>
      </c>
      <c r="X62" s="34">
        <f>VLOOKUP(C62,Product_Master!A:F,6,FALSE)</f>
        <v>12</v>
      </c>
      <c r="Y62" s="24" t="str">
        <f>VLOOKUP(B62,Custumer_Master!A:D,3,FALSE)</f>
        <v>Silver</v>
      </c>
      <c r="Z62" s="30">
        <f>EDATE(E62,X62)</f>
        <v>46496</v>
      </c>
      <c r="AA62" s="29" t="str">
        <f>VLOOKUP(B62,Custumer_Master!A:K,11,)</f>
        <v>August</v>
      </c>
      <c r="AB62" s="24" t="s">
        <v>2108</v>
      </c>
      <c r="AC62" s="138" t="str">
        <f>PROPER(LEFT(TRIM(F62), 3)) &amp; RIGHT(TRIM(B62), 3) &amp; PROPER(LEFT(TRIM(I62), 2))</f>
        <v>Kav008Hy</v>
      </c>
      <c r="AD62" s="154">
        <f t="shared" ca="1" si="1"/>
        <v>49</v>
      </c>
      <c r="AE62" s="154">
        <f>IFERROR(IF(OR(E62="", D62="", LOWER(TRIM(E62))="pending", LOWER(TRIM(D62))="pending"), "Pending", E62 - D62), "Pending")</f>
        <v>10</v>
      </c>
      <c r="AF62" s="138" t="str">
        <f>IFERROR(IF(OR(E62="", D62="","Pending","Pending"), "Pending", IF((E62 - D62) &lt;= 5, "On Time", "Delayed")), "Pending")</f>
        <v>Delayed</v>
      </c>
      <c r="AG62" s="24" t="str">
        <f t="shared" si="2"/>
        <v>Completed</v>
      </c>
    </row>
    <row r="63" spans="1:33">
      <c r="A63" s="24" t="s">
        <v>421</v>
      </c>
      <c r="B63" s="24" t="s">
        <v>100</v>
      </c>
      <c r="C63" s="24" t="s">
        <v>222</v>
      </c>
      <c r="D63" s="30">
        <v>45885</v>
      </c>
      <c r="E63" s="30" t="s">
        <v>371</v>
      </c>
      <c r="F63" s="24" t="str">
        <f>VLOOKUP(B63,Custumer_Master!A:D,2,FALSE)</f>
        <v>Priya Patel</v>
      </c>
      <c r="G63" s="24" t="str">
        <f>VLOOKUP($B63,Custumer_Master!$A:$J,6,FALSE)</f>
        <v>Female</v>
      </c>
      <c r="H63" s="30" t="str">
        <f>VLOOKUP($B63,Custumer_Master!$A:$J,7,FALSE)</f>
        <v>07/03/1995</v>
      </c>
      <c r="I63" s="24" t="str">
        <f>VLOOKUP($B63,Custumer_Master!$A:$J,9,FALSE)</f>
        <v>Mumbai</v>
      </c>
      <c r="J63" s="24" t="str">
        <f>VLOOKUP($B63,Custumer_Master!$A:$J,10,FALSE)</f>
        <v>West</v>
      </c>
      <c r="K63" s="24" t="str">
        <f>VLOOKUP(B63,Custumer_Master!A:D,4,FALSE)</f>
        <v>WB</v>
      </c>
      <c r="L63" s="24" t="str">
        <f>PROPER(TRIM(VLOOKUP('Final Data'!C63,Product_Master!A:F,3,FALSE)))</f>
        <v>Stationery</v>
      </c>
      <c r="M63" s="24" t="s">
        <v>227</v>
      </c>
      <c r="N63" s="34">
        <v>16</v>
      </c>
      <c r="O63" s="192">
        <f>VLOOKUP(C63,Product_Master!A:F,5,FALSE)</f>
        <v>15</v>
      </c>
      <c r="P63" s="33">
        <v>0</v>
      </c>
      <c r="Q63" s="34">
        <f t="shared" si="0"/>
        <v>240</v>
      </c>
      <c r="R63" s="34">
        <v>5</v>
      </c>
      <c r="S63" s="24" t="s">
        <v>2148</v>
      </c>
      <c r="T63" s="24" t="s">
        <v>61</v>
      </c>
      <c r="U63" s="24" t="s">
        <v>144</v>
      </c>
      <c r="V63" s="34">
        <v>9595183767</v>
      </c>
      <c r="W63" s="24" t="str">
        <f>VLOOKUP(C63,Product_Master!A:F,4,FALSE)</f>
        <v>Prime Supplies</v>
      </c>
      <c r="X63" s="34">
        <f>VLOOKUP(C63,Product_Master!A:F,6,FALSE)</f>
        <v>12</v>
      </c>
      <c r="Y63" s="24" t="str">
        <f>VLOOKUP(B63,Custumer_Master!A:D,3,FALSE)</f>
        <v>Platinum</v>
      </c>
      <c r="Z63" s="30">
        <f>EDATE(E63,X63)</f>
        <v>46259</v>
      </c>
      <c r="AA63" s="29" t="str">
        <f>VLOOKUP(B63,Custumer_Master!A:K,11,)</f>
        <v>March</v>
      </c>
      <c r="AB63" s="24" t="s">
        <v>2108</v>
      </c>
      <c r="AC63" s="138" t="str">
        <f>PROPER(LEFT(TRIM(F63), 3)) &amp; RIGHT(TRIM(B63), 3) &amp; PROPER(LEFT(TRIM(I63), 2))</f>
        <v>Pri002Mu</v>
      </c>
      <c r="AD63" s="154">
        <f t="shared" ca="1" si="1"/>
        <v>31</v>
      </c>
      <c r="AE63" s="154">
        <f>IFERROR(IF(OR(E63="", D63="", LOWER(TRIM(E63))="pending", LOWER(TRIM(D63))="pending"), "Pending", E63 - D63), "Pending")</f>
        <v>9</v>
      </c>
      <c r="AF63" s="138" t="str">
        <f>IFERROR(IF(OR(E63="", D63="","Pending","Pending"), "Pending", IF((E63 - D63) &lt;= 5, "On Time", "Delayed")), "Pending")</f>
        <v>Delayed</v>
      </c>
      <c r="AG63" s="24" t="str">
        <f t="shared" si="2"/>
        <v>Completed</v>
      </c>
    </row>
    <row r="64" spans="1:33">
      <c r="A64" s="24" t="s">
        <v>425</v>
      </c>
      <c r="B64" s="24" t="s">
        <v>53</v>
      </c>
      <c r="C64" s="24" t="s">
        <v>259</v>
      </c>
      <c r="D64" s="30">
        <v>46155</v>
      </c>
      <c r="E64" s="30" t="s">
        <v>427</v>
      </c>
      <c r="F64" s="24" t="str">
        <f>VLOOKUP(B64,Custumer_Master!A:D,2,FALSE)</f>
        <v>Pooja Shah</v>
      </c>
      <c r="G64" s="24" t="str">
        <f>VLOOKUP($B64,Custumer_Master!$A:$J,6,FALSE)</f>
        <v>Female</v>
      </c>
      <c r="H64" s="30" t="str">
        <f>VLOOKUP($B64,Custumer_Master!$A:$J,7,FALSE)</f>
        <v>16/09/1994</v>
      </c>
      <c r="I64" s="24" t="str">
        <f>VLOOKUP($B64,Custumer_Master!$A:$J,9,FALSE)</f>
        <v>Bengaluru</v>
      </c>
      <c r="J64" s="24" t="str">
        <f>VLOOKUP($B64,Custumer_Master!$A:$J,10,FALSE)</f>
        <v>South</v>
      </c>
      <c r="K64" s="24" t="str">
        <f>VLOOKUP(B64,Custumer_Master!A:D,4,FALSE)</f>
        <v>WB</v>
      </c>
      <c r="L64" s="24" t="str">
        <f>PROPER(TRIM(VLOOKUP('Final Data'!C64,Product_Master!A:F,3,FALSE)))</f>
        <v>Stationery</v>
      </c>
      <c r="M64" s="24" t="s">
        <v>263</v>
      </c>
      <c r="N64" s="34">
        <v>15</v>
      </c>
      <c r="O64" s="192">
        <f>VLOOKUP(C64,Product_Master!A:F,5,FALSE)</f>
        <v>33.75</v>
      </c>
      <c r="P64" s="33">
        <v>0</v>
      </c>
      <c r="Q64" s="34">
        <f t="shared" si="0"/>
        <v>506.25</v>
      </c>
      <c r="R64" s="34">
        <v>4</v>
      </c>
      <c r="S64" s="24" t="s">
        <v>34</v>
      </c>
      <c r="T64" s="24" t="s">
        <v>61</v>
      </c>
      <c r="U64" s="24" t="s">
        <v>62</v>
      </c>
      <c r="V64" s="34">
        <v>9560201307</v>
      </c>
      <c r="W64" s="24" t="str">
        <f>VLOOKUP(C64,Product_Master!A:F,4,FALSE)</f>
        <v>TechHub</v>
      </c>
      <c r="X64" s="34">
        <f>VLOOKUP(C64,Product_Master!A:F,6,FALSE)</f>
        <v>12</v>
      </c>
      <c r="Y64" s="24" t="str">
        <f>VLOOKUP(B64,Custumer_Master!A:D,3,FALSE)</f>
        <v>Silver</v>
      </c>
      <c r="Z64" s="30">
        <f>EDATE(E64,X64)</f>
        <v>46527</v>
      </c>
      <c r="AA64" s="29" t="str">
        <f>VLOOKUP(B64,Custumer_Master!A:K,11,)</f>
        <v>September</v>
      </c>
      <c r="AB64" s="24" t="s">
        <v>2108</v>
      </c>
      <c r="AC64" s="138" t="str">
        <f>PROPER(LEFT(TRIM(F64), 3)) &amp; RIGHT(TRIM(B64), 3) &amp; PROPER(LEFT(TRIM(I64), 2))</f>
        <v>Poo010Be</v>
      </c>
      <c r="AD64" s="154">
        <f t="shared" ca="1" si="1"/>
        <v>31</v>
      </c>
      <c r="AE64" s="154">
        <f>IFERROR(IF(OR(E64="", D64="", LOWER(TRIM(E64))="pending", LOWER(TRIM(D64))="pending"), "Pending", E64 - D64), "Pending")</f>
        <v>7</v>
      </c>
      <c r="AF64" s="138" t="str">
        <f>IFERROR(IF(OR(E64="", D64="","Pending","Pending"), "Pending", IF((E64 - D64) &lt;= 5, "On Time", "Delayed")), "Pending")</f>
        <v>Delayed</v>
      </c>
      <c r="AG64" s="24" t="str">
        <f t="shared" si="2"/>
        <v>Completed</v>
      </c>
    </row>
    <row r="65" spans="1:33">
      <c r="A65" s="24" t="s">
        <v>430</v>
      </c>
      <c r="B65" s="24" t="s">
        <v>251</v>
      </c>
      <c r="C65" s="24" t="s">
        <v>184</v>
      </c>
      <c r="D65" s="30">
        <v>45717</v>
      </c>
      <c r="E65" s="30" t="s">
        <v>413</v>
      </c>
      <c r="F65" s="24" t="str">
        <f>VLOOKUP(B65,Custumer_Master!A:D,2,FALSE)</f>
        <v>Sneha Joshi</v>
      </c>
      <c r="G65" s="24" t="str">
        <f>VLOOKUP($B65,Custumer_Master!$A:$J,6,FALSE)</f>
        <v>Female</v>
      </c>
      <c r="H65" s="30" t="str">
        <f>VLOOKUP($B65,Custumer_Master!$A:$J,7,FALSE)</f>
        <v>04/04/1981</v>
      </c>
      <c r="I65" s="24" t="str">
        <f>VLOOKUP($B65,Custumer_Master!$A:$J,9,FALSE)</f>
        <v>Pune</v>
      </c>
      <c r="J65" s="24" t="str">
        <f>VLOOKUP($B65,Custumer_Master!$A:$J,10,FALSE)</f>
        <v>West</v>
      </c>
      <c r="K65" s="24" t="str">
        <f>VLOOKUP(B65,Custumer_Master!A:D,4,FALSE)</f>
        <v>WB</v>
      </c>
      <c r="L65" s="24" t="str">
        <f>PROPER(TRIM(VLOOKUP('Final Data'!C65,Product_Master!A:F,3,FALSE)))</f>
        <v>Electronics</v>
      </c>
      <c r="M65" s="24" t="s">
        <v>189</v>
      </c>
      <c r="N65" s="34">
        <v>15</v>
      </c>
      <c r="O65" s="192">
        <f>VLOOKUP(C65,Product_Master!A:F,5,FALSE)</f>
        <v>525</v>
      </c>
      <c r="P65" s="33">
        <v>0.1</v>
      </c>
      <c r="Q65" s="34">
        <f t="shared" si="0"/>
        <v>7087.5</v>
      </c>
      <c r="R65" s="34">
        <v>3</v>
      </c>
      <c r="S65" s="24" t="s">
        <v>2148</v>
      </c>
      <c r="T65" s="24" t="s">
        <v>151</v>
      </c>
      <c r="U65" s="24" t="s">
        <v>256</v>
      </c>
      <c r="V65" s="34">
        <v>9826484650</v>
      </c>
      <c r="W65" s="24" t="str">
        <f>VLOOKUP(C65,Product_Master!A:F,4,FALSE)</f>
        <v>TechHub</v>
      </c>
      <c r="X65" s="34">
        <f>VLOOKUP(C65,Product_Master!A:F,6,FALSE)</f>
        <v>24</v>
      </c>
      <c r="Y65" s="24" t="str">
        <f>VLOOKUP(B65,Custumer_Master!A:D,3,FALSE)</f>
        <v>Gold</v>
      </c>
      <c r="Z65" s="30">
        <f>EDATE(E65,X65)</f>
        <v>46451</v>
      </c>
      <c r="AA65" s="29" t="str">
        <f>VLOOKUP(B65,Custumer_Master!A:K,11,)</f>
        <v>April</v>
      </c>
      <c r="AB65" s="24" t="s">
        <v>2108</v>
      </c>
      <c r="AC65" s="138" t="str">
        <f>PROPER(LEFT(TRIM(F65), 3)) &amp; RIGHT(TRIM(B65), 3) &amp; PROPER(LEFT(TRIM(I65), 2))</f>
        <v>Sne006Pu</v>
      </c>
      <c r="AD65" s="154">
        <f t="shared" ca="1" si="1"/>
        <v>45</v>
      </c>
      <c r="AE65" s="154">
        <f>IFERROR(IF(OR(E65="", D65="", LOWER(TRIM(E65))="pending", LOWER(TRIM(D65))="pending"), "Pending", E65 - D65), "Pending")</f>
        <v>4</v>
      </c>
      <c r="AF65" s="138" t="str">
        <f>IFERROR(IF(OR(E65="", D65="","Pending","Pending"), "Pending", IF((E65 - D65) &lt;= 5, "On Time", "Delayed")), "Pending")</f>
        <v>On Time</v>
      </c>
      <c r="AG65" s="24" t="str">
        <f t="shared" si="2"/>
        <v>Completed</v>
      </c>
    </row>
    <row r="66" spans="1:33">
      <c r="A66" s="24" t="s">
        <v>434</v>
      </c>
      <c r="B66" s="24" t="s">
        <v>53</v>
      </c>
      <c r="C66" s="24" t="s">
        <v>259</v>
      </c>
      <c r="D66" s="30">
        <v>45697</v>
      </c>
      <c r="E66" s="30" t="s">
        <v>436</v>
      </c>
      <c r="F66" s="24" t="str">
        <f>VLOOKUP(B66,Custumer_Master!A:D,2,FALSE)</f>
        <v>Pooja Shah</v>
      </c>
      <c r="G66" s="24" t="str">
        <f>VLOOKUP($B66,Custumer_Master!$A:$J,6,FALSE)</f>
        <v>Female</v>
      </c>
      <c r="H66" s="30" t="str">
        <f>VLOOKUP($B66,Custumer_Master!$A:$J,7,FALSE)</f>
        <v>16/09/1994</v>
      </c>
      <c r="I66" s="24" t="str">
        <f>VLOOKUP($B66,Custumer_Master!$A:$J,9,FALSE)</f>
        <v>Bengaluru</v>
      </c>
      <c r="J66" s="24" t="str">
        <f>VLOOKUP($B66,Custumer_Master!$A:$J,10,FALSE)</f>
        <v>South</v>
      </c>
      <c r="K66" s="24" t="str">
        <f>VLOOKUP(B66,Custumer_Master!A:D,4,FALSE)</f>
        <v>WB</v>
      </c>
      <c r="L66" s="24" t="str">
        <f>PROPER(TRIM(VLOOKUP('Final Data'!C66,Product_Master!A:F,3,FALSE)))</f>
        <v>Stationery</v>
      </c>
      <c r="M66" s="24" t="s">
        <v>263</v>
      </c>
      <c r="N66" s="34">
        <v>3</v>
      </c>
      <c r="O66" s="192">
        <f>VLOOKUP(C66,Product_Master!A:F,5,FALSE)</f>
        <v>33.75</v>
      </c>
      <c r="P66" s="33">
        <v>0.15</v>
      </c>
      <c r="Q66" s="34">
        <f t="shared" si="0"/>
        <v>86.0625</v>
      </c>
      <c r="R66" s="34">
        <v>2</v>
      </c>
      <c r="S66" s="24" t="s">
        <v>2149</v>
      </c>
      <c r="T66" s="24" t="s">
        <v>115</v>
      </c>
      <c r="U66" s="24" t="s">
        <v>62</v>
      </c>
      <c r="V66" s="34">
        <v>9219978007</v>
      </c>
      <c r="W66" s="24" t="str">
        <f>VLOOKUP(C66,Product_Master!A:F,4,FALSE)</f>
        <v>TechHub</v>
      </c>
      <c r="X66" s="34">
        <f>VLOOKUP(C66,Product_Master!A:F,6,FALSE)</f>
        <v>12</v>
      </c>
      <c r="Y66" s="24" t="str">
        <f>VLOOKUP(B66,Custumer_Master!A:D,3,FALSE)</f>
        <v>Silver</v>
      </c>
      <c r="Z66" s="30">
        <f>EDATE(E66,X66)</f>
        <v>46065</v>
      </c>
      <c r="AA66" s="29" t="str">
        <f>VLOOKUP(B66,Custumer_Master!A:K,11,)</f>
        <v>September</v>
      </c>
      <c r="AB66" s="24" t="s">
        <v>2160</v>
      </c>
      <c r="AC66" s="138" t="str">
        <f>PROPER(LEFT(TRIM(F66), 3)) &amp; RIGHT(TRIM(B66), 3) &amp; PROPER(LEFT(TRIM(I66), 2))</f>
        <v>Poo010Be</v>
      </c>
      <c r="AD66" s="154">
        <f t="shared" ca="1" si="1"/>
        <v>31</v>
      </c>
      <c r="AE66" s="154">
        <f>IFERROR(IF(OR(E66="", D66="", LOWER(TRIM(E66))="pending", LOWER(TRIM(D66))="pending"), "Pending", E66 - D66), "Pending")</f>
        <v>3</v>
      </c>
      <c r="AF66" s="138" t="str">
        <f>IFERROR(IF(OR(E66="", D66="","Pending","Pending"), "Pending", IF((E66 - D66) &lt;= 5, "On Time", "Delayed")), "Pending")</f>
        <v>On Time</v>
      </c>
      <c r="AG66" s="24" t="str">
        <f t="shared" si="2"/>
        <v>Completed</v>
      </c>
    </row>
    <row r="67" spans="1:33">
      <c r="A67" s="24" t="s">
        <v>439</v>
      </c>
      <c r="B67" s="24" t="s">
        <v>100</v>
      </c>
      <c r="C67" s="24" t="s">
        <v>24</v>
      </c>
      <c r="D67" s="30">
        <v>46031</v>
      </c>
      <c r="E67" s="30" t="s">
        <v>441</v>
      </c>
      <c r="F67" s="24" t="str">
        <f>VLOOKUP(B67,Custumer_Master!A:D,2,FALSE)</f>
        <v>Priya Patel</v>
      </c>
      <c r="G67" s="24" t="str">
        <f>VLOOKUP($B67,Custumer_Master!$A:$J,6,FALSE)</f>
        <v>Female</v>
      </c>
      <c r="H67" s="30" t="str">
        <f>VLOOKUP($B67,Custumer_Master!$A:$J,7,FALSE)</f>
        <v>07/03/1995</v>
      </c>
      <c r="I67" s="24" t="str">
        <f>VLOOKUP($B67,Custumer_Master!$A:$J,9,FALSE)</f>
        <v>Mumbai</v>
      </c>
      <c r="J67" s="24" t="str">
        <f>VLOOKUP($B67,Custumer_Master!$A:$J,10,FALSE)</f>
        <v>West</v>
      </c>
      <c r="K67" s="24" t="str">
        <f>VLOOKUP(B67,Custumer_Master!A:D,4,FALSE)</f>
        <v>WB</v>
      </c>
      <c r="L67" s="24" t="str">
        <f>PROPER(TRIM(VLOOKUP('Final Data'!C67,Product_Master!A:F,3,FALSE)))</f>
        <v>Home Appliances</v>
      </c>
      <c r="M67" s="24" t="s">
        <v>33</v>
      </c>
      <c r="N67" s="34">
        <v>7</v>
      </c>
      <c r="O67" s="192">
        <f>VLOOKUP(C67,Product_Master!A:F,5,FALSE)</f>
        <v>1650</v>
      </c>
      <c r="P67" s="33">
        <v>0.15</v>
      </c>
      <c r="Q67" s="34">
        <f t="shared" ref="Q67:Q130" si="3">(N67*O67)-(N67*O67)*P67</f>
        <v>9817.5</v>
      </c>
      <c r="R67" s="34">
        <v>5</v>
      </c>
      <c r="S67" s="24" t="s">
        <v>2149</v>
      </c>
      <c r="T67" s="24" t="s">
        <v>115</v>
      </c>
      <c r="U67" s="24" t="s">
        <v>144</v>
      </c>
      <c r="V67" s="34">
        <v>9662063276</v>
      </c>
      <c r="W67" s="24" t="str">
        <f>VLOOKUP(C67,Product_Master!A:F,4,FALSE)</f>
        <v>Global Trade</v>
      </c>
      <c r="X67" s="34">
        <f>VLOOKUP(C67,Product_Master!A:F,6,FALSE)</f>
        <v>24</v>
      </c>
      <c r="Y67" s="24" t="str">
        <f>VLOOKUP(B67,Custumer_Master!A:D,3,FALSE)</f>
        <v>Platinum</v>
      </c>
      <c r="Z67" s="30">
        <f>EDATE(E67,X67)</f>
        <v>46762</v>
      </c>
      <c r="AA67" s="29" t="str">
        <f>VLOOKUP(B67,Custumer_Master!A:K,11,)</f>
        <v>March</v>
      </c>
      <c r="AB67" s="24" t="s">
        <v>2108</v>
      </c>
      <c r="AC67" s="138" t="str">
        <f>PROPER(LEFT(TRIM(F67), 3)) &amp; RIGHT(TRIM(B67), 3) &amp; PROPER(LEFT(TRIM(I67), 2))</f>
        <v>Pri002Mu</v>
      </c>
      <c r="AD67" s="154">
        <f t="shared" ref="AD67:AD130" ca="1" si="4">DATEDIF(H67, TODAY(), "Y")</f>
        <v>31</v>
      </c>
      <c r="AE67" s="154">
        <f>IFERROR(IF(OR(E67="", D67="", LOWER(TRIM(E67))="pending", LOWER(TRIM(D67))="pending"), "Pending", E67 - D67), "Pending")</f>
        <v>1</v>
      </c>
      <c r="AF67" s="138" t="str">
        <f>IFERROR(IF(OR(E67="", D67="","Pending","Pending"), "Pending", IF((E67 - D67) &lt;= 5, "On Time", "Delayed")), "Pending")</f>
        <v>On Time</v>
      </c>
      <c r="AG67" s="24" t="str">
        <f t="shared" ref="AG67:AG130" si="5">IF(AF67="Pending","Pending","Completed")</f>
        <v>Completed</v>
      </c>
    </row>
    <row r="68" spans="1:33">
      <c r="A68" s="24" t="s">
        <v>444</v>
      </c>
      <c r="B68" s="24" t="s">
        <v>23</v>
      </c>
      <c r="C68" s="24" t="s">
        <v>259</v>
      </c>
      <c r="D68" s="30">
        <v>45901</v>
      </c>
      <c r="E68" s="30" t="s">
        <v>446</v>
      </c>
      <c r="F68" s="24" t="str">
        <f>VLOOKUP(B68,Custumer_Master!A:D,2,FALSE)</f>
        <v>Kavya Nair</v>
      </c>
      <c r="G68" s="24" t="str">
        <f>VLOOKUP($B68,Custumer_Master!$A:$J,6,FALSE)</f>
        <v>Female</v>
      </c>
      <c r="H68" s="30" t="str">
        <f>VLOOKUP($B68,Custumer_Master!$A:$J,7,FALSE)</f>
        <v>01/08/1976</v>
      </c>
      <c r="I68" s="24" t="str">
        <f>VLOOKUP($B68,Custumer_Master!$A:$J,9,FALSE)</f>
        <v>Hyderabad</v>
      </c>
      <c r="J68" s="24" t="str">
        <f>VLOOKUP($B68,Custumer_Master!$A:$J,10,FALSE)</f>
        <v>South</v>
      </c>
      <c r="K68" s="24" t="str">
        <f>VLOOKUP(B68,Custumer_Master!A:D,4,FALSE)</f>
        <v>WB</v>
      </c>
      <c r="L68" s="24" t="str">
        <f>PROPER(TRIM(VLOOKUP('Final Data'!C68,Product_Master!A:F,3,FALSE)))</f>
        <v>Stationery</v>
      </c>
      <c r="M68" s="24" t="s">
        <v>263</v>
      </c>
      <c r="N68" s="34">
        <v>19</v>
      </c>
      <c r="O68" s="192">
        <f>VLOOKUP(C68,Product_Master!A:F,5,FALSE)</f>
        <v>33.75</v>
      </c>
      <c r="P68" s="33">
        <v>0.1</v>
      </c>
      <c r="Q68" s="34">
        <f t="shared" si="3"/>
        <v>577.125</v>
      </c>
      <c r="R68" s="34">
        <v>5</v>
      </c>
      <c r="S68" s="24" t="s">
        <v>79</v>
      </c>
      <c r="T68" s="24" t="s">
        <v>115</v>
      </c>
      <c r="U68" s="24" t="s">
        <v>50</v>
      </c>
      <c r="V68" s="34">
        <v>9190393639</v>
      </c>
      <c r="W68" s="24" t="str">
        <f>VLOOKUP(C68,Product_Master!A:F,4,FALSE)</f>
        <v>TechHub</v>
      </c>
      <c r="X68" s="34">
        <f>VLOOKUP(C68,Product_Master!A:F,6,FALSE)</f>
        <v>12</v>
      </c>
      <c r="Y68" s="24" t="str">
        <f>VLOOKUP(B68,Custumer_Master!A:D,3,FALSE)</f>
        <v>Silver</v>
      </c>
      <c r="Z68" s="30">
        <f>EDATE(E68,X68)</f>
        <v>46270</v>
      </c>
      <c r="AA68" s="29" t="str">
        <f>VLOOKUP(B68,Custumer_Master!A:K,11,)</f>
        <v>August</v>
      </c>
      <c r="AB68" s="24" t="s">
        <v>2108</v>
      </c>
      <c r="AC68" s="138" t="str">
        <f>PROPER(LEFT(TRIM(F68), 3)) &amp; RIGHT(TRIM(B68), 3) &amp; PROPER(LEFT(TRIM(I68), 2))</f>
        <v>Kav008Hy</v>
      </c>
      <c r="AD68" s="154">
        <f t="shared" ca="1" si="4"/>
        <v>49</v>
      </c>
      <c r="AE68" s="154">
        <f>IFERROR(IF(OR(E68="", D68="", LOWER(TRIM(E68))="pending", LOWER(TRIM(D68))="pending"), "Pending", E68 - D68), "Pending")</f>
        <v>4</v>
      </c>
      <c r="AF68" s="138" t="str">
        <f>IFERROR(IF(OR(E68="", D68="","Pending","Pending"), "Pending", IF((E68 - D68) &lt;= 5, "On Time", "Delayed")), "Pending")</f>
        <v>On Time</v>
      </c>
      <c r="AG68" s="24" t="str">
        <f t="shared" si="5"/>
        <v>Completed</v>
      </c>
    </row>
    <row r="69" spans="1:33">
      <c r="A69" s="24" t="s">
        <v>449</v>
      </c>
      <c r="B69" s="24" t="s">
        <v>251</v>
      </c>
      <c r="C69" s="24" t="s">
        <v>92</v>
      </c>
      <c r="D69" s="30">
        <v>46062</v>
      </c>
      <c r="E69" s="30" t="s">
        <v>323</v>
      </c>
      <c r="F69" s="24" t="str">
        <f>VLOOKUP(B69,Custumer_Master!A:D,2,FALSE)</f>
        <v>Sneha Joshi</v>
      </c>
      <c r="G69" s="24" t="str">
        <f>VLOOKUP($B69,Custumer_Master!$A:$J,6,FALSE)</f>
        <v>Female</v>
      </c>
      <c r="H69" s="30" t="str">
        <f>VLOOKUP($B69,Custumer_Master!$A:$J,7,FALSE)</f>
        <v>04/04/1981</v>
      </c>
      <c r="I69" s="24" t="str">
        <f>VLOOKUP($B69,Custumer_Master!$A:$J,9,FALSE)</f>
        <v>Pune</v>
      </c>
      <c r="J69" s="24" t="str">
        <f>VLOOKUP($B69,Custumer_Master!$A:$J,10,FALSE)</f>
        <v>West</v>
      </c>
      <c r="K69" s="24" t="str">
        <f>VLOOKUP(B69,Custumer_Master!A:D,4,FALSE)</f>
        <v>WB</v>
      </c>
      <c r="L69" s="24" t="str">
        <f>PROPER(TRIM(VLOOKUP('Final Data'!C69,Product_Master!A:F,3,FALSE)))</f>
        <v>Home Appliances</v>
      </c>
      <c r="M69" s="24" t="s">
        <v>97</v>
      </c>
      <c r="N69" s="34">
        <v>7</v>
      </c>
      <c r="O69" s="192">
        <f>VLOOKUP(C69,Product_Master!A:F,5,FALSE)</f>
        <v>2625</v>
      </c>
      <c r="P69" s="33">
        <v>0.15</v>
      </c>
      <c r="Q69" s="34">
        <f t="shared" si="3"/>
        <v>15618.75</v>
      </c>
      <c r="R69" s="34">
        <v>1</v>
      </c>
      <c r="S69" s="24" t="s">
        <v>34</v>
      </c>
      <c r="T69" s="24" t="s">
        <v>151</v>
      </c>
      <c r="U69" s="24" t="s">
        <v>256</v>
      </c>
      <c r="V69" s="34">
        <v>9106328582</v>
      </c>
      <c r="W69" s="24" t="str">
        <f>VLOOKUP(C69,Product_Master!A:F,4,FALSE)</f>
        <v>Global Trade</v>
      </c>
      <c r="X69" s="34">
        <f>VLOOKUP(C69,Product_Master!A:F,6,FALSE)</f>
        <v>6</v>
      </c>
      <c r="Y69" s="24" t="str">
        <f>VLOOKUP(B69,Custumer_Master!A:D,3,FALSE)</f>
        <v>Gold</v>
      </c>
      <c r="Z69" s="30">
        <f>EDATE(E69,X69)</f>
        <v>46248</v>
      </c>
      <c r="AA69" s="29" t="str">
        <f>VLOOKUP(B69,Custumer_Master!A:K,11,)</f>
        <v>April</v>
      </c>
      <c r="AB69" s="24" t="s">
        <v>2160</v>
      </c>
      <c r="AC69" s="138" t="str">
        <f>PROPER(LEFT(TRIM(F69), 3)) &amp; RIGHT(TRIM(B69), 3) &amp; PROPER(LEFT(TRIM(I69), 2))</f>
        <v>Sne006Pu</v>
      </c>
      <c r="AD69" s="154">
        <f t="shared" ca="1" si="4"/>
        <v>45</v>
      </c>
      <c r="AE69" s="154">
        <f>IFERROR(IF(OR(E69="", D69="", LOWER(TRIM(E69))="pending", LOWER(TRIM(D69))="pending"), "Pending", E69 - D69), "Pending")</f>
        <v>5</v>
      </c>
      <c r="AF69" s="138" t="str">
        <f>IFERROR(IF(OR(E69="", D69="","Pending","Pending"), "Pending", IF((E69 - D69) &lt;= 5, "On Time", "Delayed")), "Pending")</f>
        <v>On Time</v>
      </c>
      <c r="AG69" s="24" t="str">
        <f t="shared" si="5"/>
        <v>Completed</v>
      </c>
    </row>
    <row r="70" spans="1:33">
      <c r="A70" s="24" t="s">
        <v>453</v>
      </c>
      <c r="B70" s="24" t="s">
        <v>53</v>
      </c>
      <c r="C70" s="24" t="s">
        <v>169</v>
      </c>
      <c r="D70" s="30">
        <v>46005</v>
      </c>
      <c r="E70" s="30" t="s">
        <v>455</v>
      </c>
      <c r="F70" s="24" t="str">
        <f>VLOOKUP(B70,Custumer_Master!A:D,2,FALSE)</f>
        <v>Pooja Shah</v>
      </c>
      <c r="G70" s="24" t="str">
        <f>VLOOKUP($B70,Custumer_Master!$A:$J,6,FALSE)</f>
        <v>Female</v>
      </c>
      <c r="H70" s="30" t="str">
        <f>VLOOKUP($B70,Custumer_Master!$A:$J,7,FALSE)</f>
        <v>16/09/1994</v>
      </c>
      <c r="I70" s="24" t="str">
        <f>VLOOKUP($B70,Custumer_Master!$A:$J,9,FALSE)</f>
        <v>Bengaluru</v>
      </c>
      <c r="J70" s="24" t="str">
        <f>VLOOKUP($B70,Custumer_Master!$A:$J,10,FALSE)</f>
        <v>South</v>
      </c>
      <c r="K70" s="24" t="str">
        <f>VLOOKUP(B70,Custumer_Master!A:D,4,FALSE)</f>
        <v>WB</v>
      </c>
      <c r="L70" s="24" t="str">
        <f>PROPER(TRIM(VLOOKUP('Final Data'!C70,Product_Master!A:F,3,FALSE)))</f>
        <v>Home Appliances</v>
      </c>
      <c r="M70" s="24" t="s">
        <v>174</v>
      </c>
      <c r="N70" s="34">
        <v>7</v>
      </c>
      <c r="O70" s="192">
        <f>VLOOKUP(C70,Product_Master!A:F,5,FALSE)</f>
        <v>6375</v>
      </c>
      <c r="P70" s="33">
        <v>0.2</v>
      </c>
      <c r="Q70" s="34">
        <f t="shared" si="3"/>
        <v>35700</v>
      </c>
      <c r="R70" s="34">
        <v>4</v>
      </c>
      <c r="S70" s="24" t="s">
        <v>2148</v>
      </c>
      <c r="T70" s="24" t="s">
        <v>115</v>
      </c>
      <c r="U70" s="24" t="s">
        <v>62</v>
      </c>
      <c r="V70" s="34">
        <v>9264401015</v>
      </c>
      <c r="W70" s="24" t="str">
        <f>VLOOKUP(C70,Product_Master!A:F,4,FALSE)</f>
        <v>TechHub</v>
      </c>
      <c r="X70" s="34">
        <f>VLOOKUP(C70,Product_Master!A:F,6,FALSE)</f>
        <v>24</v>
      </c>
      <c r="Y70" s="24" t="str">
        <f>VLOOKUP(B70,Custumer_Master!A:D,3,FALSE)</f>
        <v>Silver</v>
      </c>
      <c r="Z70" s="30">
        <f>EDATE(E70,X70)</f>
        <v>46740</v>
      </c>
      <c r="AA70" s="29" t="str">
        <f>VLOOKUP(B70,Custumer_Master!A:K,11,)</f>
        <v>September</v>
      </c>
      <c r="AB70" s="24" t="s">
        <v>2108</v>
      </c>
      <c r="AC70" s="138" t="str">
        <f>PROPER(LEFT(TRIM(F70), 3)) &amp; RIGHT(TRIM(B70), 3) &amp; PROPER(LEFT(TRIM(I70), 2))</f>
        <v>Poo010Be</v>
      </c>
      <c r="AD70" s="154">
        <f t="shared" ca="1" si="4"/>
        <v>31</v>
      </c>
      <c r="AE70" s="154">
        <f>IFERROR(IF(OR(E70="", D70="", LOWER(TRIM(E70))="pending", LOWER(TRIM(D70))="pending"), "Pending", E70 - D70), "Pending")</f>
        <v>5</v>
      </c>
      <c r="AF70" s="138" t="str">
        <f>IFERROR(IF(OR(E70="", D70="","Pending","Pending"), "Pending", IF((E70 - D70) &lt;= 5, "On Time", "Delayed")), "Pending")</f>
        <v>On Time</v>
      </c>
      <c r="AG70" s="24" t="str">
        <f t="shared" si="5"/>
        <v>Completed</v>
      </c>
    </row>
    <row r="71" spans="1:33">
      <c r="A71" s="24" t="s">
        <v>458</v>
      </c>
      <c r="B71" s="24" t="s">
        <v>23</v>
      </c>
      <c r="C71" s="24" t="s">
        <v>54</v>
      </c>
      <c r="D71" s="30">
        <v>45754</v>
      </c>
      <c r="E71" s="30" t="s">
        <v>459</v>
      </c>
      <c r="F71" s="24" t="str">
        <f>VLOOKUP(B71,Custumer_Master!A:D,2,FALSE)</f>
        <v>Kavya Nair</v>
      </c>
      <c r="G71" s="24" t="str">
        <f>VLOOKUP($B71,Custumer_Master!$A:$J,6,FALSE)</f>
        <v>Female</v>
      </c>
      <c r="H71" s="30" t="str">
        <f>VLOOKUP($B71,Custumer_Master!$A:$J,7,FALSE)</f>
        <v>01/08/1976</v>
      </c>
      <c r="I71" s="24" t="str">
        <f>VLOOKUP($B71,Custumer_Master!$A:$J,9,FALSE)</f>
        <v>Hyderabad</v>
      </c>
      <c r="J71" s="24" t="str">
        <f>VLOOKUP($B71,Custumer_Master!$A:$J,10,FALSE)</f>
        <v>South</v>
      </c>
      <c r="K71" s="24" t="str">
        <f>VLOOKUP(B71,Custumer_Master!A:D,4,FALSE)</f>
        <v>WB</v>
      </c>
      <c r="L71" s="24" t="str">
        <f>PROPER(TRIM(VLOOKUP('Final Data'!C71,Product_Master!A:F,3,FALSE)))</f>
        <v>Electronics</v>
      </c>
      <c r="M71" s="24" t="s">
        <v>60</v>
      </c>
      <c r="N71" s="34">
        <v>16</v>
      </c>
      <c r="O71" s="192">
        <f>VLOOKUP(C71,Product_Master!A:F,5,FALSE)</f>
        <v>41250</v>
      </c>
      <c r="P71" s="33">
        <v>0.1</v>
      </c>
      <c r="Q71" s="34">
        <f t="shared" si="3"/>
        <v>594000</v>
      </c>
      <c r="R71" s="34">
        <v>1</v>
      </c>
      <c r="S71" s="24" t="s">
        <v>79</v>
      </c>
      <c r="T71" s="24" t="s">
        <v>61</v>
      </c>
      <c r="U71" s="24" t="s">
        <v>50</v>
      </c>
      <c r="V71" s="34">
        <v>9959237375</v>
      </c>
      <c r="W71" s="24" t="str">
        <f>VLOOKUP(C71,Product_Master!A:F,4,FALSE)</f>
        <v>TechHub</v>
      </c>
      <c r="X71" s="34">
        <f>VLOOKUP(C71,Product_Master!A:F,6,FALSE)</f>
        <v>12</v>
      </c>
      <c r="Y71" s="24" t="str">
        <f>VLOOKUP(B71,Custumer_Master!A:D,3,FALSE)</f>
        <v>Silver</v>
      </c>
      <c r="Z71" s="30">
        <f>EDATE(E71,X71)</f>
        <v>46122</v>
      </c>
      <c r="AA71" s="29" t="str">
        <f>VLOOKUP(B71,Custumer_Master!A:K,11,)</f>
        <v>August</v>
      </c>
      <c r="AB71" s="24" t="s">
        <v>2160</v>
      </c>
      <c r="AC71" s="138" t="str">
        <f>PROPER(LEFT(TRIM(F71), 3)) &amp; RIGHT(TRIM(B71), 3) &amp; PROPER(LEFT(TRIM(I71), 2))</f>
        <v>Kav008Hy</v>
      </c>
      <c r="AD71" s="154">
        <f t="shared" ca="1" si="4"/>
        <v>49</v>
      </c>
      <c r="AE71" s="154">
        <f>IFERROR(IF(OR(E71="", D71="", LOWER(TRIM(E71))="pending", LOWER(TRIM(D71))="pending"), "Pending", E71 - D71), "Pending")</f>
        <v>3</v>
      </c>
      <c r="AF71" s="138" t="str">
        <f>IFERROR(IF(OR(E71="", D71="","Pending","Pending"), "Pending", IF((E71 - D71) &lt;= 5, "On Time", "Delayed")), "Pending")</f>
        <v>On Time</v>
      </c>
      <c r="AG71" s="24" t="str">
        <f t="shared" si="5"/>
        <v>Completed</v>
      </c>
    </row>
    <row r="72" spans="1:33">
      <c r="A72" s="24" t="s">
        <v>462</v>
      </c>
      <c r="B72" s="24" t="s">
        <v>168</v>
      </c>
      <c r="C72" s="24" t="s">
        <v>40</v>
      </c>
      <c r="D72" s="30">
        <v>46015</v>
      </c>
      <c r="E72" s="30" t="s">
        <v>464</v>
      </c>
      <c r="F72" s="24" t="str">
        <f>VLOOKUP(B72,Custumer_Master!A:D,2,FALSE)</f>
        <v>Anita Gupta</v>
      </c>
      <c r="G72" s="24" t="str">
        <f>VLOOKUP($B72,Custumer_Master!$A:$J,6,FALSE)</f>
        <v>Female</v>
      </c>
      <c r="H72" s="30" t="str">
        <f>VLOOKUP($B72,Custumer_Master!$A:$J,7,FALSE)</f>
        <v>16/01/2002</v>
      </c>
      <c r="I72" s="24" t="str">
        <f>VLOOKUP($B72,Custumer_Master!$A:$J,9,FALSE)</f>
        <v>Pune</v>
      </c>
      <c r="J72" s="24" t="str">
        <f>VLOOKUP($B72,Custumer_Master!$A:$J,10,FALSE)</f>
        <v>West</v>
      </c>
      <c r="K72" s="24" t="str">
        <f>VLOOKUP(B72,Custumer_Master!A:D,4,FALSE)</f>
        <v>WB</v>
      </c>
      <c r="L72" s="24" t="str">
        <f>PROPER(TRIM(VLOOKUP('Final Data'!C72,Product_Master!A:F,3,FALSE)))</f>
        <v>Electronics</v>
      </c>
      <c r="M72" s="24" t="s">
        <v>47</v>
      </c>
      <c r="N72" s="34">
        <v>2</v>
      </c>
      <c r="O72" s="192">
        <f>VLOOKUP(C72,Product_Master!A:F,5,FALSE)</f>
        <v>9000</v>
      </c>
      <c r="P72" s="33">
        <v>0.2</v>
      </c>
      <c r="Q72" s="34">
        <f t="shared" si="3"/>
        <v>14400</v>
      </c>
      <c r="R72" s="34">
        <v>1</v>
      </c>
      <c r="S72" s="24" t="s">
        <v>34</v>
      </c>
      <c r="T72" s="24" t="s">
        <v>151</v>
      </c>
      <c r="U72" s="24" t="s">
        <v>175</v>
      </c>
      <c r="V72" s="34">
        <v>9561836580</v>
      </c>
      <c r="W72" s="24" t="str">
        <f>VLOOKUP(C72,Product_Master!A:F,4,FALSE)</f>
        <v>Global Trade</v>
      </c>
      <c r="X72" s="34">
        <f>VLOOKUP(C72,Product_Master!A:F,6,FALSE)</f>
        <v>24</v>
      </c>
      <c r="Y72" s="24" t="str">
        <f>VLOOKUP(B72,Custumer_Master!A:D,3,FALSE)</f>
        <v>Gold</v>
      </c>
      <c r="Z72" s="30">
        <f>EDATE(E72,X72)</f>
        <v>46755</v>
      </c>
      <c r="AA72" s="29" t="str">
        <f>VLOOKUP(B72,Custumer_Master!A:K,11,)</f>
        <v>January</v>
      </c>
      <c r="AB72" s="24" t="s">
        <v>2160</v>
      </c>
      <c r="AC72" s="138" t="str">
        <f>PROPER(LEFT(TRIM(F72), 3)) &amp; RIGHT(TRIM(B72), 3) &amp; PROPER(LEFT(TRIM(I72), 2))</f>
        <v>Ani004Pu</v>
      </c>
      <c r="AD72" s="154">
        <f t="shared" ca="1" si="4"/>
        <v>24</v>
      </c>
      <c r="AE72" s="154">
        <f>IFERROR(IF(OR(E72="", D72="", LOWER(TRIM(E72))="pending", LOWER(TRIM(D72))="pending"), "Pending", E72 - D72), "Pending")</f>
        <v>10</v>
      </c>
      <c r="AF72" s="138" t="str">
        <f>IFERROR(IF(OR(E72="", D72="","Pending","Pending"), "Pending", IF((E72 - D72) &lt;= 5, "On Time", "Delayed")), "Pending")</f>
        <v>Delayed</v>
      </c>
      <c r="AG72" s="24" t="str">
        <f t="shared" si="5"/>
        <v>Completed</v>
      </c>
    </row>
    <row r="73" spans="1:33">
      <c r="A73" s="24" t="s">
        <v>468</v>
      </c>
      <c r="B73" s="24" t="s">
        <v>127</v>
      </c>
      <c r="C73" s="24" t="s">
        <v>259</v>
      </c>
      <c r="D73" s="30">
        <v>45899</v>
      </c>
      <c r="E73" s="30" t="s">
        <v>446</v>
      </c>
      <c r="F73" s="24" t="str">
        <f>VLOOKUP(B73,Custumer_Master!A:D,2,FALSE)</f>
        <v>Rohit Singh</v>
      </c>
      <c r="G73" s="24" t="str">
        <f>VLOOKUP($B73,Custumer_Master!$A:$J,6,FALSE)</f>
        <v>Male</v>
      </c>
      <c r="H73" s="30" t="str">
        <f>VLOOKUP($B73,Custumer_Master!$A:$J,7,FALSE)</f>
        <v>10/05/1982</v>
      </c>
      <c r="I73" s="24" t="str">
        <f>VLOOKUP($B73,Custumer_Master!$A:$J,9,FALSE)</f>
        <v>Delhi</v>
      </c>
      <c r="J73" s="24" t="str">
        <f>VLOOKUP($B73,Custumer_Master!$A:$J,10,FALSE)</f>
        <v>North</v>
      </c>
      <c r="K73" s="24" t="str">
        <f>VLOOKUP(B73,Custumer_Master!A:D,4,FALSE)</f>
        <v>DL</v>
      </c>
      <c r="L73" s="24" t="str">
        <f>PROPER(TRIM(VLOOKUP('Final Data'!C73,Product_Master!A:F,3,FALSE)))</f>
        <v>Stationery</v>
      </c>
      <c r="M73" s="24" t="s">
        <v>263</v>
      </c>
      <c r="N73" s="34">
        <v>4</v>
      </c>
      <c r="O73" s="192">
        <f>VLOOKUP(C73,Product_Master!A:F,5,FALSE)</f>
        <v>33.75</v>
      </c>
      <c r="P73" s="33">
        <v>0.05</v>
      </c>
      <c r="Q73" s="34">
        <f t="shared" si="3"/>
        <v>128.25</v>
      </c>
      <c r="R73" s="34">
        <v>1</v>
      </c>
      <c r="S73" s="24" t="s">
        <v>79</v>
      </c>
      <c r="T73" s="24" t="s">
        <v>49</v>
      </c>
      <c r="U73" s="24" t="s">
        <v>132</v>
      </c>
      <c r="V73" s="34">
        <v>9512666401</v>
      </c>
      <c r="W73" s="24" t="str">
        <f>VLOOKUP(C73,Product_Master!A:F,4,FALSE)</f>
        <v>TechHub</v>
      </c>
      <c r="X73" s="34">
        <f>VLOOKUP(C73,Product_Master!A:F,6,FALSE)</f>
        <v>12</v>
      </c>
      <c r="Y73" s="24" t="str">
        <f>VLOOKUP(B73,Custumer_Master!A:D,3,FALSE)</f>
        <v>Gold</v>
      </c>
      <c r="Z73" s="30">
        <f>EDATE(E73,X73)</f>
        <v>46270</v>
      </c>
      <c r="AA73" s="29" t="str">
        <f>VLOOKUP(B73,Custumer_Master!A:K,11,)</f>
        <v>May</v>
      </c>
      <c r="AB73" s="24" t="s">
        <v>2160</v>
      </c>
      <c r="AC73" s="138" t="str">
        <f>PROPER(LEFT(TRIM(F73), 3)) &amp; RIGHT(TRIM(B73), 3) &amp; PROPER(LEFT(TRIM(I73), 2))</f>
        <v>Roh003De</v>
      </c>
      <c r="AD73" s="154">
        <f t="shared" ca="1" si="4"/>
        <v>44</v>
      </c>
      <c r="AE73" s="154">
        <f>IFERROR(IF(OR(E73="", D73="", LOWER(TRIM(E73))="pending", LOWER(TRIM(D73))="pending"), "Pending", E73 - D73), "Pending")</f>
        <v>6</v>
      </c>
      <c r="AF73" s="138" t="str">
        <f>IFERROR(IF(OR(E73="", D73="","Pending","Pending"), "Pending", IF((E73 - D73) &lt;= 5, "On Time", "Delayed")), "Pending")</f>
        <v>Delayed</v>
      </c>
      <c r="AG73" s="24" t="str">
        <f t="shared" si="5"/>
        <v>Completed</v>
      </c>
    </row>
    <row r="74" spans="1:33">
      <c r="A74" s="24" t="s">
        <v>472</v>
      </c>
      <c r="B74" s="24" t="s">
        <v>23</v>
      </c>
      <c r="C74" s="24" t="s">
        <v>72</v>
      </c>
      <c r="D74" s="30">
        <v>46004</v>
      </c>
      <c r="E74" s="30" t="s">
        <v>474</v>
      </c>
      <c r="F74" s="24" t="str">
        <f>VLOOKUP(B74,Custumer_Master!A:D,2,FALSE)</f>
        <v>Kavya Nair</v>
      </c>
      <c r="G74" s="24" t="str">
        <f>VLOOKUP($B74,Custumer_Master!$A:$J,6,FALSE)</f>
        <v>Female</v>
      </c>
      <c r="H74" s="30" t="str">
        <f>VLOOKUP($B74,Custumer_Master!$A:$J,7,FALSE)</f>
        <v>01/08/1976</v>
      </c>
      <c r="I74" s="24" t="str">
        <f>VLOOKUP($B74,Custumer_Master!$A:$J,9,FALSE)</f>
        <v>Hyderabad</v>
      </c>
      <c r="J74" s="24" t="str">
        <f>VLOOKUP($B74,Custumer_Master!$A:$J,10,FALSE)</f>
        <v>South</v>
      </c>
      <c r="K74" s="24" t="str">
        <f>VLOOKUP(B74,Custumer_Master!A:D,4,FALSE)</f>
        <v>WB</v>
      </c>
      <c r="L74" s="24" t="str">
        <f>PROPER(TRIM(VLOOKUP('Final Data'!C74,Product_Master!A:F,3,FALSE)))</f>
        <v>Electronics</v>
      </c>
      <c r="M74" s="24" t="s">
        <v>78</v>
      </c>
      <c r="N74" s="34">
        <v>1</v>
      </c>
      <c r="O74" s="192">
        <f>VLOOKUP(C74,Product_Master!A:F,5,FALSE)</f>
        <v>900</v>
      </c>
      <c r="P74" s="33">
        <v>0.05</v>
      </c>
      <c r="Q74" s="34">
        <f t="shared" si="3"/>
        <v>855</v>
      </c>
      <c r="R74" s="34">
        <v>3</v>
      </c>
      <c r="S74" s="24" t="s">
        <v>2149</v>
      </c>
      <c r="T74" s="24" t="s">
        <v>61</v>
      </c>
      <c r="U74" s="24" t="s">
        <v>50</v>
      </c>
      <c r="V74" s="34">
        <v>9808988530</v>
      </c>
      <c r="W74" s="24" t="str">
        <f>VLOOKUP(C74,Product_Master!A:F,4,FALSE)</f>
        <v>TechHub</v>
      </c>
      <c r="X74" s="34">
        <f>VLOOKUP(C74,Product_Master!A:F,6,FALSE)</f>
        <v>6</v>
      </c>
      <c r="Y74" s="24" t="str">
        <f>VLOOKUP(B74,Custumer_Master!A:D,3,FALSE)</f>
        <v>Silver</v>
      </c>
      <c r="Z74" s="30">
        <f>EDATE(E74,X74)</f>
        <v>46196</v>
      </c>
      <c r="AA74" s="29" t="str">
        <f>VLOOKUP(B74,Custumer_Master!A:K,11,)</f>
        <v>August</v>
      </c>
      <c r="AB74" s="24" t="s">
        <v>2108</v>
      </c>
      <c r="AC74" s="138" t="str">
        <f>PROPER(LEFT(TRIM(F74), 3)) &amp; RIGHT(TRIM(B74), 3) &amp; PROPER(LEFT(TRIM(I74), 2))</f>
        <v>Kav008Hy</v>
      </c>
      <c r="AD74" s="154">
        <f t="shared" ca="1" si="4"/>
        <v>49</v>
      </c>
      <c r="AE74" s="154">
        <f>IFERROR(IF(OR(E74="", D74="", LOWER(TRIM(E74))="pending", LOWER(TRIM(D74))="pending"), "Pending", E74 - D74), "Pending")</f>
        <v>10</v>
      </c>
      <c r="AF74" s="138" t="str">
        <f>IFERROR(IF(OR(E74="", D74="","Pending","Pending"), "Pending", IF((E74 - D74) &lt;= 5, "On Time", "Delayed")), "Pending")</f>
        <v>Delayed</v>
      </c>
      <c r="AG74" s="24" t="str">
        <f t="shared" si="5"/>
        <v>Completed</v>
      </c>
    </row>
    <row r="75" spans="1:33">
      <c r="A75" s="24" t="s">
        <v>477</v>
      </c>
      <c r="B75" s="24" t="s">
        <v>53</v>
      </c>
      <c r="C75" s="24" t="s">
        <v>24</v>
      </c>
      <c r="D75" s="30">
        <v>46057</v>
      </c>
      <c r="E75" s="30" t="s">
        <v>479</v>
      </c>
      <c r="F75" s="24" t="str">
        <f>VLOOKUP(B75,Custumer_Master!A:D,2,FALSE)</f>
        <v>Pooja Shah</v>
      </c>
      <c r="G75" s="24" t="str">
        <f>VLOOKUP($B75,Custumer_Master!$A:$J,6,FALSE)</f>
        <v>Female</v>
      </c>
      <c r="H75" s="30" t="str">
        <f>VLOOKUP($B75,Custumer_Master!$A:$J,7,FALSE)</f>
        <v>16/09/1994</v>
      </c>
      <c r="I75" s="24" t="str">
        <f>VLOOKUP($B75,Custumer_Master!$A:$J,9,FALSE)</f>
        <v>Bengaluru</v>
      </c>
      <c r="J75" s="24" t="str">
        <f>VLOOKUP($B75,Custumer_Master!$A:$J,10,FALSE)</f>
        <v>South</v>
      </c>
      <c r="K75" s="24" t="str">
        <f>VLOOKUP(B75,Custumer_Master!A:D,4,FALSE)</f>
        <v>WB</v>
      </c>
      <c r="L75" s="24" t="str">
        <f>PROPER(TRIM(VLOOKUP('Final Data'!C75,Product_Master!A:F,3,FALSE)))</f>
        <v>Home Appliances</v>
      </c>
      <c r="M75" s="24" t="s">
        <v>33</v>
      </c>
      <c r="N75" s="34">
        <v>1</v>
      </c>
      <c r="O75" s="192">
        <f>VLOOKUP(C75,Product_Master!A:F,5,FALSE)</f>
        <v>1650</v>
      </c>
      <c r="P75" s="33">
        <v>0.15</v>
      </c>
      <c r="Q75" s="34">
        <f t="shared" si="3"/>
        <v>1402.5</v>
      </c>
      <c r="R75" s="34">
        <v>4</v>
      </c>
      <c r="S75" s="24" t="s">
        <v>79</v>
      </c>
      <c r="T75" s="24" t="s">
        <v>61</v>
      </c>
      <c r="U75" s="24" t="s">
        <v>62</v>
      </c>
      <c r="V75" s="34">
        <v>9286410494</v>
      </c>
      <c r="W75" s="24" t="str">
        <f>VLOOKUP(C75,Product_Master!A:F,4,FALSE)</f>
        <v>Global Trade</v>
      </c>
      <c r="X75" s="34">
        <f>VLOOKUP(C75,Product_Master!A:F,6,FALSE)</f>
        <v>24</v>
      </c>
      <c r="Y75" s="24" t="str">
        <f>VLOOKUP(B75,Custumer_Master!A:D,3,FALSE)</f>
        <v>Silver</v>
      </c>
      <c r="Z75" s="30">
        <f>EDATE(E75,X75)</f>
        <v>46799</v>
      </c>
      <c r="AA75" s="29" t="str">
        <f>VLOOKUP(B75,Custumer_Master!A:K,11,)</f>
        <v>September</v>
      </c>
      <c r="AB75" s="24" t="s">
        <v>2108</v>
      </c>
      <c r="AC75" s="138" t="str">
        <f>PROPER(LEFT(TRIM(F75), 3)) &amp; RIGHT(TRIM(B75), 3) &amp; PROPER(LEFT(TRIM(I75), 2))</f>
        <v>Poo010Be</v>
      </c>
      <c r="AD75" s="154">
        <f t="shared" ca="1" si="4"/>
        <v>31</v>
      </c>
      <c r="AE75" s="154">
        <f>IFERROR(IF(OR(E75="", D75="", LOWER(TRIM(E75))="pending", LOWER(TRIM(D75))="pending"), "Pending", E75 - D75), "Pending")</f>
        <v>12</v>
      </c>
      <c r="AF75" s="138" t="str">
        <f>IFERROR(IF(OR(E75="", D75="","Pending","Pending"), "Pending", IF((E75 - D75) &lt;= 5, "On Time", "Delayed")), "Pending")</f>
        <v>Delayed</v>
      </c>
      <c r="AG75" s="24" t="str">
        <f t="shared" si="5"/>
        <v>Completed</v>
      </c>
    </row>
    <row r="76" spans="1:33">
      <c r="A76" s="24" t="s">
        <v>482</v>
      </c>
      <c r="B76" s="24" t="s">
        <v>127</v>
      </c>
      <c r="C76" s="24" t="s">
        <v>72</v>
      </c>
      <c r="D76" s="30">
        <v>46048</v>
      </c>
      <c r="E76" s="30" t="s">
        <v>484</v>
      </c>
      <c r="F76" s="24" t="str">
        <f>VLOOKUP(B76,Custumer_Master!A:D,2,FALSE)</f>
        <v>Rohit Singh</v>
      </c>
      <c r="G76" s="24" t="str">
        <f>VLOOKUP($B76,Custumer_Master!$A:$J,6,FALSE)</f>
        <v>Male</v>
      </c>
      <c r="H76" s="30" t="str">
        <f>VLOOKUP($B76,Custumer_Master!$A:$J,7,FALSE)</f>
        <v>10/05/1982</v>
      </c>
      <c r="I76" s="24" t="str">
        <f>VLOOKUP($B76,Custumer_Master!$A:$J,9,FALSE)</f>
        <v>Delhi</v>
      </c>
      <c r="J76" s="24" t="str">
        <f>VLOOKUP($B76,Custumer_Master!$A:$J,10,FALSE)</f>
        <v>North</v>
      </c>
      <c r="K76" s="24" t="str">
        <f>VLOOKUP(B76,Custumer_Master!A:D,4,FALSE)</f>
        <v>DL</v>
      </c>
      <c r="L76" s="24" t="str">
        <f>PROPER(TRIM(VLOOKUP('Final Data'!C76,Product_Master!A:F,3,FALSE)))</f>
        <v>Electronics</v>
      </c>
      <c r="M76" s="24" t="s">
        <v>78</v>
      </c>
      <c r="N76" s="34">
        <v>3</v>
      </c>
      <c r="O76" s="192">
        <f>VLOOKUP(C76,Product_Master!A:F,5,FALSE)</f>
        <v>900</v>
      </c>
      <c r="P76" s="33">
        <v>0.1</v>
      </c>
      <c r="Q76" s="34">
        <f t="shared" si="3"/>
        <v>2430</v>
      </c>
      <c r="R76" s="34">
        <v>5</v>
      </c>
      <c r="S76" s="24" t="s">
        <v>34</v>
      </c>
      <c r="T76" s="24" t="s">
        <v>49</v>
      </c>
      <c r="U76" s="24" t="s">
        <v>132</v>
      </c>
      <c r="V76" s="34">
        <v>9311555196</v>
      </c>
      <c r="W76" s="24" t="str">
        <f>VLOOKUP(C76,Product_Master!A:F,4,FALSE)</f>
        <v>TechHub</v>
      </c>
      <c r="X76" s="34">
        <f>VLOOKUP(C76,Product_Master!A:F,6,FALSE)</f>
        <v>6</v>
      </c>
      <c r="Y76" s="24" t="str">
        <f>VLOOKUP(B76,Custumer_Master!A:D,3,FALSE)</f>
        <v>Gold</v>
      </c>
      <c r="Z76" s="30">
        <f>EDATE(E76,X76)</f>
        <v>46231</v>
      </c>
      <c r="AA76" s="29" t="str">
        <f>VLOOKUP(B76,Custumer_Master!A:K,11,)</f>
        <v>May</v>
      </c>
      <c r="AB76" s="24" t="s">
        <v>2108</v>
      </c>
      <c r="AC76" s="138" t="str">
        <f>PROPER(LEFT(TRIM(F76), 3)) &amp; RIGHT(TRIM(B76), 3) &amp; PROPER(LEFT(TRIM(I76), 2))</f>
        <v>Roh003De</v>
      </c>
      <c r="AD76" s="154">
        <f t="shared" ca="1" si="4"/>
        <v>44</v>
      </c>
      <c r="AE76" s="154">
        <f>IFERROR(IF(OR(E76="", D76="", LOWER(TRIM(E76))="pending", LOWER(TRIM(D76))="pending"), "Pending", E76 - D76), "Pending")</f>
        <v>2</v>
      </c>
      <c r="AF76" s="138" t="str">
        <f>IFERROR(IF(OR(E76="", D76="","Pending","Pending"), "Pending", IF((E76 - D76) &lt;= 5, "On Time", "Delayed")), "Pending")</f>
        <v>On Time</v>
      </c>
      <c r="AG76" s="24" t="str">
        <f t="shared" si="5"/>
        <v>Completed</v>
      </c>
    </row>
    <row r="77" spans="1:33">
      <c r="A77" s="24" t="s">
        <v>487</v>
      </c>
      <c r="B77" s="24" t="s">
        <v>23</v>
      </c>
      <c r="C77" s="24" t="s">
        <v>92</v>
      </c>
      <c r="D77" s="30">
        <v>45835</v>
      </c>
      <c r="E77" s="30" t="s">
        <v>489</v>
      </c>
      <c r="F77" s="24" t="str">
        <f>VLOOKUP(B77,Custumer_Master!A:D,2,FALSE)</f>
        <v>Kavya Nair</v>
      </c>
      <c r="G77" s="24" t="str">
        <f>VLOOKUP($B77,Custumer_Master!$A:$J,6,FALSE)</f>
        <v>Female</v>
      </c>
      <c r="H77" s="30" t="str">
        <f>VLOOKUP($B77,Custumer_Master!$A:$J,7,FALSE)</f>
        <v>01/08/1976</v>
      </c>
      <c r="I77" s="24" t="str">
        <f>VLOOKUP($B77,Custumer_Master!$A:$J,9,FALSE)</f>
        <v>Hyderabad</v>
      </c>
      <c r="J77" s="24" t="str">
        <f>VLOOKUP($B77,Custumer_Master!$A:$J,10,FALSE)</f>
        <v>South</v>
      </c>
      <c r="K77" s="24" t="str">
        <f>VLOOKUP(B77,Custumer_Master!A:D,4,FALSE)</f>
        <v>WB</v>
      </c>
      <c r="L77" s="24" t="str">
        <f>PROPER(TRIM(VLOOKUP('Final Data'!C77,Product_Master!A:F,3,FALSE)))</f>
        <v>Home Appliances</v>
      </c>
      <c r="M77" s="24" t="s">
        <v>97</v>
      </c>
      <c r="N77" s="34">
        <v>10</v>
      </c>
      <c r="O77" s="192">
        <f>VLOOKUP(C77,Product_Master!A:F,5,FALSE)</f>
        <v>2625</v>
      </c>
      <c r="P77" s="33">
        <v>0.2</v>
      </c>
      <c r="Q77" s="34">
        <f t="shared" si="3"/>
        <v>21000</v>
      </c>
      <c r="R77" s="34">
        <v>5</v>
      </c>
      <c r="S77" s="24" t="s">
        <v>79</v>
      </c>
      <c r="T77" s="24" t="s">
        <v>35</v>
      </c>
      <c r="U77" s="24" t="s">
        <v>50</v>
      </c>
      <c r="V77" s="34">
        <v>9101810266</v>
      </c>
      <c r="W77" s="24" t="str">
        <f>VLOOKUP(C77,Product_Master!A:F,4,FALSE)</f>
        <v>Global Trade</v>
      </c>
      <c r="X77" s="34">
        <f>VLOOKUP(C77,Product_Master!A:F,6,FALSE)</f>
        <v>6</v>
      </c>
      <c r="Y77" s="24" t="str">
        <f>VLOOKUP(B77,Custumer_Master!A:D,3,FALSE)</f>
        <v>Silver</v>
      </c>
      <c r="Z77" s="30">
        <f>EDATE(E77,X77)</f>
        <v>46029</v>
      </c>
      <c r="AA77" s="29" t="str">
        <f>VLOOKUP(B77,Custumer_Master!A:K,11,)</f>
        <v>August</v>
      </c>
      <c r="AB77" s="24" t="s">
        <v>2108</v>
      </c>
      <c r="AC77" s="138" t="str">
        <f>PROPER(LEFT(TRIM(F77), 3)) &amp; RIGHT(TRIM(B77), 3) &amp; PROPER(LEFT(TRIM(I77), 2))</f>
        <v>Kav008Hy</v>
      </c>
      <c r="AD77" s="154">
        <f t="shared" ca="1" si="4"/>
        <v>49</v>
      </c>
      <c r="AE77" s="154">
        <f>IFERROR(IF(OR(E77="", D77="", LOWER(TRIM(E77))="pending", LOWER(TRIM(D77))="pending"), "Pending", E77 - D77), "Pending")</f>
        <v>10</v>
      </c>
      <c r="AF77" s="138" t="str">
        <f>IFERROR(IF(OR(E77="", D77="","Pending","Pending"), "Pending", IF((E77 - D77) &lt;= 5, "On Time", "Delayed")), "Pending")</f>
        <v>Delayed</v>
      </c>
      <c r="AG77" s="24" t="str">
        <f t="shared" si="5"/>
        <v>Completed</v>
      </c>
    </row>
    <row r="78" spans="1:33">
      <c r="A78" s="24" t="s">
        <v>492</v>
      </c>
      <c r="B78" s="24" t="s">
        <v>83</v>
      </c>
      <c r="C78" s="24" t="s">
        <v>184</v>
      </c>
      <c r="D78" s="30">
        <v>46098</v>
      </c>
      <c r="E78" s="30" t="s">
        <v>404</v>
      </c>
      <c r="F78" s="24" t="str">
        <f>VLOOKUP(B78,Custumer_Master!A:D,2,FALSE)</f>
        <v>Arjun Rao</v>
      </c>
      <c r="G78" s="24" t="str">
        <f>VLOOKUP($B78,Custumer_Master!$A:$J,6,FALSE)</f>
        <v>Male</v>
      </c>
      <c r="H78" s="30" t="str">
        <f>VLOOKUP($B78,Custumer_Master!$A:$J,7,FALSE)</f>
        <v>07/02/1988</v>
      </c>
      <c r="I78" s="24" t="str">
        <f>VLOOKUP($B78,Custumer_Master!$A:$J,9,FALSE)</f>
        <v>Hyderabad</v>
      </c>
      <c r="J78" s="24" t="str">
        <f>VLOOKUP($B78,Custumer_Master!$A:$J,10,FALSE)</f>
        <v>South</v>
      </c>
      <c r="K78" s="24" t="str">
        <f>VLOOKUP(B78,Custumer_Master!A:D,4,FALSE)</f>
        <v>RJ</v>
      </c>
      <c r="L78" s="24" t="str">
        <f>PROPER(TRIM(VLOOKUP('Final Data'!C78,Product_Master!A:F,3,FALSE)))</f>
        <v>Electronics</v>
      </c>
      <c r="M78" s="24" t="s">
        <v>189</v>
      </c>
      <c r="N78" s="34">
        <v>18</v>
      </c>
      <c r="O78" s="192">
        <f>VLOOKUP(C78,Product_Master!A:F,5,FALSE)</f>
        <v>525</v>
      </c>
      <c r="P78" s="33">
        <v>0.05</v>
      </c>
      <c r="Q78" s="34">
        <f t="shared" si="3"/>
        <v>8977.5</v>
      </c>
      <c r="R78" s="34">
        <v>3</v>
      </c>
      <c r="S78" s="24" t="s">
        <v>79</v>
      </c>
      <c r="T78" s="24" t="s">
        <v>115</v>
      </c>
      <c r="U78" s="24" t="s">
        <v>89</v>
      </c>
      <c r="V78" s="34">
        <v>9464556593</v>
      </c>
      <c r="W78" s="24" t="str">
        <f>VLOOKUP(C78,Product_Master!A:F,4,FALSE)</f>
        <v>TechHub</v>
      </c>
      <c r="X78" s="34">
        <f>VLOOKUP(C78,Product_Master!A:F,6,FALSE)</f>
        <v>24</v>
      </c>
      <c r="Y78" s="24" t="str">
        <f>VLOOKUP(B78,Custumer_Master!A:D,3,FALSE)</f>
        <v>Silver</v>
      </c>
      <c r="Z78" s="30">
        <f>EDATE(E78,X78)</f>
        <v>46831</v>
      </c>
      <c r="AA78" s="29" t="str">
        <f>VLOOKUP(B78,Custumer_Master!A:K,11,)</f>
        <v>February</v>
      </c>
      <c r="AB78" s="24" t="s">
        <v>2108</v>
      </c>
      <c r="AC78" s="138" t="str">
        <f>PROPER(LEFT(TRIM(F78), 3)) &amp; RIGHT(TRIM(B78), 3) &amp; PROPER(LEFT(TRIM(I78), 2))</f>
        <v>Arj007Hy</v>
      </c>
      <c r="AD78" s="154">
        <f t="shared" ca="1" si="4"/>
        <v>38</v>
      </c>
      <c r="AE78" s="154">
        <f>IFERROR(IF(OR(E78="", D78="", LOWER(TRIM(E78))="pending", LOWER(TRIM(D78))="pending"), "Pending", E78 - D78), "Pending")</f>
        <v>2</v>
      </c>
      <c r="AF78" s="138" t="str">
        <f>IFERROR(IF(OR(E78="", D78="","Pending","Pending"), "Pending", IF((E78 - D78) &lt;= 5, "On Time", "Delayed")), "Pending")</f>
        <v>On Time</v>
      </c>
      <c r="AG78" s="24" t="str">
        <f t="shared" si="5"/>
        <v>Completed</v>
      </c>
    </row>
    <row r="79" spans="1:33">
      <c r="A79" s="24" t="s">
        <v>496</v>
      </c>
      <c r="B79" s="24" t="s">
        <v>221</v>
      </c>
      <c r="C79" s="24" t="s">
        <v>184</v>
      </c>
      <c r="D79" s="30">
        <v>45817</v>
      </c>
      <c r="E79" s="30" t="s">
        <v>498</v>
      </c>
      <c r="F79" s="24" t="str">
        <f>VLOOKUP(B79,Custumer_Master!A:D,2,FALSE)</f>
        <v>Vikas Mehta</v>
      </c>
      <c r="G79" s="24" t="str">
        <f>VLOOKUP($B79,Custumer_Master!$A:$J,6,FALSE)</f>
        <v>Male</v>
      </c>
      <c r="H79" s="30" t="str">
        <f>VLOOKUP($B79,Custumer_Master!$A:$J,7,FALSE)</f>
        <v>03/08/1991</v>
      </c>
      <c r="I79" s="24" t="str">
        <f>VLOOKUP($B79,Custumer_Master!$A:$J,9,FALSE)</f>
        <v>Mumbai</v>
      </c>
      <c r="J79" s="24" t="str">
        <f>VLOOKUP($B79,Custumer_Master!$A:$J,10,FALSE)</f>
        <v>West</v>
      </c>
      <c r="K79" s="24" t="str">
        <f>VLOOKUP(B79,Custumer_Master!A:D,4,FALSE)</f>
        <v>DL</v>
      </c>
      <c r="L79" s="24" t="str">
        <f>PROPER(TRIM(VLOOKUP('Final Data'!C79,Product_Master!A:F,3,FALSE)))</f>
        <v>Electronics</v>
      </c>
      <c r="M79" s="24" t="s">
        <v>189</v>
      </c>
      <c r="N79" s="34">
        <v>12</v>
      </c>
      <c r="O79" s="192">
        <f>VLOOKUP(C79,Product_Master!A:F,5,FALSE)</f>
        <v>525</v>
      </c>
      <c r="P79" s="33">
        <v>0.15</v>
      </c>
      <c r="Q79" s="34">
        <f t="shared" si="3"/>
        <v>5355</v>
      </c>
      <c r="R79" s="34">
        <v>2</v>
      </c>
      <c r="S79" s="24" t="s">
        <v>2149</v>
      </c>
      <c r="T79" s="24" t="s">
        <v>49</v>
      </c>
      <c r="U79" s="24" t="s">
        <v>228</v>
      </c>
      <c r="V79" s="34">
        <v>9338278358</v>
      </c>
      <c r="W79" s="24" t="str">
        <f>VLOOKUP(C79,Product_Master!A:F,4,FALSE)</f>
        <v>TechHub</v>
      </c>
      <c r="X79" s="34">
        <f>VLOOKUP(C79,Product_Master!A:F,6,FALSE)</f>
        <v>24</v>
      </c>
      <c r="Y79" s="24" t="str">
        <f>VLOOKUP(B79,Custumer_Master!A:D,3,FALSE)</f>
        <v>Gold</v>
      </c>
      <c r="Z79" s="30">
        <f>EDATE(E79,X79)</f>
        <v>46556</v>
      </c>
      <c r="AA79" s="29" t="str">
        <f>VLOOKUP(B79,Custumer_Master!A:K,11,)</f>
        <v>August</v>
      </c>
      <c r="AB79" s="24" t="s">
        <v>2160</v>
      </c>
      <c r="AC79" s="138" t="str">
        <f>PROPER(LEFT(TRIM(F79), 3)) &amp; RIGHT(TRIM(B79), 3) &amp; PROPER(LEFT(TRIM(I79), 2))</f>
        <v>Vik005Mu</v>
      </c>
      <c r="AD79" s="154">
        <f t="shared" ca="1" si="4"/>
        <v>34</v>
      </c>
      <c r="AE79" s="154">
        <f>IFERROR(IF(OR(E79="", D79="", LOWER(TRIM(E79))="pending", LOWER(TRIM(D79))="pending"), "Pending", E79 - D79), "Pending")</f>
        <v>9</v>
      </c>
      <c r="AF79" s="138" t="str">
        <f>IFERROR(IF(OR(E79="", D79="","Pending","Pending"), "Pending", IF((E79 - D79) &lt;= 5, "On Time", "Delayed")), "Pending")</f>
        <v>Delayed</v>
      </c>
      <c r="AG79" s="24" t="str">
        <f t="shared" si="5"/>
        <v>Completed</v>
      </c>
    </row>
    <row r="80" spans="1:33">
      <c r="A80" s="24" t="s">
        <v>501</v>
      </c>
      <c r="B80" s="24" t="s">
        <v>71</v>
      </c>
      <c r="C80" s="24" t="s">
        <v>72</v>
      </c>
      <c r="D80" s="30">
        <v>45976</v>
      </c>
      <c r="E80" s="30" t="s">
        <v>503</v>
      </c>
      <c r="F80" s="24" t="str">
        <f>VLOOKUP(B80,Custumer_Master!A:D,2,FALSE)</f>
        <v>Mohit Verma</v>
      </c>
      <c r="G80" s="24" t="str">
        <f>VLOOKUP($B80,Custumer_Master!$A:$J,6,FALSE)</f>
        <v>Male</v>
      </c>
      <c r="H80" s="30" t="str">
        <f>VLOOKUP($B80,Custumer_Master!$A:$J,7,FALSE)</f>
        <v>13/04/1976</v>
      </c>
      <c r="I80" s="24" t="str">
        <f>VLOOKUP($B80,Custumer_Master!$A:$J,9,FALSE)</f>
        <v>Delhi</v>
      </c>
      <c r="J80" s="24" t="str">
        <f>VLOOKUP($B80,Custumer_Master!$A:$J,10,FALSE)</f>
        <v>North</v>
      </c>
      <c r="K80" s="24" t="str">
        <f>VLOOKUP(B80,Custumer_Master!A:D,4,FALSE)</f>
        <v>KA</v>
      </c>
      <c r="L80" s="24" t="str">
        <f>PROPER(TRIM(VLOOKUP('Final Data'!C80,Product_Master!A:F,3,FALSE)))</f>
        <v>Electronics</v>
      </c>
      <c r="M80" s="24" t="s">
        <v>78</v>
      </c>
      <c r="N80" s="34">
        <v>8</v>
      </c>
      <c r="O80" s="192">
        <f>VLOOKUP(C80,Product_Master!A:F,5,FALSE)</f>
        <v>900</v>
      </c>
      <c r="P80" s="33">
        <v>0</v>
      </c>
      <c r="Q80" s="34">
        <f t="shared" si="3"/>
        <v>7200</v>
      </c>
      <c r="R80" s="34">
        <v>4</v>
      </c>
      <c r="S80" s="24" t="s">
        <v>79</v>
      </c>
      <c r="T80" s="24" t="s">
        <v>49</v>
      </c>
      <c r="U80" s="24" t="s">
        <v>80</v>
      </c>
      <c r="V80" s="34">
        <v>9621410770</v>
      </c>
      <c r="W80" s="24" t="str">
        <f>VLOOKUP(C80,Product_Master!A:F,4,FALSE)</f>
        <v>TechHub</v>
      </c>
      <c r="X80" s="34">
        <f>VLOOKUP(C80,Product_Master!A:F,6,FALSE)</f>
        <v>6</v>
      </c>
      <c r="Y80" s="24" t="str">
        <f>VLOOKUP(B80,Custumer_Master!A:D,3,FALSE)</f>
        <v>Platinum</v>
      </c>
      <c r="Z80" s="30">
        <f>EDATE(E80,X80)</f>
        <v>46158</v>
      </c>
      <c r="AA80" s="29" t="str">
        <f>VLOOKUP(B80,Custumer_Master!A:K,11,)</f>
        <v>April</v>
      </c>
      <c r="AB80" s="24" t="s">
        <v>2108</v>
      </c>
      <c r="AC80" s="138" t="str">
        <f>PROPER(LEFT(TRIM(F80), 3)) &amp; RIGHT(TRIM(B80), 3) &amp; PROPER(LEFT(TRIM(I80), 2))</f>
        <v>Moh009De</v>
      </c>
      <c r="AD80" s="154">
        <f t="shared" ca="1" si="4"/>
        <v>50</v>
      </c>
      <c r="AE80" s="154">
        <f>IFERROR(IF(OR(E80="", D80="", LOWER(TRIM(E80))="pending", LOWER(TRIM(D80))="pending"), "Pending", E80 - D80), "Pending")</f>
        <v>1</v>
      </c>
      <c r="AF80" s="138" t="str">
        <f>IFERROR(IF(OR(E80="", D80="","Pending","Pending"), "Pending", IF((E80 - D80) &lt;= 5, "On Time", "Delayed")), "Pending")</f>
        <v>On Time</v>
      </c>
      <c r="AG80" s="24" t="str">
        <f t="shared" si="5"/>
        <v>Completed</v>
      </c>
    </row>
    <row r="81" spans="1:33">
      <c r="A81" s="24" t="s">
        <v>506</v>
      </c>
      <c r="B81" s="24" t="s">
        <v>127</v>
      </c>
      <c r="C81" s="24" t="s">
        <v>118</v>
      </c>
      <c r="D81" s="30">
        <v>45967</v>
      </c>
      <c r="E81" s="30" t="s">
        <v>508</v>
      </c>
      <c r="F81" s="24" t="str">
        <f>VLOOKUP(B81,Custumer_Master!A:D,2,FALSE)</f>
        <v>Rohit Singh</v>
      </c>
      <c r="G81" s="24" t="str">
        <f>VLOOKUP($B81,Custumer_Master!$A:$J,6,FALSE)</f>
        <v>Male</v>
      </c>
      <c r="H81" s="30" t="str">
        <f>VLOOKUP($B81,Custumer_Master!$A:$J,7,FALSE)</f>
        <v>10/05/1982</v>
      </c>
      <c r="I81" s="24" t="str">
        <f>VLOOKUP($B81,Custumer_Master!$A:$J,9,FALSE)</f>
        <v>Delhi</v>
      </c>
      <c r="J81" s="24" t="str">
        <f>VLOOKUP($B81,Custumer_Master!$A:$J,10,FALSE)</f>
        <v>North</v>
      </c>
      <c r="K81" s="24" t="str">
        <f>VLOOKUP(B81,Custumer_Master!A:D,4,FALSE)</f>
        <v>DL</v>
      </c>
      <c r="L81" s="24" t="str">
        <f>PROPER(TRIM(VLOOKUP('Final Data'!C81,Product_Master!A:F,3,FALSE)))</f>
        <v>Stationery</v>
      </c>
      <c r="M81" s="24" t="s">
        <v>123</v>
      </c>
      <c r="N81" s="34">
        <v>2</v>
      </c>
      <c r="O81" s="192">
        <f>VLOOKUP(C81,Product_Master!A:F,5,FALSE)</f>
        <v>45</v>
      </c>
      <c r="P81" s="33">
        <v>0</v>
      </c>
      <c r="Q81" s="34">
        <f t="shared" si="3"/>
        <v>90</v>
      </c>
      <c r="R81" s="34">
        <v>2</v>
      </c>
      <c r="S81" s="24" t="s">
        <v>2149</v>
      </c>
      <c r="T81" s="24" t="s">
        <v>49</v>
      </c>
      <c r="U81" s="24" t="s">
        <v>132</v>
      </c>
      <c r="V81" s="34">
        <v>9981333189</v>
      </c>
      <c r="W81" s="24" t="str">
        <f>VLOOKUP(C81,Product_Master!A:F,4,FALSE)</f>
        <v>ABC Corp</v>
      </c>
      <c r="X81" s="34">
        <f>VLOOKUP(C81,Product_Master!A:F,6,FALSE)</f>
        <v>12</v>
      </c>
      <c r="Y81" s="24" t="str">
        <f>VLOOKUP(B81,Custumer_Master!A:D,3,FALSE)</f>
        <v>Gold</v>
      </c>
      <c r="Z81" s="30">
        <f>EDATE(E81,X81)</f>
        <v>46336</v>
      </c>
      <c r="AA81" s="29" t="str">
        <f>VLOOKUP(B81,Custumer_Master!A:K,11,)</f>
        <v>May</v>
      </c>
      <c r="AB81" s="24" t="s">
        <v>2160</v>
      </c>
      <c r="AC81" s="138" t="str">
        <f>PROPER(LEFT(TRIM(F81), 3)) &amp; RIGHT(TRIM(B81), 3) &amp; PROPER(LEFT(TRIM(I81), 2))</f>
        <v>Roh003De</v>
      </c>
      <c r="AD81" s="154">
        <f t="shared" ca="1" si="4"/>
        <v>44</v>
      </c>
      <c r="AE81" s="154">
        <f>IFERROR(IF(OR(E81="", D81="", LOWER(TRIM(E81))="pending", LOWER(TRIM(D81))="pending"), "Pending", E81 - D81), "Pending")</f>
        <v>4</v>
      </c>
      <c r="AF81" s="138" t="str">
        <f>IFERROR(IF(OR(E81="", D81="","Pending","Pending"), "Pending", IF((E81 - D81) &lt;= 5, "On Time", "Delayed")), "Pending")</f>
        <v>On Time</v>
      </c>
      <c r="AG81" s="24" t="str">
        <f t="shared" si="5"/>
        <v>Completed</v>
      </c>
    </row>
    <row r="82" spans="1:33">
      <c r="A82" s="24" t="s">
        <v>511</v>
      </c>
      <c r="B82" s="24" t="s">
        <v>327</v>
      </c>
      <c r="C82" s="24" t="s">
        <v>259</v>
      </c>
      <c r="D82" s="30">
        <v>45658</v>
      </c>
      <c r="E82" s="30" t="s">
        <v>513</v>
      </c>
      <c r="F82" s="24" t="str">
        <f>VLOOKUP(B82,Custumer_Master!A:D,2,FALSE)</f>
        <v>Amit Sharma</v>
      </c>
      <c r="G82" s="24" t="str">
        <f>VLOOKUP($B82,Custumer_Master!$A:$J,6,FALSE)</f>
        <v>Male</v>
      </c>
      <c r="H82" s="30" t="str">
        <f>VLOOKUP($B82,Custumer_Master!$A:$J,7,FALSE)</f>
        <v>09/08/1991</v>
      </c>
      <c r="I82" s="24" t="str">
        <f>VLOOKUP($B82,Custumer_Master!$A:$J,9,FALSE)</f>
        <v>Pune</v>
      </c>
      <c r="J82" s="24" t="str">
        <f>VLOOKUP($B82,Custumer_Master!$A:$J,10,FALSE)</f>
        <v>West</v>
      </c>
      <c r="K82" s="24" t="str">
        <f>VLOOKUP(B82,Custumer_Master!A:D,4,FALSE)</f>
        <v>RJ</v>
      </c>
      <c r="L82" s="24" t="str">
        <f>PROPER(TRIM(VLOOKUP('Final Data'!C82,Product_Master!A:F,3,FALSE)))</f>
        <v>Stationery</v>
      </c>
      <c r="M82" s="24" t="s">
        <v>263</v>
      </c>
      <c r="N82" s="34">
        <v>10</v>
      </c>
      <c r="O82" s="192">
        <f>VLOOKUP(C82,Product_Master!A:F,5,FALSE)</f>
        <v>33.75</v>
      </c>
      <c r="P82" s="33">
        <v>0.15</v>
      </c>
      <c r="Q82" s="34">
        <f t="shared" si="3"/>
        <v>286.875</v>
      </c>
      <c r="R82" s="34">
        <v>3</v>
      </c>
      <c r="S82" s="24" t="s">
        <v>2148</v>
      </c>
      <c r="T82" s="24" t="s">
        <v>35</v>
      </c>
      <c r="U82" s="24" t="s">
        <v>332</v>
      </c>
      <c r="V82" s="34">
        <v>9723450355</v>
      </c>
      <c r="W82" s="24" t="str">
        <f>VLOOKUP(C82,Product_Master!A:F,4,FALSE)</f>
        <v>TechHub</v>
      </c>
      <c r="X82" s="34">
        <f>VLOOKUP(C82,Product_Master!A:F,6,FALSE)</f>
        <v>12</v>
      </c>
      <c r="Y82" s="24" t="str">
        <f>VLOOKUP(B82,Custumer_Master!A:D,3,FALSE)</f>
        <v>Silver</v>
      </c>
      <c r="Z82" s="30">
        <f>EDATE(E82,X82)</f>
        <v>46029</v>
      </c>
      <c r="AA82" s="29" t="str">
        <f>VLOOKUP(B82,Custumer_Master!A:K,11,)</f>
        <v>August</v>
      </c>
      <c r="AB82" s="24" t="s">
        <v>2108</v>
      </c>
      <c r="AC82" s="138" t="str">
        <f>PROPER(LEFT(TRIM(F82), 3)) &amp; RIGHT(TRIM(B82), 3) &amp; PROPER(LEFT(TRIM(I82), 2))</f>
        <v>Ami001Pu</v>
      </c>
      <c r="AD82" s="154">
        <f t="shared" ca="1" si="4"/>
        <v>34</v>
      </c>
      <c r="AE82" s="154">
        <f>IFERROR(IF(OR(E82="", D82="", LOWER(TRIM(E82))="pending", LOWER(TRIM(D82))="pending"), "Pending", E82 - D82), "Pending")</f>
        <v>6</v>
      </c>
      <c r="AF82" s="138" t="str">
        <f>IFERROR(IF(OR(E82="", D82="","Pending","Pending"), "Pending", IF((E82 - D82) &lt;= 5, "On Time", "Delayed")), "Pending")</f>
        <v>Delayed</v>
      </c>
      <c r="AG82" s="24" t="str">
        <f t="shared" si="5"/>
        <v>Completed</v>
      </c>
    </row>
    <row r="83" spans="1:33">
      <c r="A83" s="24" t="s">
        <v>516</v>
      </c>
      <c r="B83" s="24" t="s">
        <v>221</v>
      </c>
      <c r="C83" s="24" t="s">
        <v>92</v>
      </c>
      <c r="D83" s="30">
        <v>46137</v>
      </c>
      <c r="E83" s="30" t="s">
        <v>518</v>
      </c>
      <c r="F83" s="24" t="str">
        <f>VLOOKUP(B83,Custumer_Master!A:D,2,FALSE)</f>
        <v>Vikas Mehta</v>
      </c>
      <c r="G83" s="24" t="str">
        <f>VLOOKUP($B83,Custumer_Master!$A:$J,6,FALSE)</f>
        <v>Male</v>
      </c>
      <c r="H83" s="30" t="str">
        <f>VLOOKUP($B83,Custumer_Master!$A:$J,7,FALSE)</f>
        <v>03/08/1991</v>
      </c>
      <c r="I83" s="24" t="str">
        <f>VLOOKUP($B83,Custumer_Master!$A:$J,9,FALSE)</f>
        <v>Mumbai</v>
      </c>
      <c r="J83" s="24" t="str">
        <f>VLOOKUP($B83,Custumer_Master!$A:$J,10,FALSE)</f>
        <v>West</v>
      </c>
      <c r="K83" s="24" t="str">
        <f>VLOOKUP(B83,Custumer_Master!A:D,4,FALSE)</f>
        <v>DL</v>
      </c>
      <c r="L83" s="24" t="str">
        <f>PROPER(TRIM(VLOOKUP('Final Data'!C83,Product_Master!A:F,3,FALSE)))</f>
        <v>Home Appliances</v>
      </c>
      <c r="M83" s="24" t="s">
        <v>97</v>
      </c>
      <c r="N83" s="34">
        <v>12</v>
      </c>
      <c r="O83" s="192">
        <f>VLOOKUP(C83,Product_Master!A:F,5,FALSE)</f>
        <v>2625</v>
      </c>
      <c r="P83" s="33">
        <v>0.05</v>
      </c>
      <c r="Q83" s="34">
        <f t="shared" si="3"/>
        <v>29925</v>
      </c>
      <c r="R83" s="34">
        <v>3</v>
      </c>
      <c r="S83" s="24" t="s">
        <v>2148</v>
      </c>
      <c r="T83" s="24" t="s">
        <v>61</v>
      </c>
      <c r="U83" s="24" t="s">
        <v>228</v>
      </c>
      <c r="V83" s="34">
        <v>9886243907</v>
      </c>
      <c r="W83" s="24" t="str">
        <f>VLOOKUP(C83,Product_Master!A:F,4,FALSE)</f>
        <v>Global Trade</v>
      </c>
      <c r="X83" s="34">
        <f>VLOOKUP(C83,Product_Master!A:F,6,FALSE)</f>
        <v>6</v>
      </c>
      <c r="Y83" s="24" t="str">
        <f>VLOOKUP(B83,Custumer_Master!A:D,3,FALSE)</f>
        <v>Gold</v>
      </c>
      <c r="Z83" s="30">
        <f>EDATE(E83,X83)</f>
        <v>46329</v>
      </c>
      <c r="AA83" s="29" t="str">
        <f>VLOOKUP(B83,Custumer_Master!A:K,11,)</f>
        <v>August</v>
      </c>
      <c r="AB83" s="24" t="s">
        <v>2108</v>
      </c>
      <c r="AC83" s="138" t="str">
        <f>PROPER(LEFT(TRIM(F83), 3)) &amp; RIGHT(TRIM(B83), 3) &amp; PROPER(LEFT(TRIM(I83), 2))</f>
        <v>Vik005Mu</v>
      </c>
      <c r="AD83" s="154">
        <f t="shared" ca="1" si="4"/>
        <v>34</v>
      </c>
      <c r="AE83" s="154">
        <f>IFERROR(IF(OR(E83="", D83="", LOWER(TRIM(E83))="pending", LOWER(TRIM(D83))="pending"), "Pending", E83 - D83), "Pending")</f>
        <v>8</v>
      </c>
      <c r="AF83" s="138" t="str">
        <f>IFERROR(IF(OR(E83="", D83="","Pending","Pending"), "Pending", IF((E83 - D83) &lt;= 5, "On Time", "Delayed")), "Pending")</f>
        <v>Delayed</v>
      </c>
      <c r="AG83" s="24" t="str">
        <f t="shared" si="5"/>
        <v>Completed</v>
      </c>
    </row>
    <row r="84" spans="1:33">
      <c r="A84" s="24" t="s">
        <v>521</v>
      </c>
      <c r="B84" s="24" t="s">
        <v>127</v>
      </c>
      <c r="C84" s="24" t="s">
        <v>118</v>
      </c>
      <c r="D84" s="30">
        <v>45919</v>
      </c>
      <c r="E84" s="30" t="s">
        <v>73</v>
      </c>
      <c r="F84" s="24" t="str">
        <f>VLOOKUP(B84,Custumer_Master!A:D,2,FALSE)</f>
        <v>Rohit Singh</v>
      </c>
      <c r="G84" s="24" t="str">
        <f>VLOOKUP($B84,Custumer_Master!$A:$J,6,FALSE)</f>
        <v>Male</v>
      </c>
      <c r="H84" s="30" t="str">
        <f>VLOOKUP($B84,Custumer_Master!$A:$J,7,FALSE)</f>
        <v>10/05/1982</v>
      </c>
      <c r="I84" s="24" t="str">
        <f>VLOOKUP($B84,Custumer_Master!$A:$J,9,FALSE)</f>
        <v>Delhi</v>
      </c>
      <c r="J84" s="24" t="str">
        <f>VLOOKUP($B84,Custumer_Master!$A:$J,10,FALSE)</f>
        <v>North</v>
      </c>
      <c r="K84" s="24" t="str">
        <f>VLOOKUP(B84,Custumer_Master!A:D,4,FALSE)</f>
        <v>DL</v>
      </c>
      <c r="L84" s="24" t="str">
        <f>PROPER(TRIM(VLOOKUP('Final Data'!C84,Product_Master!A:F,3,FALSE)))</f>
        <v>Stationery</v>
      </c>
      <c r="M84" s="24" t="s">
        <v>123</v>
      </c>
      <c r="N84" s="34">
        <v>2</v>
      </c>
      <c r="O84" s="192">
        <f>VLOOKUP(C84,Product_Master!A:F,5,FALSE)</f>
        <v>45</v>
      </c>
      <c r="P84" s="33">
        <v>0.15</v>
      </c>
      <c r="Q84" s="34">
        <f t="shared" si="3"/>
        <v>76.5</v>
      </c>
      <c r="R84" s="34">
        <v>1</v>
      </c>
      <c r="S84" s="24" t="s">
        <v>2149</v>
      </c>
      <c r="T84" s="24" t="s">
        <v>115</v>
      </c>
      <c r="U84" s="24" t="s">
        <v>132</v>
      </c>
      <c r="V84" s="34">
        <v>9473931904</v>
      </c>
      <c r="W84" s="24" t="str">
        <f>VLOOKUP(C84,Product_Master!A:F,4,FALSE)</f>
        <v>ABC Corp</v>
      </c>
      <c r="X84" s="34">
        <f>VLOOKUP(C84,Product_Master!A:F,6,FALSE)</f>
        <v>12</v>
      </c>
      <c r="Y84" s="24" t="str">
        <f>VLOOKUP(B84,Custumer_Master!A:D,3,FALSE)</f>
        <v>Gold</v>
      </c>
      <c r="Z84" s="30">
        <f>EDATE(E84,X84)</f>
        <v>46292</v>
      </c>
      <c r="AA84" s="29" t="str">
        <f>VLOOKUP(B84,Custumer_Master!A:K,11,)</f>
        <v>May</v>
      </c>
      <c r="AB84" s="24" t="s">
        <v>2160</v>
      </c>
      <c r="AC84" s="138" t="str">
        <f>PROPER(LEFT(TRIM(F84), 3)) &amp; RIGHT(TRIM(B84), 3) &amp; PROPER(LEFT(TRIM(I84), 2))</f>
        <v>Roh003De</v>
      </c>
      <c r="AD84" s="154">
        <f t="shared" ca="1" si="4"/>
        <v>44</v>
      </c>
      <c r="AE84" s="154">
        <f>IFERROR(IF(OR(E84="", D84="", LOWER(TRIM(E84))="pending", LOWER(TRIM(D84))="pending"), "Pending", E84 - D84), "Pending")</f>
        <v>8</v>
      </c>
      <c r="AF84" s="138" t="str">
        <f>IFERROR(IF(OR(E84="", D84="","Pending","Pending"), "Pending", IF((E84 - D84) &lt;= 5, "On Time", "Delayed")), "Pending")</f>
        <v>Delayed</v>
      </c>
      <c r="AG84" s="24" t="str">
        <f t="shared" si="5"/>
        <v>Completed</v>
      </c>
    </row>
    <row r="85" spans="1:33">
      <c r="A85" s="24" t="s">
        <v>524</v>
      </c>
      <c r="B85" s="24" t="s">
        <v>127</v>
      </c>
      <c r="C85" s="24" t="s">
        <v>72</v>
      </c>
      <c r="D85" s="30">
        <v>45734</v>
      </c>
      <c r="E85" s="30" t="s">
        <v>526</v>
      </c>
      <c r="F85" s="24" t="str">
        <f>VLOOKUP(B85,Custumer_Master!A:D,2,FALSE)</f>
        <v>Rohit Singh</v>
      </c>
      <c r="G85" s="24" t="str">
        <f>VLOOKUP($B85,Custumer_Master!$A:$J,6,FALSE)</f>
        <v>Male</v>
      </c>
      <c r="H85" s="30" t="str">
        <f>VLOOKUP($B85,Custumer_Master!$A:$J,7,FALSE)</f>
        <v>10/05/1982</v>
      </c>
      <c r="I85" s="24" t="str">
        <f>VLOOKUP($B85,Custumer_Master!$A:$J,9,FALSE)</f>
        <v>Delhi</v>
      </c>
      <c r="J85" s="24" t="str">
        <f>VLOOKUP($B85,Custumer_Master!$A:$J,10,FALSE)</f>
        <v>North</v>
      </c>
      <c r="K85" s="24" t="str">
        <f>VLOOKUP(B85,Custumer_Master!A:D,4,FALSE)</f>
        <v>DL</v>
      </c>
      <c r="L85" s="24" t="str">
        <f>PROPER(TRIM(VLOOKUP('Final Data'!C85,Product_Master!A:F,3,FALSE)))</f>
        <v>Electronics</v>
      </c>
      <c r="M85" s="24" t="s">
        <v>78</v>
      </c>
      <c r="N85" s="34">
        <v>18</v>
      </c>
      <c r="O85" s="192">
        <f>VLOOKUP(C85,Product_Master!A:F,5,FALSE)</f>
        <v>900</v>
      </c>
      <c r="P85" s="33">
        <v>0.15</v>
      </c>
      <c r="Q85" s="34">
        <f t="shared" si="3"/>
        <v>13770</v>
      </c>
      <c r="R85" s="34">
        <v>3</v>
      </c>
      <c r="S85" s="24" t="s">
        <v>79</v>
      </c>
      <c r="T85" s="24" t="s">
        <v>115</v>
      </c>
      <c r="U85" s="24" t="s">
        <v>132</v>
      </c>
      <c r="V85" s="34">
        <v>9287159610</v>
      </c>
      <c r="W85" s="24" t="str">
        <f>VLOOKUP(C85,Product_Master!A:F,4,FALSE)</f>
        <v>TechHub</v>
      </c>
      <c r="X85" s="34">
        <f>VLOOKUP(C85,Product_Master!A:F,6,FALSE)</f>
        <v>6</v>
      </c>
      <c r="Y85" s="24" t="str">
        <f>VLOOKUP(B85,Custumer_Master!A:D,3,FALSE)</f>
        <v>Gold</v>
      </c>
      <c r="Z85" s="30">
        <f>EDATE(E85,X85)</f>
        <v>45921</v>
      </c>
      <c r="AA85" s="29" t="str">
        <f>VLOOKUP(B85,Custumer_Master!A:K,11,)</f>
        <v>May</v>
      </c>
      <c r="AB85" s="24" t="s">
        <v>2108</v>
      </c>
      <c r="AC85" s="138" t="str">
        <f>PROPER(LEFT(TRIM(F85), 3)) &amp; RIGHT(TRIM(B85), 3) &amp; PROPER(LEFT(TRIM(I85), 2))</f>
        <v>Roh003De</v>
      </c>
      <c r="AD85" s="154">
        <f t="shared" ca="1" si="4"/>
        <v>44</v>
      </c>
      <c r="AE85" s="154">
        <f>IFERROR(IF(OR(E85="", D85="", LOWER(TRIM(E85))="pending", LOWER(TRIM(D85))="pending"), "Pending", E85 - D85), "Pending")</f>
        <v>3</v>
      </c>
      <c r="AF85" s="138" t="str">
        <f>IFERROR(IF(OR(E85="", D85="","Pending","Pending"), "Pending", IF((E85 - D85) &lt;= 5, "On Time", "Delayed")), "Pending")</f>
        <v>On Time</v>
      </c>
      <c r="AG85" s="24" t="str">
        <f t="shared" si="5"/>
        <v>Completed</v>
      </c>
    </row>
    <row r="86" spans="1:33">
      <c r="A86" s="24" t="s">
        <v>529</v>
      </c>
      <c r="B86" s="24" t="s">
        <v>23</v>
      </c>
      <c r="C86" s="24" t="s">
        <v>40</v>
      </c>
      <c r="D86" s="30">
        <v>45960</v>
      </c>
      <c r="E86" s="30" t="s">
        <v>531</v>
      </c>
      <c r="F86" s="24" t="str">
        <f>VLOOKUP(B86,Custumer_Master!A:D,2,FALSE)</f>
        <v>Kavya Nair</v>
      </c>
      <c r="G86" s="24" t="str">
        <f>VLOOKUP($B86,Custumer_Master!$A:$J,6,FALSE)</f>
        <v>Female</v>
      </c>
      <c r="H86" s="30" t="str">
        <f>VLOOKUP($B86,Custumer_Master!$A:$J,7,FALSE)</f>
        <v>01/08/1976</v>
      </c>
      <c r="I86" s="24" t="str">
        <f>VLOOKUP($B86,Custumer_Master!$A:$J,9,FALSE)</f>
        <v>Hyderabad</v>
      </c>
      <c r="J86" s="24" t="str">
        <f>VLOOKUP($B86,Custumer_Master!$A:$J,10,FALSE)</f>
        <v>South</v>
      </c>
      <c r="K86" s="24" t="str">
        <f>VLOOKUP(B86,Custumer_Master!A:D,4,FALSE)</f>
        <v>WB</v>
      </c>
      <c r="L86" s="24" t="str">
        <f>PROPER(TRIM(VLOOKUP('Final Data'!C86,Product_Master!A:F,3,FALSE)))</f>
        <v>Electronics</v>
      </c>
      <c r="M86" s="24" t="s">
        <v>47</v>
      </c>
      <c r="N86" s="34">
        <v>18</v>
      </c>
      <c r="O86" s="192">
        <f>VLOOKUP(C86,Product_Master!A:F,5,FALSE)</f>
        <v>9000</v>
      </c>
      <c r="P86" s="33">
        <v>0.15</v>
      </c>
      <c r="Q86" s="34">
        <f t="shared" si="3"/>
        <v>137700</v>
      </c>
      <c r="R86" s="34">
        <v>2</v>
      </c>
      <c r="S86" s="24" t="s">
        <v>34</v>
      </c>
      <c r="T86" s="24" t="s">
        <v>49</v>
      </c>
      <c r="U86" s="24" t="s">
        <v>50</v>
      </c>
      <c r="V86" s="34">
        <v>9876513858</v>
      </c>
      <c r="W86" s="24" t="str">
        <f>VLOOKUP(C86,Product_Master!A:F,4,FALSE)</f>
        <v>Global Trade</v>
      </c>
      <c r="X86" s="34">
        <f>VLOOKUP(C86,Product_Master!A:F,6,FALSE)</f>
        <v>24</v>
      </c>
      <c r="Y86" s="24" t="str">
        <f>VLOOKUP(B86,Custumer_Master!A:D,3,FALSE)</f>
        <v>Silver</v>
      </c>
      <c r="Z86" s="30">
        <f>EDATE(E86,X86)</f>
        <v>46691</v>
      </c>
      <c r="AA86" s="29" t="str">
        <f>VLOOKUP(B86,Custumer_Master!A:K,11,)</f>
        <v>August</v>
      </c>
      <c r="AB86" s="24" t="s">
        <v>2160</v>
      </c>
      <c r="AC86" s="138" t="str">
        <f>PROPER(LEFT(TRIM(F86), 3)) &amp; RIGHT(TRIM(B86), 3) &amp; PROPER(LEFT(TRIM(I86), 2))</f>
        <v>Kav008Hy</v>
      </c>
      <c r="AD86" s="154">
        <f t="shared" ca="1" si="4"/>
        <v>49</v>
      </c>
      <c r="AE86" s="154">
        <f>IFERROR(IF(OR(E86="", D86="", LOWER(TRIM(E86))="pending", LOWER(TRIM(D86))="pending"), "Pending", E86 - D86), "Pending")</f>
        <v>1</v>
      </c>
      <c r="AF86" s="138" t="str">
        <f>IFERROR(IF(OR(E86="", D86="","Pending","Pending"), "Pending", IF((E86 - D86) &lt;= 5, "On Time", "Delayed")), "Pending")</f>
        <v>On Time</v>
      </c>
      <c r="AG86" s="24" t="str">
        <f t="shared" si="5"/>
        <v>Completed</v>
      </c>
    </row>
    <row r="87" spans="1:33">
      <c r="A87" s="24" t="s">
        <v>534</v>
      </c>
      <c r="B87" s="24" t="s">
        <v>83</v>
      </c>
      <c r="C87" s="24" t="s">
        <v>222</v>
      </c>
      <c r="D87" s="30">
        <v>45961</v>
      </c>
      <c r="E87" s="30" t="s">
        <v>535</v>
      </c>
      <c r="F87" s="24" t="str">
        <f>VLOOKUP(B87,Custumer_Master!A:D,2,FALSE)</f>
        <v>Arjun Rao</v>
      </c>
      <c r="G87" s="24" t="str">
        <f>VLOOKUP($B87,Custumer_Master!$A:$J,6,FALSE)</f>
        <v>Male</v>
      </c>
      <c r="H87" s="30" t="str">
        <f>VLOOKUP($B87,Custumer_Master!$A:$J,7,FALSE)</f>
        <v>07/02/1988</v>
      </c>
      <c r="I87" s="24" t="str">
        <f>VLOOKUP($B87,Custumer_Master!$A:$J,9,FALSE)</f>
        <v>Hyderabad</v>
      </c>
      <c r="J87" s="24" t="str">
        <f>VLOOKUP($B87,Custumer_Master!$A:$J,10,FALSE)</f>
        <v>South</v>
      </c>
      <c r="K87" s="24" t="str">
        <f>VLOOKUP(B87,Custumer_Master!A:D,4,FALSE)</f>
        <v>RJ</v>
      </c>
      <c r="L87" s="24" t="str">
        <f>PROPER(TRIM(VLOOKUP('Final Data'!C87,Product_Master!A:F,3,FALSE)))</f>
        <v>Stationery</v>
      </c>
      <c r="M87" s="24" t="s">
        <v>227</v>
      </c>
      <c r="N87" s="34">
        <v>7</v>
      </c>
      <c r="O87" s="192">
        <f>VLOOKUP(C87,Product_Master!A:F,5,FALSE)</f>
        <v>15</v>
      </c>
      <c r="P87" s="33">
        <v>0</v>
      </c>
      <c r="Q87" s="34">
        <f t="shared" si="3"/>
        <v>105</v>
      </c>
      <c r="R87" s="34">
        <v>2</v>
      </c>
      <c r="S87" s="24" t="s">
        <v>79</v>
      </c>
      <c r="T87" s="24" t="s">
        <v>35</v>
      </c>
      <c r="U87" s="24" t="s">
        <v>89</v>
      </c>
      <c r="V87" s="34">
        <v>9237400853</v>
      </c>
      <c r="W87" s="24" t="str">
        <f>VLOOKUP(C87,Product_Master!A:F,4,FALSE)</f>
        <v>Prime Supplies</v>
      </c>
      <c r="X87" s="34">
        <f>VLOOKUP(C87,Product_Master!A:F,6,FALSE)</f>
        <v>12</v>
      </c>
      <c r="Y87" s="24" t="str">
        <f>VLOOKUP(B87,Custumer_Master!A:D,3,FALSE)</f>
        <v>Silver</v>
      </c>
      <c r="Z87" s="30">
        <f>EDATE(E87,X87)</f>
        <v>46337</v>
      </c>
      <c r="AA87" s="29" t="str">
        <f>VLOOKUP(B87,Custumer_Master!A:K,11,)</f>
        <v>February</v>
      </c>
      <c r="AB87" s="24" t="s">
        <v>2160</v>
      </c>
      <c r="AC87" s="138" t="str">
        <f>PROPER(LEFT(TRIM(F87), 3)) &amp; RIGHT(TRIM(B87), 3) &amp; PROPER(LEFT(TRIM(I87), 2))</f>
        <v>Arj007Hy</v>
      </c>
      <c r="AD87" s="154">
        <f t="shared" ca="1" si="4"/>
        <v>38</v>
      </c>
      <c r="AE87" s="154">
        <f>IFERROR(IF(OR(E87="", D87="", LOWER(TRIM(E87))="pending", LOWER(TRIM(D87))="pending"), "Pending", E87 - D87), "Pending")</f>
        <v>11</v>
      </c>
      <c r="AF87" s="138" t="str">
        <f>IFERROR(IF(OR(E87="", D87="","Pending","Pending"), "Pending", IF((E87 - D87) &lt;= 5, "On Time", "Delayed")), "Pending")</f>
        <v>Delayed</v>
      </c>
      <c r="AG87" s="24" t="str">
        <f t="shared" si="5"/>
        <v>Completed</v>
      </c>
    </row>
    <row r="88" spans="1:33">
      <c r="A88" s="24" t="s">
        <v>538</v>
      </c>
      <c r="B88" s="24" t="s">
        <v>251</v>
      </c>
      <c r="C88" s="24" t="s">
        <v>92</v>
      </c>
      <c r="D88" s="30">
        <v>45757</v>
      </c>
      <c r="E88" s="30" t="s">
        <v>539</v>
      </c>
      <c r="F88" s="24" t="str">
        <f>VLOOKUP(B88,Custumer_Master!A:D,2,FALSE)</f>
        <v>Sneha Joshi</v>
      </c>
      <c r="G88" s="24" t="str">
        <f>VLOOKUP($B88,Custumer_Master!$A:$J,6,FALSE)</f>
        <v>Female</v>
      </c>
      <c r="H88" s="30" t="str">
        <f>VLOOKUP($B88,Custumer_Master!$A:$J,7,FALSE)</f>
        <v>04/04/1981</v>
      </c>
      <c r="I88" s="24" t="str">
        <f>VLOOKUP($B88,Custumer_Master!$A:$J,9,FALSE)</f>
        <v>Pune</v>
      </c>
      <c r="J88" s="24" t="str">
        <f>VLOOKUP($B88,Custumer_Master!$A:$J,10,FALSE)</f>
        <v>West</v>
      </c>
      <c r="K88" s="24" t="str">
        <f>VLOOKUP(B88,Custumer_Master!A:D,4,FALSE)</f>
        <v>WB</v>
      </c>
      <c r="L88" s="24" t="str">
        <f>PROPER(TRIM(VLOOKUP('Final Data'!C88,Product_Master!A:F,3,FALSE)))</f>
        <v>Home Appliances</v>
      </c>
      <c r="M88" s="24" t="s">
        <v>97</v>
      </c>
      <c r="N88" s="34">
        <v>20</v>
      </c>
      <c r="O88" s="192">
        <f>VLOOKUP(C88,Product_Master!A:F,5,FALSE)</f>
        <v>2625</v>
      </c>
      <c r="P88" s="33">
        <v>0.2</v>
      </c>
      <c r="Q88" s="34">
        <f t="shared" si="3"/>
        <v>42000</v>
      </c>
      <c r="R88" s="34">
        <v>4</v>
      </c>
      <c r="S88" s="24" t="s">
        <v>79</v>
      </c>
      <c r="T88" s="24" t="s">
        <v>115</v>
      </c>
      <c r="U88" s="24" t="s">
        <v>256</v>
      </c>
      <c r="V88" s="34">
        <v>9599597595</v>
      </c>
      <c r="W88" s="24" t="str">
        <f>VLOOKUP(C88,Product_Master!A:F,4,FALSE)</f>
        <v>Global Trade</v>
      </c>
      <c r="X88" s="34">
        <f>VLOOKUP(C88,Product_Master!A:F,6,FALSE)</f>
        <v>6</v>
      </c>
      <c r="Y88" s="24" t="str">
        <f>VLOOKUP(B88,Custumer_Master!A:D,3,FALSE)</f>
        <v>Gold</v>
      </c>
      <c r="Z88" s="30">
        <f>EDATE(E88,X88)</f>
        <v>45948</v>
      </c>
      <c r="AA88" s="29" t="str">
        <f>VLOOKUP(B88,Custumer_Master!A:K,11,)</f>
        <v>April</v>
      </c>
      <c r="AB88" s="24" t="s">
        <v>2108</v>
      </c>
      <c r="AC88" s="138" t="str">
        <f>PROPER(LEFT(TRIM(F88), 3)) &amp; RIGHT(TRIM(B88), 3) &amp; PROPER(LEFT(TRIM(I88), 2))</f>
        <v>Sne006Pu</v>
      </c>
      <c r="AD88" s="154">
        <f t="shared" ca="1" si="4"/>
        <v>45</v>
      </c>
      <c r="AE88" s="154">
        <f>IFERROR(IF(OR(E88="", D88="", LOWER(TRIM(E88))="pending", LOWER(TRIM(D88))="pending"), "Pending", E88 - D88), "Pending")</f>
        <v>8</v>
      </c>
      <c r="AF88" s="138" t="str">
        <f>IFERROR(IF(OR(E88="", D88="","Pending","Pending"), "Pending", IF((E88 - D88) &lt;= 5, "On Time", "Delayed")), "Pending")</f>
        <v>Delayed</v>
      </c>
      <c r="AG88" s="24" t="str">
        <f t="shared" si="5"/>
        <v>Completed</v>
      </c>
    </row>
    <row r="89" spans="1:33">
      <c r="A89" s="24" t="s">
        <v>542</v>
      </c>
      <c r="B89" s="24" t="s">
        <v>100</v>
      </c>
      <c r="C89" s="24" t="s">
        <v>169</v>
      </c>
      <c r="D89" s="30">
        <v>46097</v>
      </c>
      <c r="E89" s="30" t="s">
        <v>544</v>
      </c>
      <c r="F89" s="24" t="str">
        <f>VLOOKUP(B89,Custumer_Master!A:D,2,FALSE)</f>
        <v>Priya Patel</v>
      </c>
      <c r="G89" s="24" t="str">
        <f>VLOOKUP($B89,Custumer_Master!$A:$J,6,FALSE)</f>
        <v>Female</v>
      </c>
      <c r="H89" s="30" t="str">
        <f>VLOOKUP($B89,Custumer_Master!$A:$J,7,FALSE)</f>
        <v>07/03/1995</v>
      </c>
      <c r="I89" s="24" t="str">
        <f>VLOOKUP($B89,Custumer_Master!$A:$J,9,FALSE)</f>
        <v>Mumbai</v>
      </c>
      <c r="J89" s="24" t="str">
        <f>VLOOKUP($B89,Custumer_Master!$A:$J,10,FALSE)</f>
        <v>West</v>
      </c>
      <c r="K89" s="24" t="str">
        <f>VLOOKUP(B89,Custumer_Master!A:D,4,FALSE)</f>
        <v>WB</v>
      </c>
      <c r="L89" s="24" t="str">
        <f>PROPER(TRIM(VLOOKUP('Final Data'!C89,Product_Master!A:F,3,FALSE)))</f>
        <v>Home Appliances</v>
      </c>
      <c r="M89" s="24" t="s">
        <v>174</v>
      </c>
      <c r="N89" s="34">
        <v>8</v>
      </c>
      <c r="O89" s="192">
        <f>VLOOKUP(C89,Product_Master!A:F,5,FALSE)</f>
        <v>6375</v>
      </c>
      <c r="P89" s="33">
        <v>0.2</v>
      </c>
      <c r="Q89" s="34">
        <f t="shared" si="3"/>
        <v>40800</v>
      </c>
      <c r="R89" s="34">
        <v>3</v>
      </c>
      <c r="S89" s="24" t="s">
        <v>79</v>
      </c>
      <c r="T89" s="24" t="s">
        <v>115</v>
      </c>
      <c r="U89" s="24" t="s">
        <v>144</v>
      </c>
      <c r="V89" s="34">
        <v>9230007509</v>
      </c>
      <c r="W89" s="24" t="str">
        <f>VLOOKUP(C89,Product_Master!A:F,4,FALSE)</f>
        <v>TechHub</v>
      </c>
      <c r="X89" s="34">
        <f>VLOOKUP(C89,Product_Master!A:F,6,FALSE)</f>
        <v>24</v>
      </c>
      <c r="Y89" s="24" t="str">
        <f>VLOOKUP(B89,Custumer_Master!A:D,3,FALSE)</f>
        <v>Platinum</v>
      </c>
      <c r="Z89" s="30">
        <f>EDATE(E89,X89)</f>
        <v>46838</v>
      </c>
      <c r="AA89" s="29" t="str">
        <f>VLOOKUP(B89,Custumer_Master!A:K,11,)</f>
        <v>March</v>
      </c>
      <c r="AB89" s="24" t="s">
        <v>2108</v>
      </c>
      <c r="AC89" s="138" t="str">
        <f>PROPER(LEFT(TRIM(F89), 3)) &amp; RIGHT(TRIM(B89), 3) &amp; PROPER(LEFT(TRIM(I89), 2))</f>
        <v>Pri002Mu</v>
      </c>
      <c r="AD89" s="154">
        <f t="shared" ca="1" si="4"/>
        <v>31</v>
      </c>
      <c r="AE89" s="154">
        <f>IFERROR(IF(OR(E89="", D89="", LOWER(TRIM(E89))="pending", LOWER(TRIM(D89))="pending"), "Pending", E89 - D89), "Pending")</f>
        <v>10</v>
      </c>
      <c r="AF89" s="138" t="str">
        <f>IFERROR(IF(OR(E89="", D89="","Pending","Pending"), "Pending", IF((E89 - D89) &lt;= 5, "On Time", "Delayed")), "Pending")</f>
        <v>Delayed</v>
      </c>
      <c r="AG89" s="24" t="str">
        <f t="shared" si="5"/>
        <v>Completed</v>
      </c>
    </row>
    <row r="90" spans="1:33">
      <c r="A90" s="24" t="s">
        <v>547</v>
      </c>
      <c r="B90" s="24" t="s">
        <v>327</v>
      </c>
      <c r="C90" s="24" t="s">
        <v>40</v>
      </c>
      <c r="D90" s="30">
        <v>45915</v>
      </c>
      <c r="E90" s="30" t="s">
        <v>549</v>
      </c>
      <c r="F90" s="24" t="str">
        <f>VLOOKUP(B90,Custumer_Master!A:D,2,FALSE)</f>
        <v>Amit Sharma</v>
      </c>
      <c r="G90" s="24" t="str">
        <f>VLOOKUP($B90,Custumer_Master!$A:$J,6,FALSE)</f>
        <v>Male</v>
      </c>
      <c r="H90" s="30" t="str">
        <f>VLOOKUP($B90,Custumer_Master!$A:$J,7,FALSE)</f>
        <v>09/08/1991</v>
      </c>
      <c r="I90" s="24" t="str">
        <f>VLOOKUP($B90,Custumer_Master!$A:$J,9,FALSE)</f>
        <v>Pune</v>
      </c>
      <c r="J90" s="24" t="str">
        <f>VLOOKUP($B90,Custumer_Master!$A:$J,10,FALSE)</f>
        <v>West</v>
      </c>
      <c r="K90" s="24" t="str">
        <f>VLOOKUP(B90,Custumer_Master!A:D,4,FALSE)</f>
        <v>RJ</v>
      </c>
      <c r="L90" s="24" t="str">
        <f>PROPER(TRIM(VLOOKUP('Final Data'!C90,Product_Master!A:F,3,FALSE)))</f>
        <v>Electronics</v>
      </c>
      <c r="M90" s="24" t="s">
        <v>47</v>
      </c>
      <c r="N90" s="34">
        <v>6</v>
      </c>
      <c r="O90" s="192">
        <f>VLOOKUP(C90,Product_Master!A:F,5,FALSE)</f>
        <v>9000</v>
      </c>
      <c r="P90" s="33">
        <v>0.05</v>
      </c>
      <c r="Q90" s="34">
        <f t="shared" si="3"/>
        <v>51300</v>
      </c>
      <c r="R90" s="34">
        <v>4</v>
      </c>
      <c r="S90" s="24" t="s">
        <v>2148</v>
      </c>
      <c r="T90" s="24" t="s">
        <v>35</v>
      </c>
      <c r="U90" s="24" t="s">
        <v>332</v>
      </c>
      <c r="V90" s="34">
        <v>9823428025</v>
      </c>
      <c r="W90" s="24" t="str">
        <f>VLOOKUP(C90,Product_Master!A:F,4,FALSE)</f>
        <v>Global Trade</v>
      </c>
      <c r="X90" s="34">
        <f>VLOOKUP(C90,Product_Master!A:F,6,FALSE)</f>
        <v>24</v>
      </c>
      <c r="Y90" s="24" t="str">
        <f>VLOOKUP(B90,Custumer_Master!A:D,3,FALSE)</f>
        <v>Silver</v>
      </c>
      <c r="Z90" s="30">
        <f>EDATE(E90,X90)</f>
        <v>46654</v>
      </c>
      <c r="AA90" s="29" t="str">
        <f>VLOOKUP(B90,Custumer_Master!A:K,11,)</f>
        <v>August</v>
      </c>
      <c r="AB90" s="24" t="s">
        <v>2112</v>
      </c>
      <c r="AC90" s="138" t="str">
        <f>PROPER(LEFT(TRIM(F90), 3)) &amp; RIGHT(TRIM(B90), 3) &amp; PROPER(LEFT(TRIM(I90), 2))</f>
        <v>Ami001Pu</v>
      </c>
      <c r="AD90" s="154">
        <f t="shared" ca="1" si="4"/>
        <v>34</v>
      </c>
      <c r="AE90" s="154">
        <f>IFERROR(IF(OR(E90="", D90="", LOWER(TRIM(E90))="pending", LOWER(TRIM(D90))="pending"), "Pending", E90 - D90), "Pending")</f>
        <v>9</v>
      </c>
      <c r="AF90" s="138" t="str">
        <f>IFERROR(IF(OR(E90="", D90="","Pending","Pending"), "Pending", IF((E90 - D90) &lt;= 5, "On Time", "Delayed")), "Pending")</f>
        <v>Delayed</v>
      </c>
      <c r="AG90" s="24" t="str">
        <f t="shared" si="5"/>
        <v>Completed</v>
      </c>
    </row>
    <row r="91" spans="1:33">
      <c r="A91" s="24" t="s">
        <v>553</v>
      </c>
      <c r="B91" s="24" t="s">
        <v>23</v>
      </c>
      <c r="C91" s="24" t="s">
        <v>169</v>
      </c>
      <c r="D91" s="30">
        <v>46092</v>
      </c>
      <c r="E91" s="30" t="s">
        <v>404</v>
      </c>
      <c r="F91" s="24" t="str">
        <f>VLOOKUP(B91,Custumer_Master!A:D,2,FALSE)</f>
        <v>Kavya Nair</v>
      </c>
      <c r="G91" s="24" t="str">
        <f>VLOOKUP($B91,Custumer_Master!$A:$J,6,FALSE)</f>
        <v>Female</v>
      </c>
      <c r="H91" s="30" t="str">
        <f>VLOOKUP($B91,Custumer_Master!$A:$J,7,FALSE)</f>
        <v>01/08/1976</v>
      </c>
      <c r="I91" s="24" t="str">
        <f>VLOOKUP($B91,Custumer_Master!$A:$J,9,FALSE)</f>
        <v>Hyderabad</v>
      </c>
      <c r="J91" s="24" t="str">
        <f>VLOOKUP($B91,Custumer_Master!$A:$J,10,FALSE)</f>
        <v>South</v>
      </c>
      <c r="K91" s="24" t="str">
        <f>VLOOKUP(B91,Custumer_Master!A:D,4,FALSE)</f>
        <v>WB</v>
      </c>
      <c r="L91" s="24" t="str">
        <f>PROPER(TRIM(VLOOKUP('Final Data'!C91,Product_Master!A:F,3,FALSE)))</f>
        <v>Home Appliances</v>
      </c>
      <c r="M91" s="24" t="s">
        <v>174</v>
      </c>
      <c r="N91" s="34">
        <v>15</v>
      </c>
      <c r="O91" s="192">
        <f>VLOOKUP(C91,Product_Master!A:F,5,FALSE)</f>
        <v>6375</v>
      </c>
      <c r="P91" s="33">
        <v>0</v>
      </c>
      <c r="Q91" s="34">
        <f t="shared" si="3"/>
        <v>95625</v>
      </c>
      <c r="R91" s="34">
        <v>4</v>
      </c>
      <c r="S91" s="24" t="s">
        <v>2148</v>
      </c>
      <c r="T91" s="24" t="s">
        <v>35</v>
      </c>
      <c r="U91" s="24" t="s">
        <v>50</v>
      </c>
      <c r="V91" s="34">
        <v>9505048912</v>
      </c>
      <c r="W91" s="24" t="str">
        <f>VLOOKUP(C91,Product_Master!A:F,4,FALSE)</f>
        <v>TechHub</v>
      </c>
      <c r="X91" s="34">
        <f>VLOOKUP(C91,Product_Master!A:F,6,FALSE)</f>
        <v>24</v>
      </c>
      <c r="Y91" s="24" t="str">
        <f>VLOOKUP(B91,Custumer_Master!A:D,3,FALSE)</f>
        <v>Silver</v>
      </c>
      <c r="Z91" s="30">
        <f>EDATE(E91,X91)</f>
        <v>46831</v>
      </c>
      <c r="AA91" s="29" t="str">
        <f>VLOOKUP(B91,Custumer_Master!A:K,11,)</f>
        <v>August</v>
      </c>
      <c r="AB91" s="24" t="s">
        <v>2112</v>
      </c>
      <c r="AC91" s="138" t="str">
        <f>PROPER(LEFT(TRIM(F91), 3)) &amp; RIGHT(TRIM(B91), 3) &amp; PROPER(LEFT(TRIM(I91), 2))</f>
        <v>Kav008Hy</v>
      </c>
      <c r="AD91" s="154">
        <f t="shared" ca="1" si="4"/>
        <v>49</v>
      </c>
      <c r="AE91" s="154">
        <f>IFERROR(IF(OR(E91="", D91="", LOWER(TRIM(E91))="pending", LOWER(TRIM(D91))="pending"), "Pending", E91 - D91), "Pending")</f>
        <v>8</v>
      </c>
      <c r="AF91" s="138" t="str">
        <f>IFERROR(IF(OR(E91="", D91="","Pending","Pending"), "Pending", IF((E91 - D91) &lt;= 5, "On Time", "Delayed")), "Pending")</f>
        <v>Delayed</v>
      </c>
      <c r="AG91" s="24" t="str">
        <f t="shared" si="5"/>
        <v>Completed</v>
      </c>
    </row>
    <row r="92" spans="1:33">
      <c r="A92" s="24" t="s">
        <v>557</v>
      </c>
      <c r="B92" s="24" t="s">
        <v>53</v>
      </c>
      <c r="C92" s="24" t="s">
        <v>72</v>
      </c>
      <c r="D92" s="30">
        <v>45889</v>
      </c>
      <c r="E92" s="30" t="s">
        <v>377</v>
      </c>
      <c r="F92" s="24" t="str">
        <f>VLOOKUP(B92,Custumer_Master!A:D,2,FALSE)</f>
        <v>Pooja Shah</v>
      </c>
      <c r="G92" s="24" t="str">
        <f>VLOOKUP($B92,Custumer_Master!$A:$J,6,FALSE)</f>
        <v>Female</v>
      </c>
      <c r="H92" s="30" t="str">
        <f>VLOOKUP($B92,Custumer_Master!$A:$J,7,FALSE)</f>
        <v>16/09/1994</v>
      </c>
      <c r="I92" s="24" t="str">
        <f>VLOOKUP($B92,Custumer_Master!$A:$J,9,FALSE)</f>
        <v>Bengaluru</v>
      </c>
      <c r="J92" s="24" t="str">
        <f>VLOOKUP($B92,Custumer_Master!$A:$J,10,FALSE)</f>
        <v>South</v>
      </c>
      <c r="K92" s="24" t="str">
        <f>VLOOKUP(B92,Custumer_Master!A:D,4,FALSE)</f>
        <v>WB</v>
      </c>
      <c r="L92" s="24" t="str">
        <f>PROPER(TRIM(VLOOKUP('Final Data'!C92,Product_Master!A:F,3,FALSE)))</f>
        <v>Electronics</v>
      </c>
      <c r="M92" s="24" t="s">
        <v>78</v>
      </c>
      <c r="N92" s="34">
        <v>5</v>
      </c>
      <c r="O92" s="192">
        <f>VLOOKUP(C92,Product_Master!A:F,5,FALSE)</f>
        <v>900</v>
      </c>
      <c r="P92" s="33">
        <v>0.15</v>
      </c>
      <c r="Q92" s="34">
        <f t="shared" si="3"/>
        <v>3825</v>
      </c>
      <c r="R92" s="34">
        <v>1</v>
      </c>
      <c r="S92" s="24" t="s">
        <v>2148</v>
      </c>
      <c r="T92" s="24" t="s">
        <v>35</v>
      </c>
      <c r="U92" s="24" t="s">
        <v>62</v>
      </c>
      <c r="V92" s="34">
        <v>9508068393</v>
      </c>
      <c r="W92" s="24" t="str">
        <f>VLOOKUP(C92,Product_Master!A:F,4,FALSE)</f>
        <v>TechHub</v>
      </c>
      <c r="X92" s="34">
        <f>VLOOKUP(C92,Product_Master!A:F,6,FALSE)</f>
        <v>6</v>
      </c>
      <c r="Y92" s="24" t="str">
        <f>VLOOKUP(B92,Custumer_Master!A:D,3,FALSE)</f>
        <v>Silver</v>
      </c>
      <c r="Z92" s="30">
        <f>EDATE(E92,X92)</f>
        <v>46076</v>
      </c>
      <c r="AA92" s="29" t="str">
        <f>VLOOKUP(B92,Custumer_Master!A:K,11,)</f>
        <v>September</v>
      </c>
      <c r="AB92" s="24" t="s">
        <v>2160</v>
      </c>
      <c r="AC92" s="138" t="str">
        <f>PROPER(LEFT(TRIM(F92), 3)) &amp; RIGHT(TRIM(B92), 3) &amp; PROPER(LEFT(TRIM(I92), 2))</f>
        <v>Poo010Be</v>
      </c>
      <c r="AD92" s="154">
        <f t="shared" ca="1" si="4"/>
        <v>31</v>
      </c>
      <c r="AE92" s="154">
        <f>IFERROR(IF(OR(E92="", D92="", LOWER(TRIM(E92))="pending", LOWER(TRIM(D92))="pending"), "Pending", E92 - D92), "Pending")</f>
        <v>3</v>
      </c>
      <c r="AF92" s="138" t="str">
        <f>IFERROR(IF(OR(E92="", D92="","Pending","Pending"), "Pending", IF((E92 - D92) &lt;= 5, "On Time", "Delayed")), "Pending")</f>
        <v>On Time</v>
      </c>
      <c r="AG92" s="24" t="str">
        <f t="shared" si="5"/>
        <v>Completed</v>
      </c>
    </row>
    <row r="93" spans="1:33">
      <c r="A93" s="24" t="s">
        <v>561</v>
      </c>
      <c r="B93" s="24" t="s">
        <v>53</v>
      </c>
      <c r="C93" s="24" t="s">
        <v>222</v>
      </c>
      <c r="D93" s="30">
        <v>45882</v>
      </c>
      <c r="E93" s="30" t="s">
        <v>563</v>
      </c>
      <c r="F93" s="24" t="str">
        <f>VLOOKUP(B93,Custumer_Master!A:D,2,FALSE)</f>
        <v>Pooja Shah</v>
      </c>
      <c r="G93" s="24" t="str">
        <f>VLOOKUP($B93,Custumer_Master!$A:$J,6,FALSE)</f>
        <v>Female</v>
      </c>
      <c r="H93" s="30" t="str">
        <f>VLOOKUP($B93,Custumer_Master!$A:$J,7,FALSE)</f>
        <v>16/09/1994</v>
      </c>
      <c r="I93" s="24" t="str">
        <f>VLOOKUP($B93,Custumer_Master!$A:$J,9,FALSE)</f>
        <v>Bengaluru</v>
      </c>
      <c r="J93" s="24" t="str">
        <f>VLOOKUP($B93,Custumer_Master!$A:$J,10,FALSE)</f>
        <v>South</v>
      </c>
      <c r="K93" s="24" t="str">
        <f>VLOOKUP(B93,Custumer_Master!A:D,4,FALSE)</f>
        <v>WB</v>
      </c>
      <c r="L93" s="24" t="str">
        <f>PROPER(TRIM(VLOOKUP('Final Data'!C93,Product_Master!A:F,3,FALSE)))</f>
        <v>Stationery</v>
      </c>
      <c r="M93" s="24" t="s">
        <v>227</v>
      </c>
      <c r="N93" s="34">
        <v>4</v>
      </c>
      <c r="O93" s="192">
        <f>VLOOKUP(C93,Product_Master!A:F,5,FALSE)</f>
        <v>15</v>
      </c>
      <c r="P93" s="33">
        <v>0</v>
      </c>
      <c r="Q93" s="34">
        <f t="shared" si="3"/>
        <v>60</v>
      </c>
      <c r="R93" s="34">
        <v>4</v>
      </c>
      <c r="S93" s="24" t="s">
        <v>2148</v>
      </c>
      <c r="T93" s="24" t="s">
        <v>49</v>
      </c>
      <c r="U93" s="24" t="s">
        <v>62</v>
      </c>
      <c r="V93" s="34">
        <v>9785807771</v>
      </c>
      <c r="W93" s="24" t="str">
        <f>VLOOKUP(C93,Product_Master!A:F,4,FALSE)</f>
        <v>Prime Supplies</v>
      </c>
      <c r="X93" s="34">
        <f>VLOOKUP(C93,Product_Master!A:F,6,FALSE)</f>
        <v>12</v>
      </c>
      <c r="Y93" s="24" t="str">
        <f>VLOOKUP(B93,Custumer_Master!A:D,3,FALSE)</f>
        <v>Silver</v>
      </c>
      <c r="Z93" s="30">
        <f>EDATE(E93,X93)</f>
        <v>46248</v>
      </c>
      <c r="AA93" s="29" t="str">
        <f>VLOOKUP(B93,Custumer_Master!A:K,11,)</f>
        <v>September</v>
      </c>
      <c r="AB93" s="24" t="s">
        <v>2108</v>
      </c>
      <c r="AC93" s="138" t="str">
        <f>PROPER(LEFT(TRIM(F93), 3)) &amp; RIGHT(TRIM(B93), 3) &amp; PROPER(LEFT(TRIM(I93), 2))</f>
        <v>Poo010Be</v>
      </c>
      <c r="AD93" s="154">
        <f t="shared" ca="1" si="4"/>
        <v>31</v>
      </c>
      <c r="AE93" s="154">
        <f>IFERROR(IF(OR(E93="", D93="", LOWER(TRIM(E93))="pending", LOWER(TRIM(D93))="pending"), "Pending", E93 - D93), "Pending")</f>
        <v>1</v>
      </c>
      <c r="AF93" s="138" t="str">
        <f>IFERROR(IF(OR(E93="", D93="","Pending","Pending"), "Pending", IF((E93 - D93) &lt;= 5, "On Time", "Delayed")), "Pending")</f>
        <v>On Time</v>
      </c>
      <c r="AG93" s="24" t="str">
        <f t="shared" si="5"/>
        <v>Completed</v>
      </c>
    </row>
    <row r="94" spans="1:33">
      <c r="A94" s="24" t="s">
        <v>566</v>
      </c>
      <c r="B94" s="24" t="s">
        <v>23</v>
      </c>
      <c r="C94" s="24" t="s">
        <v>222</v>
      </c>
      <c r="D94" s="30">
        <v>45732</v>
      </c>
      <c r="E94" s="30" t="s">
        <v>568</v>
      </c>
      <c r="F94" s="24" t="str">
        <f>VLOOKUP(B94,Custumer_Master!A:D,2,FALSE)</f>
        <v>Kavya Nair</v>
      </c>
      <c r="G94" s="24" t="str">
        <f>VLOOKUP($B94,Custumer_Master!$A:$J,6,FALSE)</f>
        <v>Female</v>
      </c>
      <c r="H94" s="30" t="str">
        <f>VLOOKUP($B94,Custumer_Master!$A:$J,7,FALSE)</f>
        <v>01/08/1976</v>
      </c>
      <c r="I94" s="24" t="str">
        <f>VLOOKUP($B94,Custumer_Master!$A:$J,9,FALSE)</f>
        <v>Hyderabad</v>
      </c>
      <c r="J94" s="24" t="str">
        <f>VLOOKUP($B94,Custumer_Master!$A:$J,10,FALSE)</f>
        <v>South</v>
      </c>
      <c r="K94" s="24" t="str">
        <f>VLOOKUP(B94,Custumer_Master!A:D,4,FALSE)</f>
        <v>WB</v>
      </c>
      <c r="L94" s="24" t="str">
        <f>PROPER(TRIM(VLOOKUP('Final Data'!C94,Product_Master!A:F,3,FALSE)))</f>
        <v>Stationery</v>
      </c>
      <c r="M94" s="24" t="s">
        <v>227</v>
      </c>
      <c r="N94" s="34">
        <v>10</v>
      </c>
      <c r="O94" s="192">
        <f>VLOOKUP(C94,Product_Master!A:F,5,FALSE)</f>
        <v>15</v>
      </c>
      <c r="P94" s="33">
        <v>0</v>
      </c>
      <c r="Q94" s="34">
        <f t="shared" si="3"/>
        <v>150</v>
      </c>
      <c r="R94" s="34">
        <v>3</v>
      </c>
      <c r="S94" s="24" t="s">
        <v>34</v>
      </c>
      <c r="T94" s="24" t="s">
        <v>151</v>
      </c>
      <c r="U94" s="24" t="s">
        <v>50</v>
      </c>
      <c r="V94" s="34">
        <v>9215250979</v>
      </c>
      <c r="W94" s="24" t="str">
        <f>VLOOKUP(C94,Product_Master!A:F,4,FALSE)</f>
        <v>Prime Supplies</v>
      </c>
      <c r="X94" s="34">
        <f>VLOOKUP(C94,Product_Master!A:F,6,FALSE)</f>
        <v>12</v>
      </c>
      <c r="Y94" s="24" t="str">
        <f>VLOOKUP(B94,Custumer_Master!A:D,3,FALSE)</f>
        <v>Silver</v>
      </c>
      <c r="Z94" s="30">
        <f>EDATE(E94,X94)</f>
        <v>46101</v>
      </c>
      <c r="AA94" s="29" t="str">
        <f>VLOOKUP(B94,Custumer_Master!A:K,11,)</f>
        <v>August</v>
      </c>
      <c r="AB94" s="24" t="s">
        <v>2108</v>
      </c>
      <c r="AC94" s="138" t="str">
        <f>PROPER(LEFT(TRIM(F94), 3)) &amp; RIGHT(TRIM(B94), 3) &amp; PROPER(LEFT(TRIM(I94), 2))</f>
        <v>Kav008Hy</v>
      </c>
      <c r="AD94" s="154">
        <f t="shared" ca="1" si="4"/>
        <v>49</v>
      </c>
      <c r="AE94" s="154">
        <f>IFERROR(IF(OR(E94="", D94="", LOWER(TRIM(E94))="pending", LOWER(TRIM(D94))="pending"), "Pending", E94 - D94), "Pending")</f>
        <v>4</v>
      </c>
      <c r="AF94" s="138" t="str">
        <f>IFERROR(IF(OR(E94="", D94="","Pending","Pending"), "Pending", IF((E94 - D94) &lt;= 5, "On Time", "Delayed")), "Pending")</f>
        <v>On Time</v>
      </c>
      <c r="AG94" s="24" t="str">
        <f t="shared" si="5"/>
        <v>Completed</v>
      </c>
    </row>
    <row r="95" spans="1:33">
      <c r="A95" s="24" t="s">
        <v>571</v>
      </c>
      <c r="B95" s="24" t="s">
        <v>168</v>
      </c>
      <c r="C95" s="24" t="s">
        <v>24</v>
      </c>
      <c r="D95" s="30">
        <v>45904</v>
      </c>
      <c r="E95" s="30" t="s">
        <v>573</v>
      </c>
      <c r="F95" s="24" t="str">
        <f>VLOOKUP(B95,Custumer_Master!A:D,2,FALSE)</f>
        <v>Anita Gupta</v>
      </c>
      <c r="G95" s="24" t="str">
        <f>VLOOKUP($B95,Custumer_Master!$A:$J,6,FALSE)</f>
        <v>Female</v>
      </c>
      <c r="H95" s="30" t="str">
        <f>VLOOKUP($B95,Custumer_Master!$A:$J,7,FALSE)</f>
        <v>16/01/2002</v>
      </c>
      <c r="I95" s="24" t="str">
        <f>VLOOKUP($B95,Custumer_Master!$A:$J,9,FALSE)</f>
        <v>Pune</v>
      </c>
      <c r="J95" s="24" t="str">
        <f>VLOOKUP($B95,Custumer_Master!$A:$J,10,FALSE)</f>
        <v>West</v>
      </c>
      <c r="K95" s="24" t="str">
        <f>VLOOKUP(B95,Custumer_Master!A:D,4,FALSE)</f>
        <v>WB</v>
      </c>
      <c r="L95" s="24" t="str">
        <f>PROPER(TRIM(VLOOKUP('Final Data'!C95,Product_Master!A:F,3,FALSE)))</f>
        <v>Home Appliances</v>
      </c>
      <c r="M95" s="24" t="s">
        <v>33</v>
      </c>
      <c r="N95" s="34">
        <v>18</v>
      </c>
      <c r="O95" s="192">
        <f>VLOOKUP(C95,Product_Master!A:F,5,FALSE)</f>
        <v>1650</v>
      </c>
      <c r="P95" s="33">
        <v>0.1</v>
      </c>
      <c r="Q95" s="34">
        <f t="shared" si="3"/>
        <v>26730</v>
      </c>
      <c r="R95" s="34">
        <v>3</v>
      </c>
      <c r="S95" s="24" t="s">
        <v>34</v>
      </c>
      <c r="T95" s="24" t="s">
        <v>35</v>
      </c>
      <c r="U95" s="24" t="s">
        <v>175</v>
      </c>
      <c r="V95" s="34">
        <v>9845884906</v>
      </c>
      <c r="W95" s="24" t="str">
        <f>VLOOKUP(C95,Product_Master!A:F,4,FALSE)</f>
        <v>Global Trade</v>
      </c>
      <c r="X95" s="34">
        <f>VLOOKUP(C95,Product_Master!A:F,6,FALSE)</f>
        <v>24</v>
      </c>
      <c r="Y95" s="24" t="str">
        <f>VLOOKUP(B95,Custumer_Master!A:D,3,FALSE)</f>
        <v>Gold</v>
      </c>
      <c r="Z95" s="30">
        <f>EDATE(E95,X95)</f>
        <v>46640</v>
      </c>
      <c r="AA95" s="29" t="str">
        <f>VLOOKUP(B95,Custumer_Master!A:K,11,)</f>
        <v>January</v>
      </c>
      <c r="AB95" s="24" t="s">
        <v>2108</v>
      </c>
      <c r="AC95" s="138" t="str">
        <f>PROPER(LEFT(TRIM(F95), 3)) &amp; RIGHT(TRIM(B95), 3) &amp; PROPER(LEFT(TRIM(I95), 2))</f>
        <v>Ani004Pu</v>
      </c>
      <c r="AD95" s="154">
        <f t="shared" ca="1" si="4"/>
        <v>24</v>
      </c>
      <c r="AE95" s="154">
        <f>IFERROR(IF(OR(E95="", D95="", LOWER(TRIM(E95))="pending", LOWER(TRIM(D95))="pending"), "Pending", E95 - D95), "Pending")</f>
        <v>6</v>
      </c>
      <c r="AF95" s="138" t="str">
        <f>IFERROR(IF(OR(E95="", D95="","Pending","Pending"), "Pending", IF((E95 - D95) &lt;= 5, "On Time", "Delayed")), "Pending")</f>
        <v>Delayed</v>
      </c>
      <c r="AG95" s="24" t="str">
        <f t="shared" si="5"/>
        <v>Completed</v>
      </c>
    </row>
    <row r="96" spans="1:33">
      <c r="A96" s="24" t="s">
        <v>576</v>
      </c>
      <c r="B96" s="24" t="s">
        <v>327</v>
      </c>
      <c r="C96" s="24" t="s">
        <v>92</v>
      </c>
      <c r="D96" s="30">
        <v>45759</v>
      </c>
      <c r="E96" s="30" t="s">
        <v>578</v>
      </c>
      <c r="F96" s="24" t="str">
        <f>VLOOKUP(B96,Custumer_Master!A:D,2,FALSE)</f>
        <v>Amit Sharma</v>
      </c>
      <c r="G96" s="24" t="str">
        <f>VLOOKUP($B96,Custumer_Master!$A:$J,6,FALSE)</f>
        <v>Male</v>
      </c>
      <c r="H96" s="30" t="str">
        <f>VLOOKUP($B96,Custumer_Master!$A:$J,7,FALSE)</f>
        <v>09/08/1991</v>
      </c>
      <c r="I96" s="24" t="str">
        <f>VLOOKUP($B96,Custumer_Master!$A:$J,9,FALSE)</f>
        <v>Pune</v>
      </c>
      <c r="J96" s="24" t="str">
        <f>VLOOKUP($B96,Custumer_Master!$A:$J,10,FALSE)</f>
        <v>West</v>
      </c>
      <c r="K96" s="24" t="str">
        <f>VLOOKUP(B96,Custumer_Master!A:D,4,FALSE)</f>
        <v>RJ</v>
      </c>
      <c r="L96" s="24" t="str">
        <f>PROPER(TRIM(VLOOKUP('Final Data'!C96,Product_Master!A:F,3,FALSE)))</f>
        <v>Home Appliances</v>
      </c>
      <c r="M96" s="24" t="s">
        <v>97</v>
      </c>
      <c r="N96" s="34">
        <v>7</v>
      </c>
      <c r="O96" s="192">
        <f>VLOOKUP(C96,Product_Master!A:F,5,FALSE)</f>
        <v>2625</v>
      </c>
      <c r="P96" s="33">
        <v>0.15</v>
      </c>
      <c r="Q96" s="34">
        <f t="shared" si="3"/>
        <v>15618.75</v>
      </c>
      <c r="R96" s="34">
        <v>3</v>
      </c>
      <c r="S96" s="24" t="s">
        <v>2148</v>
      </c>
      <c r="T96" s="24" t="s">
        <v>49</v>
      </c>
      <c r="U96" s="24" t="s">
        <v>332</v>
      </c>
      <c r="V96" s="34">
        <v>9393097397</v>
      </c>
      <c r="W96" s="24" t="str">
        <f>VLOOKUP(C96,Product_Master!A:F,4,FALSE)</f>
        <v>Global Trade</v>
      </c>
      <c r="X96" s="34">
        <f>VLOOKUP(C96,Product_Master!A:F,6,FALSE)</f>
        <v>6</v>
      </c>
      <c r="Y96" s="24" t="str">
        <f>VLOOKUP(B96,Custumer_Master!A:D,3,FALSE)</f>
        <v>Silver</v>
      </c>
      <c r="Z96" s="30">
        <f>EDATE(E96,X96)</f>
        <v>45945</v>
      </c>
      <c r="AA96" s="29" t="str">
        <f>VLOOKUP(B96,Custumer_Master!A:K,11,)</f>
        <v>August</v>
      </c>
      <c r="AB96" s="24" t="s">
        <v>2108</v>
      </c>
      <c r="AC96" s="138" t="str">
        <f>PROPER(LEFT(TRIM(F96), 3)) &amp; RIGHT(TRIM(B96), 3) &amp; PROPER(LEFT(TRIM(I96), 2))</f>
        <v>Ami001Pu</v>
      </c>
      <c r="AD96" s="154">
        <f t="shared" ca="1" si="4"/>
        <v>34</v>
      </c>
      <c r="AE96" s="154">
        <f>IFERROR(IF(OR(E96="", D96="", LOWER(TRIM(E96))="pending", LOWER(TRIM(D96))="pending"), "Pending", E96 - D96), "Pending")</f>
        <v>3</v>
      </c>
      <c r="AF96" s="138" t="str">
        <f>IFERROR(IF(OR(E96="", D96="","Pending","Pending"), "Pending", IF((E96 - D96) &lt;= 5, "On Time", "Delayed")), "Pending")</f>
        <v>On Time</v>
      </c>
      <c r="AG96" s="24" t="str">
        <f t="shared" si="5"/>
        <v>Completed</v>
      </c>
    </row>
    <row r="97" spans="1:33">
      <c r="A97" s="24" t="s">
        <v>581</v>
      </c>
      <c r="B97" s="24" t="s">
        <v>100</v>
      </c>
      <c r="C97" s="24" t="s">
        <v>169</v>
      </c>
      <c r="D97" s="30">
        <v>46146</v>
      </c>
      <c r="E97" s="30" t="s">
        <v>583</v>
      </c>
      <c r="F97" s="24" t="str">
        <f>VLOOKUP(B97,Custumer_Master!A:D,2,FALSE)</f>
        <v>Priya Patel</v>
      </c>
      <c r="G97" s="24" t="str">
        <f>VLOOKUP($B97,Custumer_Master!$A:$J,6,FALSE)</f>
        <v>Female</v>
      </c>
      <c r="H97" s="30" t="str">
        <f>VLOOKUP($B97,Custumer_Master!$A:$J,7,FALSE)</f>
        <v>07/03/1995</v>
      </c>
      <c r="I97" s="24" t="str">
        <f>VLOOKUP($B97,Custumer_Master!$A:$J,9,FALSE)</f>
        <v>Mumbai</v>
      </c>
      <c r="J97" s="24" t="str">
        <f>VLOOKUP($B97,Custumer_Master!$A:$J,10,FALSE)</f>
        <v>West</v>
      </c>
      <c r="K97" s="24" t="str">
        <f>VLOOKUP(B97,Custumer_Master!A:D,4,FALSE)</f>
        <v>WB</v>
      </c>
      <c r="L97" s="24" t="str">
        <f>PROPER(TRIM(VLOOKUP('Final Data'!C97,Product_Master!A:F,3,FALSE)))</f>
        <v>Home Appliances</v>
      </c>
      <c r="M97" s="24" t="s">
        <v>174</v>
      </c>
      <c r="N97" s="34">
        <v>19</v>
      </c>
      <c r="O97" s="192">
        <f>VLOOKUP(C97,Product_Master!A:F,5,FALSE)</f>
        <v>6375</v>
      </c>
      <c r="P97" s="33">
        <v>0.15</v>
      </c>
      <c r="Q97" s="34">
        <f t="shared" si="3"/>
        <v>102956.25</v>
      </c>
      <c r="R97" s="34">
        <v>4</v>
      </c>
      <c r="S97" s="24" t="s">
        <v>79</v>
      </c>
      <c r="T97" s="24" t="s">
        <v>151</v>
      </c>
      <c r="U97" s="24" t="s">
        <v>144</v>
      </c>
      <c r="V97" s="34">
        <v>9958032109</v>
      </c>
      <c r="W97" s="24" t="str">
        <f>VLOOKUP(C97,Product_Master!A:F,4,FALSE)</f>
        <v>TechHub</v>
      </c>
      <c r="X97" s="34">
        <f>VLOOKUP(C97,Product_Master!A:F,6,FALSE)</f>
        <v>24</v>
      </c>
      <c r="Y97" s="24" t="str">
        <f>VLOOKUP(B97,Custumer_Master!A:D,3,FALSE)</f>
        <v>Platinum</v>
      </c>
      <c r="Z97" s="30">
        <f>EDATE(E97,X97)</f>
        <v>46880</v>
      </c>
      <c r="AA97" s="29" t="str">
        <f>VLOOKUP(B97,Custumer_Master!A:K,11,)</f>
        <v>March</v>
      </c>
      <c r="AB97" s="24" t="s">
        <v>2112</v>
      </c>
      <c r="AC97" s="138" t="str">
        <f>PROPER(LEFT(TRIM(F97), 3)) &amp; RIGHT(TRIM(B97), 3) &amp; PROPER(LEFT(TRIM(I97), 2))</f>
        <v>Pri002Mu</v>
      </c>
      <c r="AD97" s="154">
        <f t="shared" ca="1" si="4"/>
        <v>31</v>
      </c>
      <c r="AE97" s="154">
        <f>IFERROR(IF(OR(E97="", D97="", LOWER(TRIM(E97))="pending", LOWER(TRIM(D97))="pending"), "Pending", E97 - D97), "Pending")</f>
        <v>3</v>
      </c>
      <c r="AF97" s="138" t="str">
        <f>IFERROR(IF(OR(E97="", D97="","Pending","Pending"), "Pending", IF((E97 - D97) &lt;= 5, "On Time", "Delayed")), "Pending")</f>
        <v>On Time</v>
      </c>
      <c r="AG97" s="24" t="str">
        <f t="shared" si="5"/>
        <v>Completed</v>
      </c>
    </row>
    <row r="98" spans="1:33">
      <c r="A98" s="24" t="s">
        <v>586</v>
      </c>
      <c r="B98" s="24" t="s">
        <v>251</v>
      </c>
      <c r="C98" s="24" t="s">
        <v>40</v>
      </c>
      <c r="D98" s="30">
        <v>46040</v>
      </c>
      <c r="E98" s="30" t="s">
        <v>588</v>
      </c>
      <c r="F98" s="24" t="str">
        <f>VLOOKUP(B98,Custumer_Master!A:D,2,FALSE)</f>
        <v>Sneha Joshi</v>
      </c>
      <c r="G98" s="24" t="str">
        <f>VLOOKUP($B98,Custumer_Master!$A:$J,6,FALSE)</f>
        <v>Female</v>
      </c>
      <c r="H98" s="30" t="str">
        <f>VLOOKUP($B98,Custumer_Master!$A:$J,7,FALSE)</f>
        <v>04/04/1981</v>
      </c>
      <c r="I98" s="24" t="str">
        <f>VLOOKUP($B98,Custumer_Master!$A:$J,9,FALSE)</f>
        <v>Pune</v>
      </c>
      <c r="J98" s="24" t="str">
        <f>VLOOKUP($B98,Custumer_Master!$A:$J,10,FALSE)</f>
        <v>West</v>
      </c>
      <c r="K98" s="24" t="str">
        <f>VLOOKUP(B98,Custumer_Master!A:D,4,FALSE)</f>
        <v>WB</v>
      </c>
      <c r="L98" s="24" t="str">
        <f>PROPER(TRIM(VLOOKUP('Final Data'!C98,Product_Master!A:F,3,FALSE)))</f>
        <v>Electronics</v>
      </c>
      <c r="M98" s="24" t="s">
        <v>47</v>
      </c>
      <c r="N98" s="34">
        <v>13</v>
      </c>
      <c r="O98" s="192">
        <f>VLOOKUP(C98,Product_Master!A:F,5,FALSE)</f>
        <v>9000</v>
      </c>
      <c r="P98" s="33">
        <v>0.15</v>
      </c>
      <c r="Q98" s="34">
        <f t="shared" si="3"/>
        <v>99450</v>
      </c>
      <c r="R98" s="34">
        <v>4</v>
      </c>
      <c r="S98" s="24" t="s">
        <v>34</v>
      </c>
      <c r="T98" s="24" t="s">
        <v>49</v>
      </c>
      <c r="U98" s="24" t="s">
        <v>256</v>
      </c>
      <c r="V98" s="34">
        <v>9755082957</v>
      </c>
      <c r="W98" s="24" t="str">
        <f>VLOOKUP(C98,Product_Master!A:F,4,FALSE)</f>
        <v>Global Trade</v>
      </c>
      <c r="X98" s="34">
        <f>VLOOKUP(C98,Product_Master!A:F,6,FALSE)</f>
        <v>24</v>
      </c>
      <c r="Y98" s="24" t="str">
        <f>VLOOKUP(B98,Custumer_Master!A:D,3,FALSE)</f>
        <v>Gold</v>
      </c>
      <c r="Z98" s="30">
        <f>EDATE(E98,X98)</f>
        <v>46779</v>
      </c>
      <c r="AA98" s="29" t="str">
        <f>VLOOKUP(B98,Custumer_Master!A:K,11,)</f>
        <v>April</v>
      </c>
      <c r="AB98" s="24" t="s">
        <v>2112</v>
      </c>
      <c r="AC98" s="138" t="str">
        <f>PROPER(LEFT(TRIM(F98), 3)) &amp; RIGHT(TRIM(B98), 3) &amp; PROPER(LEFT(TRIM(I98), 2))</f>
        <v>Sne006Pu</v>
      </c>
      <c r="AD98" s="154">
        <f t="shared" ca="1" si="4"/>
        <v>45</v>
      </c>
      <c r="AE98" s="154">
        <f>IFERROR(IF(OR(E98="", D98="", LOWER(TRIM(E98))="pending", LOWER(TRIM(D98))="pending"), "Pending", E98 - D98), "Pending")</f>
        <v>9</v>
      </c>
      <c r="AF98" s="138" t="str">
        <f>IFERROR(IF(OR(E98="", D98="","Pending","Pending"), "Pending", IF((E98 - D98) &lt;= 5, "On Time", "Delayed")), "Pending")</f>
        <v>Delayed</v>
      </c>
      <c r="AG98" s="24" t="str">
        <f t="shared" si="5"/>
        <v>Completed</v>
      </c>
    </row>
    <row r="99" spans="1:33">
      <c r="A99" s="24" t="s">
        <v>591</v>
      </c>
      <c r="B99" s="24" t="s">
        <v>327</v>
      </c>
      <c r="C99" s="24" t="s">
        <v>222</v>
      </c>
      <c r="D99" s="30">
        <v>46095</v>
      </c>
      <c r="E99" s="30" t="s">
        <v>398</v>
      </c>
      <c r="F99" s="24" t="str">
        <f>VLOOKUP(B99,Custumer_Master!A:D,2,FALSE)</f>
        <v>Amit Sharma</v>
      </c>
      <c r="G99" s="24" t="str">
        <f>VLOOKUP($B99,Custumer_Master!$A:$J,6,FALSE)</f>
        <v>Male</v>
      </c>
      <c r="H99" s="30" t="str">
        <f>VLOOKUP($B99,Custumer_Master!$A:$J,7,FALSE)</f>
        <v>09/08/1991</v>
      </c>
      <c r="I99" s="24" t="str">
        <f>VLOOKUP($B99,Custumer_Master!$A:$J,9,FALSE)</f>
        <v>Pune</v>
      </c>
      <c r="J99" s="24" t="str">
        <f>VLOOKUP($B99,Custumer_Master!$A:$J,10,FALSE)</f>
        <v>West</v>
      </c>
      <c r="K99" s="24" t="str">
        <f>VLOOKUP(B99,Custumer_Master!A:D,4,FALSE)</f>
        <v>RJ</v>
      </c>
      <c r="L99" s="24" t="str">
        <f>PROPER(TRIM(VLOOKUP('Final Data'!C99,Product_Master!A:F,3,FALSE)))</f>
        <v>Stationery</v>
      </c>
      <c r="M99" s="24" t="s">
        <v>227</v>
      </c>
      <c r="N99" s="34">
        <v>7</v>
      </c>
      <c r="O99" s="192">
        <f>VLOOKUP(C99,Product_Master!A:F,5,FALSE)</f>
        <v>15</v>
      </c>
      <c r="P99" s="33">
        <v>0</v>
      </c>
      <c r="Q99" s="34">
        <f t="shared" si="3"/>
        <v>105</v>
      </c>
      <c r="R99" s="34">
        <v>1</v>
      </c>
      <c r="S99" s="24" t="s">
        <v>79</v>
      </c>
      <c r="T99" s="24" t="s">
        <v>151</v>
      </c>
      <c r="U99" s="24" t="s">
        <v>332</v>
      </c>
      <c r="V99" s="34">
        <v>9872235856</v>
      </c>
      <c r="W99" s="24" t="str">
        <f>VLOOKUP(C99,Product_Master!A:F,4,FALSE)</f>
        <v>Prime Supplies</v>
      </c>
      <c r="X99" s="34">
        <f>VLOOKUP(C99,Product_Master!A:F,6,FALSE)</f>
        <v>12</v>
      </c>
      <c r="Y99" s="24" t="str">
        <f>VLOOKUP(B99,Custumer_Master!A:D,3,FALSE)</f>
        <v>Silver</v>
      </c>
      <c r="Z99" s="30">
        <f>EDATE(E99,X99)</f>
        <v>46470</v>
      </c>
      <c r="AA99" s="29" t="str">
        <f>VLOOKUP(B99,Custumer_Master!A:K,11,)</f>
        <v>August</v>
      </c>
      <c r="AB99" s="24" t="s">
        <v>2160</v>
      </c>
      <c r="AC99" s="138" t="str">
        <f>PROPER(LEFT(TRIM(F99), 3)) &amp; RIGHT(TRIM(B99), 3) &amp; PROPER(LEFT(TRIM(I99), 2))</f>
        <v>Ami001Pu</v>
      </c>
      <c r="AD99" s="154">
        <f t="shared" ca="1" si="4"/>
        <v>34</v>
      </c>
      <c r="AE99" s="154">
        <f>IFERROR(IF(OR(E99="", D99="", LOWER(TRIM(E99))="pending", LOWER(TRIM(D99))="pending"), "Pending", E99 - D99), "Pending")</f>
        <v>10</v>
      </c>
      <c r="AF99" s="138" t="str">
        <f>IFERROR(IF(OR(E99="", D99="","Pending","Pending"), "Pending", IF((E99 - D99) &lt;= 5, "On Time", "Delayed")), "Pending")</f>
        <v>Delayed</v>
      </c>
      <c r="AG99" s="24" t="str">
        <f t="shared" si="5"/>
        <v>Completed</v>
      </c>
    </row>
    <row r="100" spans="1:33">
      <c r="A100" s="24" t="s">
        <v>595</v>
      </c>
      <c r="B100" s="24" t="s">
        <v>168</v>
      </c>
      <c r="C100" s="24" t="s">
        <v>184</v>
      </c>
      <c r="D100" s="30">
        <v>45786</v>
      </c>
      <c r="E100" s="30" t="s">
        <v>597</v>
      </c>
      <c r="F100" s="24" t="str">
        <f>VLOOKUP(B100,Custumer_Master!A:D,2,FALSE)</f>
        <v>Anita Gupta</v>
      </c>
      <c r="G100" s="24" t="str">
        <f>VLOOKUP($B100,Custumer_Master!$A:$J,6,FALSE)</f>
        <v>Female</v>
      </c>
      <c r="H100" s="30" t="str">
        <f>VLOOKUP($B100,Custumer_Master!$A:$J,7,FALSE)</f>
        <v>16/01/2002</v>
      </c>
      <c r="I100" s="24" t="str">
        <f>VLOOKUP($B100,Custumer_Master!$A:$J,9,FALSE)</f>
        <v>Pune</v>
      </c>
      <c r="J100" s="24" t="str">
        <f>VLOOKUP($B100,Custumer_Master!$A:$J,10,FALSE)</f>
        <v>West</v>
      </c>
      <c r="K100" s="24" t="str">
        <f>VLOOKUP(B100,Custumer_Master!A:D,4,FALSE)</f>
        <v>WB</v>
      </c>
      <c r="L100" s="24" t="str">
        <f>PROPER(TRIM(VLOOKUP('Final Data'!C100,Product_Master!A:F,3,FALSE)))</f>
        <v>Electronics</v>
      </c>
      <c r="M100" s="24" t="s">
        <v>189</v>
      </c>
      <c r="N100" s="34">
        <v>5</v>
      </c>
      <c r="O100" s="192">
        <f>VLOOKUP(C100,Product_Master!A:F,5,FALSE)</f>
        <v>525</v>
      </c>
      <c r="P100" s="33">
        <v>0.15</v>
      </c>
      <c r="Q100" s="34">
        <f t="shared" si="3"/>
        <v>2231.25</v>
      </c>
      <c r="R100" s="34">
        <v>4</v>
      </c>
      <c r="S100" s="24" t="s">
        <v>79</v>
      </c>
      <c r="T100" s="24" t="s">
        <v>35</v>
      </c>
      <c r="U100" s="24" t="s">
        <v>175</v>
      </c>
      <c r="V100" s="34">
        <v>9335138816</v>
      </c>
      <c r="W100" s="24" t="str">
        <f>VLOOKUP(C100,Product_Master!A:F,4,FALSE)</f>
        <v>TechHub</v>
      </c>
      <c r="X100" s="34">
        <f>VLOOKUP(C100,Product_Master!A:F,6,FALSE)</f>
        <v>24</v>
      </c>
      <c r="Y100" s="24" t="str">
        <f>VLOOKUP(B100,Custumer_Master!A:D,3,FALSE)</f>
        <v>Gold</v>
      </c>
      <c r="Z100" s="30">
        <f>EDATE(E100,X100)</f>
        <v>46518</v>
      </c>
      <c r="AA100" s="29" t="str">
        <f>VLOOKUP(B100,Custumer_Master!A:K,11,)</f>
        <v>January</v>
      </c>
      <c r="AB100" s="24" t="s">
        <v>2108</v>
      </c>
      <c r="AC100" s="138" t="str">
        <f>PROPER(LEFT(TRIM(F100), 3)) &amp; RIGHT(TRIM(B100), 3) &amp; PROPER(LEFT(TRIM(I100), 2))</f>
        <v>Ani004Pu</v>
      </c>
      <c r="AD100" s="154">
        <f t="shared" ca="1" si="4"/>
        <v>24</v>
      </c>
      <c r="AE100" s="154">
        <f>IFERROR(IF(OR(E100="", D100="", LOWER(TRIM(E100))="pending", LOWER(TRIM(D100))="pending"), "Pending", E100 - D100), "Pending")</f>
        <v>2</v>
      </c>
      <c r="AF100" s="138" t="str">
        <f>IFERROR(IF(OR(E100="", D100="","Pending","Pending"), "Pending", IF((E100 - D100) &lt;= 5, "On Time", "Delayed")), "Pending")</f>
        <v>On Time</v>
      </c>
      <c r="AG100" s="24" t="str">
        <f t="shared" si="5"/>
        <v>Completed</v>
      </c>
    </row>
    <row r="101" spans="1:33">
      <c r="A101" s="24" t="s">
        <v>600</v>
      </c>
      <c r="B101" s="24" t="s">
        <v>83</v>
      </c>
      <c r="C101" s="24" t="s">
        <v>259</v>
      </c>
      <c r="D101" s="30">
        <v>46149</v>
      </c>
      <c r="E101" s="30" t="s">
        <v>601</v>
      </c>
      <c r="F101" s="24" t="str">
        <f>VLOOKUP(B101,Custumer_Master!A:D,2,FALSE)</f>
        <v>Arjun Rao</v>
      </c>
      <c r="G101" s="24" t="str">
        <f>VLOOKUP($B101,Custumer_Master!$A:$J,6,FALSE)</f>
        <v>Male</v>
      </c>
      <c r="H101" s="30" t="str">
        <f>VLOOKUP($B101,Custumer_Master!$A:$J,7,FALSE)</f>
        <v>07/02/1988</v>
      </c>
      <c r="I101" s="24" t="str">
        <f>VLOOKUP($B101,Custumer_Master!$A:$J,9,FALSE)</f>
        <v>Hyderabad</v>
      </c>
      <c r="J101" s="24" t="str">
        <f>VLOOKUP($B101,Custumer_Master!$A:$J,10,FALSE)</f>
        <v>South</v>
      </c>
      <c r="K101" s="24" t="str">
        <f>VLOOKUP(B101,Custumer_Master!A:D,4,FALSE)</f>
        <v>RJ</v>
      </c>
      <c r="L101" s="24" t="str">
        <f>PROPER(TRIM(VLOOKUP('Final Data'!C101,Product_Master!A:F,3,FALSE)))</f>
        <v>Stationery</v>
      </c>
      <c r="M101" s="24" t="s">
        <v>263</v>
      </c>
      <c r="N101" s="34">
        <v>9</v>
      </c>
      <c r="O101" s="192">
        <f>VLOOKUP(C101,Product_Master!A:F,5,FALSE)</f>
        <v>33.75</v>
      </c>
      <c r="P101" s="33">
        <v>0.05</v>
      </c>
      <c r="Q101" s="34">
        <f t="shared" si="3"/>
        <v>288.5625</v>
      </c>
      <c r="R101" s="34">
        <v>3</v>
      </c>
      <c r="S101" s="24" t="s">
        <v>34</v>
      </c>
      <c r="T101" s="24" t="s">
        <v>35</v>
      </c>
      <c r="U101" s="24" t="s">
        <v>89</v>
      </c>
      <c r="V101" s="34">
        <v>9750365609</v>
      </c>
      <c r="W101" s="24" t="str">
        <f>VLOOKUP(C101,Product_Master!A:F,4,FALSE)</f>
        <v>TechHub</v>
      </c>
      <c r="X101" s="34">
        <f>VLOOKUP(C101,Product_Master!A:F,6,FALSE)</f>
        <v>12</v>
      </c>
      <c r="Y101" s="24" t="str">
        <f>VLOOKUP(B101,Custumer_Master!A:D,3,FALSE)</f>
        <v>Silver</v>
      </c>
      <c r="Z101" s="30">
        <f>EDATE(E101,X101)</f>
        <v>46517</v>
      </c>
      <c r="AA101" s="29" t="str">
        <f>VLOOKUP(B101,Custumer_Master!A:K,11,)</f>
        <v>February</v>
      </c>
      <c r="AB101" s="24" t="s">
        <v>2108</v>
      </c>
      <c r="AC101" s="138" t="str">
        <f>PROPER(LEFT(TRIM(F101), 3)) &amp; RIGHT(TRIM(B101), 3) &amp; PROPER(LEFT(TRIM(I101), 2))</f>
        <v>Arj007Hy</v>
      </c>
      <c r="AD101" s="154">
        <f t="shared" ca="1" si="4"/>
        <v>38</v>
      </c>
      <c r="AE101" s="154">
        <f>IFERROR(IF(OR(E101="", D101="", LOWER(TRIM(E101))="pending", LOWER(TRIM(D101))="pending"), "Pending", E101 - D101), "Pending")</f>
        <v>3</v>
      </c>
      <c r="AF101" s="138" t="str">
        <f>IFERROR(IF(OR(E101="", D101="","Pending","Pending"), "Pending", IF((E101 - D101) &lt;= 5, "On Time", "Delayed")), "Pending")</f>
        <v>On Time</v>
      </c>
      <c r="AG101" s="24" t="str">
        <f t="shared" si="5"/>
        <v>Completed</v>
      </c>
    </row>
    <row r="102" spans="1:33">
      <c r="A102" s="24" t="s">
        <v>604</v>
      </c>
      <c r="B102" s="24" t="s">
        <v>127</v>
      </c>
      <c r="C102" s="24" t="s">
        <v>118</v>
      </c>
      <c r="D102" s="30">
        <v>45768</v>
      </c>
      <c r="E102" s="30" t="s">
        <v>606</v>
      </c>
      <c r="F102" s="24" t="str">
        <f>VLOOKUP(B102,Custumer_Master!A:D,2,FALSE)</f>
        <v>Rohit Singh</v>
      </c>
      <c r="G102" s="24" t="str">
        <f>VLOOKUP($B102,Custumer_Master!$A:$J,6,FALSE)</f>
        <v>Male</v>
      </c>
      <c r="H102" s="30" t="str">
        <f>VLOOKUP($B102,Custumer_Master!$A:$J,7,FALSE)</f>
        <v>10/05/1982</v>
      </c>
      <c r="I102" s="24" t="str">
        <f>VLOOKUP($B102,Custumer_Master!$A:$J,9,FALSE)</f>
        <v>Delhi</v>
      </c>
      <c r="J102" s="24" t="str">
        <f>VLOOKUP($B102,Custumer_Master!$A:$J,10,FALSE)</f>
        <v>North</v>
      </c>
      <c r="K102" s="24" t="str">
        <f>VLOOKUP(B102,Custumer_Master!A:D,4,FALSE)</f>
        <v>DL</v>
      </c>
      <c r="L102" s="24" t="str">
        <f>PROPER(TRIM(VLOOKUP('Final Data'!C102,Product_Master!A:F,3,FALSE)))</f>
        <v>Stationery</v>
      </c>
      <c r="M102" s="24" t="s">
        <v>123</v>
      </c>
      <c r="N102" s="34">
        <v>19</v>
      </c>
      <c r="O102" s="192">
        <f>VLOOKUP(C102,Product_Master!A:F,5,FALSE)</f>
        <v>45</v>
      </c>
      <c r="P102" s="33">
        <v>0.1</v>
      </c>
      <c r="Q102" s="34">
        <f t="shared" si="3"/>
        <v>769.5</v>
      </c>
      <c r="R102" s="34">
        <v>5</v>
      </c>
      <c r="S102" s="24" t="s">
        <v>2148</v>
      </c>
      <c r="T102" s="24" t="s">
        <v>115</v>
      </c>
      <c r="U102" s="24" t="s">
        <v>132</v>
      </c>
      <c r="V102" s="34">
        <v>9736812737</v>
      </c>
      <c r="W102" s="24" t="str">
        <f>VLOOKUP(C102,Product_Master!A:F,4,FALSE)</f>
        <v>ABC Corp</v>
      </c>
      <c r="X102" s="34">
        <f>VLOOKUP(C102,Product_Master!A:F,6,FALSE)</f>
        <v>12</v>
      </c>
      <c r="Y102" s="24" t="str">
        <f>VLOOKUP(B102,Custumer_Master!A:D,3,FALSE)</f>
        <v>Gold</v>
      </c>
      <c r="Z102" s="30">
        <f>EDATE(E102,X102)</f>
        <v>46141</v>
      </c>
      <c r="AA102" s="29" t="str">
        <f>VLOOKUP(B102,Custumer_Master!A:K,11,)</f>
        <v>May</v>
      </c>
      <c r="AB102" s="24" t="s">
        <v>2108</v>
      </c>
      <c r="AC102" s="138" t="str">
        <f>PROPER(LEFT(TRIM(F102), 3)) &amp; RIGHT(TRIM(B102), 3) &amp; PROPER(LEFT(TRIM(I102), 2))</f>
        <v>Roh003De</v>
      </c>
      <c r="AD102" s="154">
        <f t="shared" ca="1" si="4"/>
        <v>44</v>
      </c>
      <c r="AE102" s="154">
        <f>IFERROR(IF(OR(E102="", D102="", LOWER(TRIM(E102))="pending", LOWER(TRIM(D102))="pending"), "Pending", E102 - D102), "Pending")</f>
        <v>8</v>
      </c>
      <c r="AF102" s="138" t="str">
        <f>IFERROR(IF(OR(E102="", D102="","Pending","Pending"), "Pending", IF((E102 - D102) &lt;= 5, "On Time", "Delayed")), "Pending")</f>
        <v>Delayed</v>
      </c>
      <c r="AG102" s="24" t="str">
        <f t="shared" si="5"/>
        <v>Completed</v>
      </c>
    </row>
    <row r="103" spans="1:33">
      <c r="A103" s="24" t="s">
        <v>609</v>
      </c>
      <c r="B103" s="24" t="s">
        <v>327</v>
      </c>
      <c r="C103" s="24" t="s">
        <v>184</v>
      </c>
      <c r="D103" s="30">
        <v>46002</v>
      </c>
      <c r="E103" s="30" t="s">
        <v>611</v>
      </c>
      <c r="F103" s="24" t="str">
        <f>VLOOKUP(B103,Custumer_Master!A:D,2,FALSE)</f>
        <v>Amit Sharma</v>
      </c>
      <c r="G103" s="24" t="str">
        <f>VLOOKUP($B103,Custumer_Master!$A:$J,6,FALSE)</f>
        <v>Male</v>
      </c>
      <c r="H103" s="30" t="str">
        <f>VLOOKUP($B103,Custumer_Master!$A:$J,7,FALSE)</f>
        <v>09/08/1991</v>
      </c>
      <c r="I103" s="24" t="str">
        <f>VLOOKUP($B103,Custumer_Master!$A:$J,9,FALSE)</f>
        <v>Pune</v>
      </c>
      <c r="J103" s="24" t="str">
        <f>VLOOKUP($B103,Custumer_Master!$A:$J,10,FALSE)</f>
        <v>West</v>
      </c>
      <c r="K103" s="24" t="str">
        <f>VLOOKUP(B103,Custumer_Master!A:D,4,FALSE)</f>
        <v>RJ</v>
      </c>
      <c r="L103" s="24" t="str">
        <f>PROPER(TRIM(VLOOKUP('Final Data'!C103,Product_Master!A:F,3,FALSE)))</f>
        <v>Electronics</v>
      </c>
      <c r="M103" s="24" t="s">
        <v>189</v>
      </c>
      <c r="N103" s="34">
        <v>4</v>
      </c>
      <c r="O103" s="192">
        <f>VLOOKUP(C103,Product_Master!A:F,5,FALSE)</f>
        <v>525</v>
      </c>
      <c r="P103" s="33">
        <v>0.05</v>
      </c>
      <c r="Q103" s="34">
        <f t="shared" si="3"/>
        <v>1995</v>
      </c>
      <c r="R103" s="34">
        <v>3</v>
      </c>
      <c r="S103" s="24" t="s">
        <v>2148</v>
      </c>
      <c r="T103" s="24" t="s">
        <v>61</v>
      </c>
      <c r="U103" s="24" t="s">
        <v>332</v>
      </c>
      <c r="V103" s="34">
        <v>9271420931</v>
      </c>
      <c r="W103" s="24" t="str">
        <f>VLOOKUP(C103,Product_Master!A:F,4,FALSE)</f>
        <v>TechHub</v>
      </c>
      <c r="X103" s="34">
        <f>VLOOKUP(C103,Product_Master!A:F,6,FALSE)</f>
        <v>24</v>
      </c>
      <c r="Y103" s="24" t="str">
        <f>VLOOKUP(B103,Custumer_Master!A:D,3,FALSE)</f>
        <v>Silver</v>
      </c>
      <c r="Z103" s="30">
        <f>EDATE(E103,X103)</f>
        <v>46741</v>
      </c>
      <c r="AA103" s="29" t="str">
        <f>VLOOKUP(B103,Custumer_Master!A:K,11,)</f>
        <v>August</v>
      </c>
      <c r="AB103" s="24" t="s">
        <v>2108</v>
      </c>
      <c r="AC103" s="138" t="str">
        <f>PROPER(LEFT(TRIM(F103), 3)) &amp; RIGHT(TRIM(B103), 3) &amp; PROPER(LEFT(TRIM(I103), 2))</f>
        <v>Ami001Pu</v>
      </c>
      <c r="AD103" s="154">
        <f t="shared" ca="1" si="4"/>
        <v>34</v>
      </c>
      <c r="AE103" s="154">
        <f>IFERROR(IF(OR(E103="", D103="", LOWER(TRIM(E103))="pending", LOWER(TRIM(D103))="pending"), "Pending", E103 - D103), "Pending")</f>
        <v>9</v>
      </c>
      <c r="AF103" s="138" t="str">
        <f>IFERROR(IF(OR(E103="", D103="","Pending","Pending"), "Pending", IF((E103 - D103) &lt;= 5, "On Time", "Delayed")), "Pending")</f>
        <v>Delayed</v>
      </c>
      <c r="AG103" s="24" t="str">
        <f t="shared" si="5"/>
        <v>Completed</v>
      </c>
    </row>
    <row r="104" spans="1:33">
      <c r="A104" s="24" t="s">
        <v>614</v>
      </c>
      <c r="B104" s="24" t="s">
        <v>327</v>
      </c>
      <c r="C104" s="24" t="s">
        <v>92</v>
      </c>
      <c r="D104" s="30">
        <v>46149</v>
      </c>
      <c r="E104" s="30" t="s">
        <v>615</v>
      </c>
      <c r="F104" s="24" t="str">
        <f>VLOOKUP(B104,Custumer_Master!A:D,2,FALSE)</f>
        <v>Amit Sharma</v>
      </c>
      <c r="G104" s="24" t="str">
        <f>VLOOKUP($B104,Custumer_Master!$A:$J,6,FALSE)</f>
        <v>Male</v>
      </c>
      <c r="H104" s="30" t="str">
        <f>VLOOKUP($B104,Custumer_Master!$A:$J,7,FALSE)</f>
        <v>09/08/1991</v>
      </c>
      <c r="I104" s="24" t="str">
        <f>VLOOKUP($B104,Custumer_Master!$A:$J,9,FALSE)</f>
        <v>Pune</v>
      </c>
      <c r="J104" s="24" t="str">
        <f>VLOOKUP($B104,Custumer_Master!$A:$J,10,FALSE)</f>
        <v>West</v>
      </c>
      <c r="K104" s="24" t="str">
        <f>VLOOKUP(B104,Custumer_Master!A:D,4,FALSE)</f>
        <v>RJ</v>
      </c>
      <c r="L104" s="24" t="str">
        <f>PROPER(TRIM(VLOOKUP('Final Data'!C104,Product_Master!A:F,3,FALSE)))</f>
        <v>Home Appliances</v>
      </c>
      <c r="M104" s="24" t="s">
        <v>97</v>
      </c>
      <c r="N104" s="34">
        <v>16</v>
      </c>
      <c r="O104" s="192">
        <f>VLOOKUP(C104,Product_Master!A:F,5,FALSE)</f>
        <v>2625</v>
      </c>
      <c r="P104" s="33">
        <v>0</v>
      </c>
      <c r="Q104" s="34">
        <f t="shared" si="3"/>
        <v>42000</v>
      </c>
      <c r="R104" s="34">
        <v>2</v>
      </c>
      <c r="S104" s="24" t="s">
        <v>79</v>
      </c>
      <c r="T104" s="24" t="s">
        <v>49</v>
      </c>
      <c r="U104" s="24" t="s">
        <v>332</v>
      </c>
      <c r="V104" s="34">
        <v>9781411370</v>
      </c>
      <c r="W104" s="24" t="str">
        <f>VLOOKUP(C104,Product_Master!A:F,4,FALSE)</f>
        <v>Global Trade</v>
      </c>
      <c r="X104" s="34">
        <f>VLOOKUP(C104,Product_Master!A:F,6,FALSE)</f>
        <v>6</v>
      </c>
      <c r="Y104" s="24" t="str">
        <f>VLOOKUP(B104,Custumer_Master!A:D,3,FALSE)</f>
        <v>Silver</v>
      </c>
      <c r="Z104" s="30">
        <f>EDATE(E104,X104)</f>
        <v>46341</v>
      </c>
      <c r="AA104" s="29" t="str">
        <f>VLOOKUP(B104,Custumer_Master!A:K,11,)</f>
        <v>August</v>
      </c>
      <c r="AB104" s="24" t="s">
        <v>2160</v>
      </c>
      <c r="AC104" s="138" t="str">
        <f>PROPER(LEFT(TRIM(F104), 3)) &amp; RIGHT(TRIM(B104), 3) &amp; PROPER(LEFT(TRIM(I104), 2))</f>
        <v>Ami001Pu</v>
      </c>
      <c r="AD104" s="154">
        <f t="shared" ca="1" si="4"/>
        <v>34</v>
      </c>
      <c r="AE104" s="154">
        <f>IFERROR(IF(OR(E104="", D104="", LOWER(TRIM(E104))="pending", LOWER(TRIM(D104))="pending"), "Pending", E104 - D104), "Pending")</f>
        <v>8</v>
      </c>
      <c r="AF104" s="138" t="str">
        <f>IFERROR(IF(OR(E104="", D104="","Pending","Pending"), "Pending", IF((E104 - D104) &lt;= 5, "On Time", "Delayed")), "Pending")</f>
        <v>Delayed</v>
      </c>
      <c r="AG104" s="24" t="str">
        <f t="shared" si="5"/>
        <v>Completed</v>
      </c>
    </row>
    <row r="105" spans="1:33">
      <c r="A105" s="24" t="s">
        <v>618</v>
      </c>
      <c r="B105" s="24" t="s">
        <v>251</v>
      </c>
      <c r="C105" s="24" t="s">
        <v>259</v>
      </c>
      <c r="D105" s="30">
        <v>45670</v>
      </c>
      <c r="E105" s="30" t="s">
        <v>620</v>
      </c>
      <c r="F105" s="24" t="str">
        <f>VLOOKUP(B105,Custumer_Master!A:D,2,FALSE)</f>
        <v>Sneha Joshi</v>
      </c>
      <c r="G105" s="24" t="str">
        <f>VLOOKUP($B105,Custumer_Master!$A:$J,6,FALSE)</f>
        <v>Female</v>
      </c>
      <c r="H105" s="30" t="str">
        <f>VLOOKUP($B105,Custumer_Master!$A:$J,7,FALSE)</f>
        <v>04/04/1981</v>
      </c>
      <c r="I105" s="24" t="str">
        <f>VLOOKUP($B105,Custumer_Master!$A:$J,9,FALSE)</f>
        <v>Pune</v>
      </c>
      <c r="J105" s="24" t="str">
        <f>VLOOKUP($B105,Custumer_Master!$A:$J,10,FALSE)</f>
        <v>West</v>
      </c>
      <c r="K105" s="24" t="str">
        <f>VLOOKUP(B105,Custumer_Master!A:D,4,FALSE)</f>
        <v>WB</v>
      </c>
      <c r="L105" s="24" t="str">
        <f>PROPER(TRIM(VLOOKUP('Final Data'!C105,Product_Master!A:F,3,FALSE)))</f>
        <v>Stationery</v>
      </c>
      <c r="M105" s="24" t="s">
        <v>263</v>
      </c>
      <c r="N105" s="34">
        <v>5</v>
      </c>
      <c r="O105" s="192">
        <f>VLOOKUP(C105,Product_Master!A:F,5,FALSE)</f>
        <v>33.75</v>
      </c>
      <c r="P105" s="33">
        <v>0.2</v>
      </c>
      <c r="Q105" s="34">
        <f t="shared" si="3"/>
        <v>135</v>
      </c>
      <c r="R105" s="34">
        <v>3</v>
      </c>
      <c r="S105" s="24" t="s">
        <v>79</v>
      </c>
      <c r="T105" s="24" t="s">
        <v>35</v>
      </c>
      <c r="U105" s="24" t="s">
        <v>256</v>
      </c>
      <c r="V105" s="34">
        <v>9584152818</v>
      </c>
      <c r="W105" s="24" t="str">
        <f>VLOOKUP(C105,Product_Master!A:F,4,FALSE)</f>
        <v>TechHub</v>
      </c>
      <c r="X105" s="34">
        <f>VLOOKUP(C105,Product_Master!A:F,6,FALSE)</f>
        <v>12</v>
      </c>
      <c r="Y105" s="24" t="str">
        <f>VLOOKUP(B105,Custumer_Master!A:D,3,FALSE)</f>
        <v>Gold</v>
      </c>
      <c r="Z105" s="30">
        <f>EDATE(E105,X105)</f>
        <v>46042</v>
      </c>
      <c r="AA105" s="29" t="str">
        <f>VLOOKUP(B105,Custumer_Master!A:K,11,)</f>
        <v>April</v>
      </c>
      <c r="AB105" s="24" t="s">
        <v>2108</v>
      </c>
      <c r="AC105" s="138" t="str">
        <f>PROPER(LEFT(TRIM(F105), 3)) &amp; RIGHT(TRIM(B105), 3) &amp; PROPER(LEFT(TRIM(I105), 2))</f>
        <v>Sne006Pu</v>
      </c>
      <c r="AD105" s="154">
        <f t="shared" ca="1" si="4"/>
        <v>45</v>
      </c>
      <c r="AE105" s="154">
        <f>IFERROR(IF(OR(E105="", D105="", LOWER(TRIM(E105))="pending", LOWER(TRIM(D105))="pending"), "Pending", E105 - D105), "Pending")</f>
        <v>7</v>
      </c>
      <c r="AF105" s="138" t="str">
        <f>IFERROR(IF(OR(E105="", D105="","Pending","Pending"), "Pending", IF((E105 - D105) &lt;= 5, "On Time", "Delayed")), "Pending")</f>
        <v>Delayed</v>
      </c>
      <c r="AG105" s="24" t="str">
        <f t="shared" si="5"/>
        <v>Completed</v>
      </c>
    </row>
    <row r="106" spans="1:33">
      <c r="A106" s="24" t="s">
        <v>623</v>
      </c>
      <c r="B106" s="24" t="s">
        <v>83</v>
      </c>
      <c r="C106" s="24" t="s">
        <v>222</v>
      </c>
      <c r="D106" s="30">
        <v>45733</v>
      </c>
      <c r="E106" s="30" t="s">
        <v>525</v>
      </c>
      <c r="F106" s="24" t="str">
        <f>VLOOKUP(B106,Custumer_Master!A:D,2,FALSE)</f>
        <v>Arjun Rao</v>
      </c>
      <c r="G106" s="24" t="str">
        <f>VLOOKUP($B106,Custumer_Master!$A:$J,6,FALSE)</f>
        <v>Male</v>
      </c>
      <c r="H106" s="30" t="str">
        <f>VLOOKUP($B106,Custumer_Master!$A:$J,7,FALSE)</f>
        <v>07/02/1988</v>
      </c>
      <c r="I106" s="24" t="str">
        <f>VLOOKUP($B106,Custumer_Master!$A:$J,9,FALSE)</f>
        <v>Hyderabad</v>
      </c>
      <c r="J106" s="24" t="str">
        <f>VLOOKUP($B106,Custumer_Master!$A:$J,10,FALSE)</f>
        <v>South</v>
      </c>
      <c r="K106" s="24" t="str">
        <f>VLOOKUP(B106,Custumer_Master!A:D,4,FALSE)</f>
        <v>RJ</v>
      </c>
      <c r="L106" s="24" t="str">
        <f>PROPER(TRIM(VLOOKUP('Final Data'!C106,Product_Master!A:F,3,FALSE)))</f>
        <v>Stationery</v>
      </c>
      <c r="M106" s="24" t="s">
        <v>227</v>
      </c>
      <c r="N106" s="34">
        <v>9</v>
      </c>
      <c r="O106" s="192">
        <f>VLOOKUP(C106,Product_Master!A:F,5,FALSE)</f>
        <v>15</v>
      </c>
      <c r="P106" s="33">
        <v>0.1</v>
      </c>
      <c r="Q106" s="34">
        <f t="shared" si="3"/>
        <v>121.5</v>
      </c>
      <c r="R106" s="34">
        <v>4</v>
      </c>
      <c r="S106" s="24" t="s">
        <v>79</v>
      </c>
      <c r="T106" s="24" t="s">
        <v>35</v>
      </c>
      <c r="U106" s="24" t="s">
        <v>89</v>
      </c>
      <c r="V106" s="34">
        <v>9507986836</v>
      </c>
      <c r="W106" s="24" t="str">
        <f>VLOOKUP(C106,Product_Master!A:F,4,FALSE)</f>
        <v>Prime Supplies</v>
      </c>
      <c r="X106" s="34">
        <f>VLOOKUP(C106,Product_Master!A:F,6,FALSE)</f>
        <v>12</v>
      </c>
      <c r="Y106" s="24" t="str">
        <f>VLOOKUP(B106,Custumer_Master!A:D,3,FALSE)</f>
        <v>Silver</v>
      </c>
      <c r="Z106" s="30">
        <f>EDATE(E106,X106)</f>
        <v>46099</v>
      </c>
      <c r="AA106" s="29" t="str">
        <f>VLOOKUP(B106,Custumer_Master!A:K,11,)</f>
        <v>February</v>
      </c>
      <c r="AB106" s="24" t="s">
        <v>2108</v>
      </c>
      <c r="AC106" s="138" t="str">
        <f>PROPER(LEFT(TRIM(F106), 3)) &amp; RIGHT(TRIM(B106), 3) &amp; PROPER(LEFT(TRIM(I106), 2))</f>
        <v>Arj007Hy</v>
      </c>
      <c r="AD106" s="154">
        <f t="shared" ca="1" si="4"/>
        <v>38</v>
      </c>
      <c r="AE106" s="154">
        <f>IFERROR(IF(OR(E106="", D106="", LOWER(TRIM(E106))="pending", LOWER(TRIM(D106))="pending"), "Pending", E106 - D106), "Pending")</f>
        <v>1</v>
      </c>
      <c r="AF106" s="138" t="str">
        <f>IFERROR(IF(OR(E106="", D106="","Pending","Pending"), "Pending", IF((E106 - D106) &lt;= 5, "On Time", "Delayed")), "Pending")</f>
        <v>On Time</v>
      </c>
      <c r="AG106" s="24" t="str">
        <f t="shared" si="5"/>
        <v>Completed</v>
      </c>
    </row>
    <row r="107" spans="1:33">
      <c r="A107" s="24" t="s">
        <v>627</v>
      </c>
      <c r="B107" s="24" t="s">
        <v>53</v>
      </c>
      <c r="C107" s="24" t="s">
        <v>72</v>
      </c>
      <c r="D107" s="30">
        <v>45713</v>
      </c>
      <c r="E107" s="30" t="s">
        <v>431</v>
      </c>
      <c r="F107" s="24" t="str">
        <f>VLOOKUP(B107,Custumer_Master!A:D,2,FALSE)</f>
        <v>Pooja Shah</v>
      </c>
      <c r="G107" s="24" t="str">
        <f>VLOOKUP($B107,Custumer_Master!$A:$J,6,FALSE)</f>
        <v>Female</v>
      </c>
      <c r="H107" s="30" t="str">
        <f>VLOOKUP($B107,Custumer_Master!$A:$J,7,FALSE)</f>
        <v>16/09/1994</v>
      </c>
      <c r="I107" s="24" t="str">
        <f>VLOOKUP($B107,Custumer_Master!$A:$J,9,FALSE)</f>
        <v>Bengaluru</v>
      </c>
      <c r="J107" s="24" t="str">
        <f>VLOOKUP($B107,Custumer_Master!$A:$J,10,FALSE)</f>
        <v>South</v>
      </c>
      <c r="K107" s="24" t="str">
        <f>VLOOKUP(B107,Custumer_Master!A:D,4,FALSE)</f>
        <v>WB</v>
      </c>
      <c r="L107" s="24" t="str">
        <f>PROPER(TRIM(VLOOKUP('Final Data'!C107,Product_Master!A:F,3,FALSE)))</f>
        <v>Electronics</v>
      </c>
      <c r="M107" s="24" t="s">
        <v>78</v>
      </c>
      <c r="N107" s="34">
        <v>9</v>
      </c>
      <c r="O107" s="192">
        <f>VLOOKUP(C107,Product_Master!A:F,5,FALSE)</f>
        <v>900</v>
      </c>
      <c r="P107" s="33">
        <v>0.05</v>
      </c>
      <c r="Q107" s="34">
        <f t="shared" si="3"/>
        <v>7695</v>
      </c>
      <c r="R107" s="34">
        <v>3</v>
      </c>
      <c r="S107" s="24" t="s">
        <v>2149</v>
      </c>
      <c r="T107" s="24" t="s">
        <v>35</v>
      </c>
      <c r="U107" s="24" t="s">
        <v>62</v>
      </c>
      <c r="V107" s="34">
        <v>9518249687</v>
      </c>
      <c r="W107" s="24" t="str">
        <f>VLOOKUP(C107,Product_Master!A:F,4,FALSE)</f>
        <v>TechHub</v>
      </c>
      <c r="X107" s="34">
        <f>VLOOKUP(C107,Product_Master!A:F,6,FALSE)</f>
        <v>6</v>
      </c>
      <c r="Y107" s="24" t="str">
        <f>VLOOKUP(B107,Custumer_Master!A:D,3,FALSE)</f>
        <v>Silver</v>
      </c>
      <c r="Z107" s="30">
        <f>EDATE(E107,X107)</f>
        <v>45901</v>
      </c>
      <c r="AA107" s="29" t="str">
        <f>VLOOKUP(B107,Custumer_Master!A:K,11,)</f>
        <v>September</v>
      </c>
      <c r="AB107" s="24" t="s">
        <v>2108</v>
      </c>
      <c r="AC107" s="138" t="str">
        <f>PROPER(LEFT(TRIM(F107), 3)) &amp; RIGHT(TRIM(B107), 3) &amp; PROPER(LEFT(TRIM(I107), 2))</f>
        <v>Poo010Be</v>
      </c>
      <c r="AD107" s="154">
        <f t="shared" ca="1" si="4"/>
        <v>31</v>
      </c>
      <c r="AE107" s="154">
        <f>IFERROR(IF(OR(E107="", D107="", LOWER(TRIM(E107))="pending", LOWER(TRIM(D107))="pending"), "Pending", E107 - D107), "Pending")</f>
        <v>4</v>
      </c>
      <c r="AF107" s="138" t="str">
        <f>IFERROR(IF(OR(E107="", D107="","Pending","Pending"), "Pending", IF((E107 - D107) &lt;= 5, "On Time", "Delayed")), "Pending")</f>
        <v>On Time</v>
      </c>
      <c r="AG107" s="24" t="str">
        <f t="shared" si="5"/>
        <v>Completed</v>
      </c>
    </row>
    <row r="108" spans="1:33">
      <c r="A108" s="24" t="s">
        <v>631</v>
      </c>
      <c r="B108" s="24" t="s">
        <v>100</v>
      </c>
      <c r="C108" s="24" t="s">
        <v>92</v>
      </c>
      <c r="D108" s="30">
        <v>45714</v>
      </c>
      <c r="E108" s="30" t="s">
        <v>632</v>
      </c>
      <c r="F108" s="24" t="str">
        <f>VLOOKUP(B108,Custumer_Master!A:D,2,FALSE)</f>
        <v>Priya Patel</v>
      </c>
      <c r="G108" s="24" t="str">
        <f>VLOOKUP($B108,Custumer_Master!$A:$J,6,FALSE)</f>
        <v>Female</v>
      </c>
      <c r="H108" s="30" t="str">
        <f>VLOOKUP($B108,Custumer_Master!$A:$J,7,FALSE)</f>
        <v>07/03/1995</v>
      </c>
      <c r="I108" s="24" t="str">
        <f>VLOOKUP($B108,Custumer_Master!$A:$J,9,FALSE)</f>
        <v>Mumbai</v>
      </c>
      <c r="J108" s="24" t="str">
        <f>VLOOKUP($B108,Custumer_Master!$A:$J,10,FALSE)</f>
        <v>West</v>
      </c>
      <c r="K108" s="24" t="str">
        <f>VLOOKUP(B108,Custumer_Master!A:D,4,FALSE)</f>
        <v>WB</v>
      </c>
      <c r="L108" s="24" t="str">
        <f>PROPER(TRIM(VLOOKUP('Final Data'!C108,Product_Master!A:F,3,FALSE)))</f>
        <v>Home Appliances</v>
      </c>
      <c r="M108" s="24" t="s">
        <v>97</v>
      </c>
      <c r="N108" s="34">
        <v>3</v>
      </c>
      <c r="O108" s="192">
        <f>VLOOKUP(C108,Product_Master!A:F,5,FALSE)</f>
        <v>2625</v>
      </c>
      <c r="P108" s="33">
        <v>0.1</v>
      </c>
      <c r="Q108" s="34">
        <f t="shared" si="3"/>
        <v>7087.5</v>
      </c>
      <c r="R108" s="34">
        <v>2</v>
      </c>
      <c r="S108" s="24" t="s">
        <v>79</v>
      </c>
      <c r="T108" s="24" t="s">
        <v>151</v>
      </c>
      <c r="U108" s="24" t="s">
        <v>144</v>
      </c>
      <c r="V108" s="34">
        <v>9179328207</v>
      </c>
      <c r="W108" s="24" t="str">
        <f>VLOOKUP(C108,Product_Master!A:F,4,FALSE)</f>
        <v>Global Trade</v>
      </c>
      <c r="X108" s="34">
        <f>VLOOKUP(C108,Product_Master!A:F,6,FALSE)</f>
        <v>6</v>
      </c>
      <c r="Y108" s="24" t="str">
        <f>VLOOKUP(B108,Custumer_Master!A:D,3,FALSE)</f>
        <v>Platinum</v>
      </c>
      <c r="Z108" s="30">
        <f>EDATE(E108,X108)</f>
        <v>45896</v>
      </c>
      <c r="AA108" s="29" t="str">
        <f>VLOOKUP(B108,Custumer_Master!A:K,11,)</f>
        <v>March</v>
      </c>
      <c r="AB108" s="24" t="s">
        <v>2160</v>
      </c>
      <c r="AC108" s="138" t="str">
        <f>PROPER(LEFT(TRIM(F108), 3)) &amp; RIGHT(TRIM(B108), 3) &amp; PROPER(LEFT(TRIM(I108), 2))</f>
        <v>Pri002Mu</v>
      </c>
      <c r="AD108" s="154">
        <f t="shared" ca="1" si="4"/>
        <v>31</v>
      </c>
      <c r="AE108" s="154">
        <f>IFERROR(IF(OR(E108="", D108="", LOWER(TRIM(E108))="pending", LOWER(TRIM(D108))="pending"), "Pending", E108 - D108), "Pending")</f>
        <v>1</v>
      </c>
      <c r="AF108" s="138" t="str">
        <f>IFERROR(IF(OR(E108="", D108="","Pending","Pending"), "Pending", IF((E108 - D108) &lt;= 5, "On Time", "Delayed")), "Pending")</f>
        <v>On Time</v>
      </c>
      <c r="AG108" s="24" t="str">
        <f t="shared" si="5"/>
        <v>Completed</v>
      </c>
    </row>
    <row r="109" spans="1:33">
      <c r="A109" s="24" t="s">
        <v>635</v>
      </c>
      <c r="B109" s="24" t="s">
        <v>221</v>
      </c>
      <c r="C109" s="24" t="s">
        <v>72</v>
      </c>
      <c r="D109" s="30">
        <v>46094</v>
      </c>
      <c r="E109" s="30" t="s">
        <v>636</v>
      </c>
      <c r="F109" s="24" t="str">
        <f>VLOOKUP(B109,Custumer_Master!A:D,2,FALSE)</f>
        <v>Vikas Mehta</v>
      </c>
      <c r="G109" s="24" t="str">
        <f>VLOOKUP($B109,Custumer_Master!$A:$J,6,FALSE)</f>
        <v>Male</v>
      </c>
      <c r="H109" s="30" t="str">
        <f>VLOOKUP($B109,Custumer_Master!$A:$J,7,FALSE)</f>
        <v>03/08/1991</v>
      </c>
      <c r="I109" s="24" t="str">
        <f>VLOOKUP($B109,Custumer_Master!$A:$J,9,FALSE)</f>
        <v>Mumbai</v>
      </c>
      <c r="J109" s="24" t="str">
        <f>VLOOKUP($B109,Custumer_Master!$A:$J,10,FALSE)</f>
        <v>West</v>
      </c>
      <c r="K109" s="24" t="str">
        <f>VLOOKUP(B109,Custumer_Master!A:D,4,FALSE)</f>
        <v>DL</v>
      </c>
      <c r="L109" s="24" t="str">
        <f>PROPER(TRIM(VLOOKUP('Final Data'!C109,Product_Master!A:F,3,FALSE)))</f>
        <v>Electronics</v>
      </c>
      <c r="M109" s="24" t="s">
        <v>78</v>
      </c>
      <c r="N109" s="34">
        <v>6</v>
      </c>
      <c r="O109" s="192">
        <f>VLOOKUP(C109,Product_Master!A:F,5,FALSE)</f>
        <v>900</v>
      </c>
      <c r="P109" s="33">
        <v>0.15</v>
      </c>
      <c r="Q109" s="34">
        <f t="shared" si="3"/>
        <v>4590</v>
      </c>
      <c r="R109" s="34">
        <v>4</v>
      </c>
      <c r="S109" s="24" t="s">
        <v>2149</v>
      </c>
      <c r="T109" s="24" t="s">
        <v>35</v>
      </c>
      <c r="U109" s="24" t="s">
        <v>228</v>
      </c>
      <c r="V109" s="34">
        <v>9778490728</v>
      </c>
      <c r="W109" s="24" t="str">
        <f>VLOOKUP(C109,Product_Master!A:F,4,FALSE)</f>
        <v>TechHub</v>
      </c>
      <c r="X109" s="34">
        <f>VLOOKUP(C109,Product_Master!A:F,6,FALSE)</f>
        <v>6</v>
      </c>
      <c r="Y109" s="24" t="str">
        <f>VLOOKUP(B109,Custumer_Master!A:D,3,FALSE)</f>
        <v>Gold</v>
      </c>
      <c r="Z109" s="30">
        <f>EDATE(E109,X109)</f>
        <v>46283</v>
      </c>
      <c r="AA109" s="29" t="str">
        <f>VLOOKUP(B109,Custumer_Master!A:K,11,)</f>
        <v>August</v>
      </c>
      <c r="AB109" s="24" t="s">
        <v>2108</v>
      </c>
      <c r="AC109" s="138" t="str">
        <f>PROPER(LEFT(TRIM(F109), 3)) &amp; RIGHT(TRIM(B109), 3) &amp; PROPER(LEFT(TRIM(I109), 2))</f>
        <v>Vik005Mu</v>
      </c>
      <c r="AD109" s="154">
        <f t="shared" ca="1" si="4"/>
        <v>34</v>
      </c>
      <c r="AE109" s="154">
        <f>IFERROR(IF(OR(E109="", D109="", LOWER(TRIM(E109))="pending", LOWER(TRIM(D109))="pending"), "Pending", E109 - D109), "Pending")</f>
        <v>5</v>
      </c>
      <c r="AF109" s="138" t="str">
        <f>IFERROR(IF(OR(E109="", D109="","Pending","Pending"), "Pending", IF((E109 - D109) &lt;= 5, "On Time", "Delayed")), "Pending")</f>
        <v>On Time</v>
      </c>
      <c r="AG109" s="24" t="str">
        <f t="shared" si="5"/>
        <v>Completed</v>
      </c>
    </row>
    <row r="110" spans="1:33">
      <c r="A110" s="24" t="s">
        <v>639</v>
      </c>
      <c r="B110" s="24" t="s">
        <v>83</v>
      </c>
      <c r="C110" s="24" t="s">
        <v>72</v>
      </c>
      <c r="D110" s="30">
        <v>45848</v>
      </c>
      <c r="E110" s="30" t="s">
        <v>641</v>
      </c>
      <c r="F110" s="24" t="str">
        <f>VLOOKUP(B110,Custumer_Master!A:D,2,FALSE)</f>
        <v>Arjun Rao</v>
      </c>
      <c r="G110" s="24" t="str">
        <f>VLOOKUP($B110,Custumer_Master!$A:$J,6,FALSE)</f>
        <v>Male</v>
      </c>
      <c r="H110" s="30" t="str">
        <f>VLOOKUP($B110,Custumer_Master!$A:$J,7,FALSE)</f>
        <v>07/02/1988</v>
      </c>
      <c r="I110" s="24" t="str">
        <f>VLOOKUP($B110,Custumer_Master!$A:$J,9,FALSE)</f>
        <v>Hyderabad</v>
      </c>
      <c r="J110" s="24" t="str">
        <f>VLOOKUP($B110,Custumer_Master!$A:$J,10,FALSE)</f>
        <v>South</v>
      </c>
      <c r="K110" s="24" t="str">
        <f>VLOOKUP(B110,Custumer_Master!A:D,4,FALSE)</f>
        <v>RJ</v>
      </c>
      <c r="L110" s="24" t="str">
        <f>PROPER(TRIM(VLOOKUP('Final Data'!C110,Product_Master!A:F,3,FALSE)))</f>
        <v>Electronics</v>
      </c>
      <c r="M110" s="24" t="s">
        <v>78</v>
      </c>
      <c r="N110" s="34">
        <v>17</v>
      </c>
      <c r="O110" s="192">
        <f>VLOOKUP(C110,Product_Master!A:F,5,FALSE)</f>
        <v>900</v>
      </c>
      <c r="P110" s="33">
        <v>0.15</v>
      </c>
      <c r="Q110" s="34">
        <f t="shared" si="3"/>
        <v>13005</v>
      </c>
      <c r="R110" s="34">
        <v>1</v>
      </c>
      <c r="S110" s="24" t="s">
        <v>34</v>
      </c>
      <c r="T110" s="24" t="s">
        <v>61</v>
      </c>
      <c r="U110" s="24" t="s">
        <v>89</v>
      </c>
      <c r="V110" s="34">
        <v>9223058722</v>
      </c>
      <c r="W110" s="24" t="str">
        <f>VLOOKUP(C110,Product_Master!A:F,4,FALSE)</f>
        <v>TechHub</v>
      </c>
      <c r="X110" s="34">
        <f>VLOOKUP(C110,Product_Master!A:F,6,FALSE)</f>
        <v>6</v>
      </c>
      <c r="Y110" s="24" t="str">
        <f>VLOOKUP(B110,Custumer_Master!A:D,3,FALSE)</f>
        <v>Silver</v>
      </c>
      <c r="Z110" s="30">
        <f>EDATE(E110,X110)</f>
        <v>46034</v>
      </c>
      <c r="AA110" s="29" t="str">
        <f>VLOOKUP(B110,Custumer_Master!A:K,11,)</f>
        <v>February</v>
      </c>
      <c r="AB110" s="24" t="s">
        <v>2160</v>
      </c>
      <c r="AC110" s="138" t="str">
        <f>PROPER(LEFT(TRIM(F110), 3)) &amp; RIGHT(TRIM(B110), 3) &amp; PROPER(LEFT(TRIM(I110), 2))</f>
        <v>Arj007Hy</v>
      </c>
      <c r="AD110" s="154">
        <f t="shared" ca="1" si="4"/>
        <v>38</v>
      </c>
      <c r="AE110" s="154">
        <f>IFERROR(IF(OR(E110="", D110="", LOWER(TRIM(E110))="pending", LOWER(TRIM(D110))="pending"), "Pending", E110 - D110), "Pending")</f>
        <v>2</v>
      </c>
      <c r="AF110" s="138" t="str">
        <f>IFERROR(IF(OR(E110="", D110="","Pending","Pending"), "Pending", IF((E110 - D110) &lt;= 5, "On Time", "Delayed")), "Pending")</f>
        <v>On Time</v>
      </c>
      <c r="AG110" s="24" t="str">
        <f t="shared" si="5"/>
        <v>Completed</v>
      </c>
    </row>
    <row r="111" spans="1:33">
      <c r="A111" s="24" t="s">
        <v>644</v>
      </c>
      <c r="B111" s="24" t="s">
        <v>221</v>
      </c>
      <c r="C111" s="24" t="s">
        <v>169</v>
      </c>
      <c r="D111" s="30">
        <v>45979</v>
      </c>
      <c r="E111" s="30" t="s">
        <v>287</v>
      </c>
      <c r="F111" s="24" t="str">
        <f>VLOOKUP(B111,Custumer_Master!A:D,2,FALSE)</f>
        <v>Vikas Mehta</v>
      </c>
      <c r="G111" s="24" t="str">
        <f>VLOOKUP($B111,Custumer_Master!$A:$J,6,FALSE)</f>
        <v>Male</v>
      </c>
      <c r="H111" s="30" t="str">
        <f>VLOOKUP($B111,Custumer_Master!$A:$J,7,FALSE)</f>
        <v>03/08/1991</v>
      </c>
      <c r="I111" s="24" t="str">
        <f>VLOOKUP($B111,Custumer_Master!$A:$J,9,FALSE)</f>
        <v>Mumbai</v>
      </c>
      <c r="J111" s="24" t="str">
        <f>VLOOKUP($B111,Custumer_Master!$A:$J,10,FALSE)</f>
        <v>West</v>
      </c>
      <c r="K111" s="24" t="str">
        <f>VLOOKUP(B111,Custumer_Master!A:D,4,FALSE)</f>
        <v>DL</v>
      </c>
      <c r="L111" s="24" t="str">
        <f>PROPER(TRIM(VLOOKUP('Final Data'!C111,Product_Master!A:F,3,FALSE)))</f>
        <v>Home Appliances</v>
      </c>
      <c r="M111" s="24" t="s">
        <v>174</v>
      </c>
      <c r="N111" s="34">
        <v>15</v>
      </c>
      <c r="O111" s="192">
        <f>VLOOKUP(C111,Product_Master!A:F,5,FALSE)</f>
        <v>6375</v>
      </c>
      <c r="P111" s="33">
        <v>0</v>
      </c>
      <c r="Q111" s="34">
        <f t="shared" si="3"/>
        <v>95625</v>
      </c>
      <c r="R111" s="34">
        <v>3</v>
      </c>
      <c r="S111" s="24" t="s">
        <v>34</v>
      </c>
      <c r="T111" s="24" t="s">
        <v>115</v>
      </c>
      <c r="U111" s="24" t="s">
        <v>228</v>
      </c>
      <c r="V111" s="34">
        <v>9999889465</v>
      </c>
      <c r="W111" s="24" t="str">
        <f>VLOOKUP(C111,Product_Master!A:F,4,FALSE)</f>
        <v>TechHub</v>
      </c>
      <c r="X111" s="34">
        <f>VLOOKUP(C111,Product_Master!A:F,6,FALSE)</f>
        <v>24</v>
      </c>
      <c r="Y111" s="24" t="str">
        <f>VLOOKUP(B111,Custumer_Master!A:D,3,FALSE)</f>
        <v>Gold</v>
      </c>
      <c r="Z111" s="30">
        <f>EDATE(E111,X111)</f>
        <v>46717</v>
      </c>
      <c r="AA111" s="29" t="str">
        <f>VLOOKUP(B111,Custumer_Master!A:K,11,)</f>
        <v>August</v>
      </c>
      <c r="AB111" s="24" t="s">
        <v>2112</v>
      </c>
      <c r="AC111" s="138" t="str">
        <f>PROPER(LEFT(TRIM(F111), 3)) &amp; RIGHT(TRIM(B111), 3) &amp; PROPER(LEFT(TRIM(I111), 2))</f>
        <v>Vik005Mu</v>
      </c>
      <c r="AD111" s="154">
        <f t="shared" ca="1" si="4"/>
        <v>34</v>
      </c>
      <c r="AE111" s="154">
        <f>IFERROR(IF(OR(E111="", D111="", LOWER(TRIM(E111))="pending", LOWER(TRIM(D111))="pending"), "Pending", E111 - D111), "Pending")</f>
        <v>8</v>
      </c>
      <c r="AF111" s="138" t="str">
        <f>IFERROR(IF(OR(E111="", D111="","Pending","Pending"), "Pending", IF((E111 - D111) &lt;= 5, "On Time", "Delayed")), "Pending")</f>
        <v>Delayed</v>
      </c>
      <c r="AG111" s="24" t="str">
        <f t="shared" si="5"/>
        <v>Completed</v>
      </c>
    </row>
    <row r="112" spans="1:33">
      <c r="A112" s="24" t="s">
        <v>648</v>
      </c>
      <c r="B112" s="24" t="s">
        <v>127</v>
      </c>
      <c r="C112" s="24" t="s">
        <v>72</v>
      </c>
      <c r="D112" s="30">
        <v>45760</v>
      </c>
      <c r="E112" s="30" t="s">
        <v>102</v>
      </c>
      <c r="F112" s="24" t="str">
        <f>VLOOKUP(B112,Custumer_Master!A:D,2,FALSE)</f>
        <v>Rohit Singh</v>
      </c>
      <c r="G112" s="24" t="str">
        <f>VLOOKUP($B112,Custumer_Master!$A:$J,6,FALSE)</f>
        <v>Male</v>
      </c>
      <c r="H112" s="30" t="str">
        <f>VLOOKUP($B112,Custumer_Master!$A:$J,7,FALSE)</f>
        <v>10/05/1982</v>
      </c>
      <c r="I112" s="24" t="str">
        <f>VLOOKUP($B112,Custumer_Master!$A:$J,9,FALSE)</f>
        <v>Delhi</v>
      </c>
      <c r="J112" s="24" t="str">
        <f>VLOOKUP($B112,Custumer_Master!$A:$J,10,FALSE)</f>
        <v>North</v>
      </c>
      <c r="K112" s="24" t="str">
        <f>VLOOKUP(B112,Custumer_Master!A:D,4,FALSE)</f>
        <v>DL</v>
      </c>
      <c r="L112" s="24" t="str">
        <f>PROPER(TRIM(VLOOKUP('Final Data'!C112,Product_Master!A:F,3,FALSE)))</f>
        <v>Electronics</v>
      </c>
      <c r="M112" s="24" t="s">
        <v>78</v>
      </c>
      <c r="N112" s="34">
        <v>1</v>
      </c>
      <c r="O112" s="192">
        <f>VLOOKUP(C112,Product_Master!A:F,5,FALSE)</f>
        <v>900</v>
      </c>
      <c r="P112" s="33">
        <v>0.2</v>
      </c>
      <c r="Q112" s="34">
        <f t="shared" si="3"/>
        <v>720</v>
      </c>
      <c r="R112" s="34">
        <v>1</v>
      </c>
      <c r="S112" s="24" t="s">
        <v>2149</v>
      </c>
      <c r="T112" s="24" t="s">
        <v>115</v>
      </c>
      <c r="U112" s="24" t="s">
        <v>132</v>
      </c>
      <c r="V112" s="34">
        <v>9489687402</v>
      </c>
      <c r="W112" s="24" t="str">
        <f>VLOOKUP(C112,Product_Master!A:F,4,FALSE)</f>
        <v>TechHub</v>
      </c>
      <c r="X112" s="34">
        <f>VLOOKUP(C112,Product_Master!A:F,6,FALSE)</f>
        <v>6</v>
      </c>
      <c r="Y112" s="24" t="str">
        <f>VLOOKUP(B112,Custumer_Master!A:D,3,FALSE)</f>
        <v>Gold</v>
      </c>
      <c r="Z112" s="30">
        <f>EDATE(E112,X112)</f>
        <v>45949</v>
      </c>
      <c r="AA112" s="29" t="str">
        <f>VLOOKUP(B112,Custumer_Master!A:K,11,)</f>
        <v>May</v>
      </c>
      <c r="AB112" s="24" t="s">
        <v>2160</v>
      </c>
      <c r="AC112" s="138" t="str">
        <f>PROPER(LEFT(TRIM(F112), 3)) &amp; RIGHT(TRIM(B112), 3) &amp; PROPER(LEFT(TRIM(I112), 2))</f>
        <v>Roh003De</v>
      </c>
      <c r="AD112" s="154">
        <f t="shared" ca="1" si="4"/>
        <v>44</v>
      </c>
      <c r="AE112" s="154">
        <f>IFERROR(IF(OR(E112="", D112="", LOWER(TRIM(E112))="pending", LOWER(TRIM(D112))="pending"), "Pending", E112 - D112), "Pending")</f>
        <v>6</v>
      </c>
      <c r="AF112" s="138" t="str">
        <f>IFERROR(IF(OR(E112="", D112="","Pending","Pending"), "Pending", IF((E112 - D112) &lt;= 5, "On Time", "Delayed")), "Pending")</f>
        <v>Delayed</v>
      </c>
      <c r="AG112" s="24" t="str">
        <f t="shared" si="5"/>
        <v>Completed</v>
      </c>
    </row>
    <row r="113" spans="1:33">
      <c r="A113" s="24" t="s">
        <v>651</v>
      </c>
      <c r="B113" s="24" t="s">
        <v>127</v>
      </c>
      <c r="C113" s="24" t="s">
        <v>169</v>
      </c>
      <c r="D113" s="30">
        <v>45756</v>
      </c>
      <c r="E113" s="30" t="s">
        <v>539</v>
      </c>
      <c r="F113" s="24" t="str">
        <f>VLOOKUP(B113,Custumer_Master!A:D,2,FALSE)</f>
        <v>Rohit Singh</v>
      </c>
      <c r="G113" s="24" t="str">
        <f>VLOOKUP($B113,Custumer_Master!$A:$J,6,FALSE)</f>
        <v>Male</v>
      </c>
      <c r="H113" s="30" t="str">
        <f>VLOOKUP($B113,Custumer_Master!$A:$J,7,FALSE)</f>
        <v>10/05/1982</v>
      </c>
      <c r="I113" s="24" t="str">
        <f>VLOOKUP($B113,Custumer_Master!$A:$J,9,FALSE)</f>
        <v>Delhi</v>
      </c>
      <c r="J113" s="24" t="str">
        <f>VLOOKUP($B113,Custumer_Master!$A:$J,10,FALSE)</f>
        <v>North</v>
      </c>
      <c r="K113" s="24" t="str">
        <f>VLOOKUP(B113,Custumer_Master!A:D,4,FALSE)</f>
        <v>DL</v>
      </c>
      <c r="L113" s="24" t="str">
        <f>PROPER(TRIM(VLOOKUP('Final Data'!C113,Product_Master!A:F,3,FALSE)))</f>
        <v>Home Appliances</v>
      </c>
      <c r="M113" s="24" t="s">
        <v>174</v>
      </c>
      <c r="N113" s="34">
        <v>5</v>
      </c>
      <c r="O113" s="192">
        <f>VLOOKUP(C113,Product_Master!A:F,5,FALSE)</f>
        <v>6375</v>
      </c>
      <c r="P113" s="33">
        <v>0.1</v>
      </c>
      <c r="Q113" s="34">
        <f t="shared" si="3"/>
        <v>28687.5</v>
      </c>
      <c r="R113" s="34">
        <v>1</v>
      </c>
      <c r="S113" s="24" t="s">
        <v>79</v>
      </c>
      <c r="T113" s="24" t="s">
        <v>61</v>
      </c>
      <c r="U113" s="24" t="s">
        <v>132</v>
      </c>
      <c r="V113" s="34">
        <v>9236963301</v>
      </c>
      <c r="W113" s="24" t="str">
        <f>VLOOKUP(C113,Product_Master!A:F,4,FALSE)</f>
        <v>TechHub</v>
      </c>
      <c r="X113" s="34">
        <f>VLOOKUP(C113,Product_Master!A:F,6,FALSE)</f>
        <v>24</v>
      </c>
      <c r="Y113" s="24" t="str">
        <f>VLOOKUP(B113,Custumer_Master!A:D,3,FALSE)</f>
        <v>Gold</v>
      </c>
      <c r="Z113" s="30">
        <f>EDATE(E113,X113)</f>
        <v>46495</v>
      </c>
      <c r="AA113" s="29" t="str">
        <f>VLOOKUP(B113,Custumer_Master!A:K,11,)</f>
        <v>May</v>
      </c>
      <c r="AB113" s="24" t="s">
        <v>2160</v>
      </c>
      <c r="AC113" s="138" t="str">
        <f>PROPER(LEFT(TRIM(F113), 3)) &amp; RIGHT(TRIM(B113), 3) &amp; PROPER(LEFT(TRIM(I113), 2))</f>
        <v>Roh003De</v>
      </c>
      <c r="AD113" s="154">
        <f t="shared" ca="1" si="4"/>
        <v>44</v>
      </c>
      <c r="AE113" s="154">
        <f>IFERROR(IF(OR(E113="", D113="", LOWER(TRIM(E113))="pending", LOWER(TRIM(D113))="pending"), "Pending", E113 - D113), "Pending")</f>
        <v>9</v>
      </c>
      <c r="AF113" s="138" t="str">
        <f>IFERROR(IF(OR(E113="", D113="","Pending","Pending"), "Pending", IF((E113 - D113) &lt;= 5, "On Time", "Delayed")), "Pending")</f>
        <v>Delayed</v>
      </c>
      <c r="AG113" s="24" t="str">
        <f t="shared" si="5"/>
        <v>Completed</v>
      </c>
    </row>
    <row r="114" spans="1:33">
      <c r="A114" s="24" t="s">
        <v>655</v>
      </c>
      <c r="B114" s="24" t="s">
        <v>53</v>
      </c>
      <c r="C114" s="24" t="s">
        <v>259</v>
      </c>
      <c r="D114" s="30">
        <v>46115</v>
      </c>
      <c r="E114" s="30" t="s">
        <v>657</v>
      </c>
      <c r="F114" s="24" t="str">
        <f>VLOOKUP(B114,Custumer_Master!A:D,2,FALSE)</f>
        <v>Pooja Shah</v>
      </c>
      <c r="G114" s="24" t="str">
        <f>VLOOKUP($B114,Custumer_Master!$A:$J,6,FALSE)</f>
        <v>Female</v>
      </c>
      <c r="H114" s="30" t="str">
        <f>VLOOKUP($B114,Custumer_Master!$A:$J,7,FALSE)</f>
        <v>16/09/1994</v>
      </c>
      <c r="I114" s="24" t="str">
        <f>VLOOKUP($B114,Custumer_Master!$A:$J,9,FALSE)</f>
        <v>Bengaluru</v>
      </c>
      <c r="J114" s="24" t="str">
        <f>VLOOKUP($B114,Custumer_Master!$A:$J,10,FALSE)</f>
        <v>South</v>
      </c>
      <c r="K114" s="24" t="str">
        <f>VLOOKUP(B114,Custumer_Master!A:D,4,FALSE)</f>
        <v>WB</v>
      </c>
      <c r="L114" s="24" t="str">
        <f>PROPER(TRIM(VLOOKUP('Final Data'!C114,Product_Master!A:F,3,FALSE)))</f>
        <v>Stationery</v>
      </c>
      <c r="M114" s="24" t="s">
        <v>263</v>
      </c>
      <c r="N114" s="34">
        <v>12</v>
      </c>
      <c r="O114" s="192">
        <f>VLOOKUP(C114,Product_Master!A:F,5,FALSE)</f>
        <v>33.75</v>
      </c>
      <c r="P114" s="33">
        <v>0.05</v>
      </c>
      <c r="Q114" s="34">
        <f t="shared" si="3"/>
        <v>384.75</v>
      </c>
      <c r="R114" s="34">
        <v>2</v>
      </c>
      <c r="S114" s="24" t="s">
        <v>2148</v>
      </c>
      <c r="T114" s="24" t="s">
        <v>35</v>
      </c>
      <c r="U114" s="24" t="s">
        <v>62</v>
      </c>
      <c r="V114" s="34">
        <v>9653594592</v>
      </c>
      <c r="W114" s="24" t="str">
        <f>VLOOKUP(C114,Product_Master!A:F,4,FALSE)</f>
        <v>TechHub</v>
      </c>
      <c r="X114" s="34">
        <f>VLOOKUP(C114,Product_Master!A:F,6,FALSE)</f>
        <v>12</v>
      </c>
      <c r="Y114" s="24" t="str">
        <f>VLOOKUP(B114,Custumer_Master!A:D,3,FALSE)</f>
        <v>Silver</v>
      </c>
      <c r="Z114" s="30">
        <f>EDATE(E114,X114)</f>
        <v>46487</v>
      </c>
      <c r="AA114" s="29" t="str">
        <f>VLOOKUP(B114,Custumer_Master!A:K,11,)</f>
        <v>September</v>
      </c>
      <c r="AB114" s="24" t="s">
        <v>2160</v>
      </c>
      <c r="AC114" s="138" t="str">
        <f>PROPER(LEFT(TRIM(F114), 3)) &amp; RIGHT(TRIM(B114), 3) &amp; PROPER(LEFT(TRIM(I114), 2))</f>
        <v>Poo010Be</v>
      </c>
      <c r="AD114" s="154">
        <f t="shared" ca="1" si="4"/>
        <v>31</v>
      </c>
      <c r="AE114" s="154">
        <f>IFERROR(IF(OR(E114="", D114="", LOWER(TRIM(E114))="pending", LOWER(TRIM(D114))="pending"), "Pending", E114 - D114), "Pending")</f>
        <v>7</v>
      </c>
      <c r="AF114" s="138" t="str">
        <f>IFERROR(IF(OR(E114="", D114="","Pending","Pending"), "Pending", IF((E114 - D114) &lt;= 5, "On Time", "Delayed")), "Pending")</f>
        <v>Delayed</v>
      </c>
      <c r="AG114" s="24" t="str">
        <f t="shared" si="5"/>
        <v>Completed</v>
      </c>
    </row>
    <row r="115" spans="1:33">
      <c r="A115" s="24" t="s">
        <v>660</v>
      </c>
      <c r="B115" s="24" t="s">
        <v>221</v>
      </c>
      <c r="C115" s="24" t="s">
        <v>118</v>
      </c>
      <c r="D115" s="30">
        <v>45953</v>
      </c>
      <c r="E115" s="30" t="s">
        <v>661</v>
      </c>
      <c r="F115" s="24" t="str">
        <f>VLOOKUP(B115,Custumer_Master!A:D,2,FALSE)</f>
        <v>Vikas Mehta</v>
      </c>
      <c r="G115" s="24" t="str">
        <f>VLOOKUP($B115,Custumer_Master!$A:$J,6,FALSE)</f>
        <v>Male</v>
      </c>
      <c r="H115" s="30" t="str">
        <f>VLOOKUP($B115,Custumer_Master!$A:$J,7,FALSE)</f>
        <v>03/08/1991</v>
      </c>
      <c r="I115" s="24" t="str">
        <f>VLOOKUP($B115,Custumer_Master!$A:$J,9,FALSE)</f>
        <v>Mumbai</v>
      </c>
      <c r="J115" s="24" t="str">
        <f>VLOOKUP($B115,Custumer_Master!$A:$J,10,FALSE)</f>
        <v>West</v>
      </c>
      <c r="K115" s="24" t="str">
        <f>VLOOKUP(B115,Custumer_Master!A:D,4,FALSE)</f>
        <v>DL</v>
      </c>
      <c r="L115" s="24" t="str">
        <f>PROPER(TRIM(VLOOKUP('Final Data'!C115,Product_Master!A:F,3,FALSE)))</f>
        <v>Stationery</v>
      </c>
      <c r="M115" s="24" t="s">
        <v>123</v>
      </c>
      <c r="N115" s="34">
        <v>5</v>
      </c>
      <c r="O115" s="192">
        <f>VLOOKUP(C115,Product_Master!A:F,5,FALSE)</f>
        <v>45</v>
      </c>
      <c r="P115" s="33">
        <v>0.05</v>
      </c>
      <c r="Q115" s="34">
        <f t="shared" si="3"/>
        <v>213.75</v>
      </c>
      <c r="R115" s="34">
        <v>2</v>
      </c>
      <c r="S115" s="24" t="s">
        <v>34</v>
      </c>
      <c r="T115" s="24" t="s">
        <v>61</v>
      </c>
      <c r="U115" s="24" t="s">
        <v>228</v>
      </c>
      <c r="V115" s="34">
        <v>9781970426</v>
      </c>
      <c r="W115" s="24" t="str">
        <f>VLOOKUP(C115,Product_Master!A:F,4,FALSE)</f>
        <v>ABC Corp</v>
      </c>
      <c r="X115" s="34">
        <f>VLOOKUP(C115,Product_Master!A:F,6,FALSE)</f>
        <v>12</v>
      </c>
      <c r="Y115" s="24" t="str">
        <f>VLOOKUP(B115,Custumer_Master!A:D,3,FALSE)</f>
        <v>Gold</v>
      </c>
      <c r="Z115" s="30">
        <f>EDATE(E115,X115)</f>
        <v>46323</v>
      </c>
      <c r="AA115" s="29" t="str">
        <f>VLOOKUP(B115,Custumer_Master!A:K,11,)</f>
        <v>August</v>
      </c>
      <c r="AB115" s="24" t="s">
        <v>2160</v>
      </c>
      <c r="AC115" s="138" t="str">
        <f>PROPER(LEFT(TRIM(F115), 3)) &amp; RIGHT(TRIM(B115), 3) &amp; PROPER(LEFT(TRIM(I115), 2))</f>
        <v>Vik005Mu</v>
      </c>
      <c r="AD115" s="154">
        <f t="shared" ca="1" si="4"/>
        <v>34</v>
      </c>
      <c r="AE115" s="154">
        <f>IFERROR(IF(OR(E115="", D115="", LOWER(TRIM(E115))="pending", LOWER(TRIM(D115))="pending"), "Pending", E115 - D115), "Pending")</f>
        <v>5</v>
      </c>
      <c r="AF115" s="138" t="str">
        <f>IFERROR(IF(OR(E115="", D115="","Pending","Pending"), "Pending", IF((E115 - D115) &lt;= 5, "On Time", "Delayed")), "Pending")</f>
        <v>On Time</v>
      </c>
      <c r="AG115" s="24" t="str">
        <f t="shared" si="5"/>
        <v>Completed</v>
      </c>
    </row>
    <row r="116" spans="1:33">
      <c r="A116" s="24" t="s">
        <v>664</v>
      </c>
      <c r="B116" s="24" t="s">
        <v>53</v>
      </c>
      <c r="C116" s="24" t="s">
        <v>184</v>
      </c>
      <c r="D116" s="30">
        <v>45750</v>
      </c>
      <c r="E116" s="30" t="s">
        <v>666</v>
      </c>
      <c r="F116" s="24" t="str">
        <f>VLOOKUP(B116,Custumer_Master!A:D,2,FALSE)</f>
        <v>Pooja Shah</v>
      </c>
      <c r="G116" s="24" t="str">
        <f>VLOOKUP($B116,Custumer_Master!$A:$J,6,FALSE)</f>
        <v>Female</v>
      </c>
      <c r="H116" s="30" t="str">
        <f>VLOOKUP($B116,Custumer_Master!$A:$J,7,FALSE)</f>
        <v>16/09/1994</v>
      </c>
      <c r="I116" s="24" t="str">
        <f>VLOOKUP($B116,Custumer_Master!$A:$J,9,FALSE)</f>
        <v>Bengaluru</v>
      </c>
      <c r="J116" s="24" t="str">
        <f>VLOOKUP($B116,Custumer_Master!$A:$J,10,FALSE)</f>
        <v>South</v>
      </c>
      <c r="K116" s="24" t="str">
        <f>VLOOKUP(B116,Custumer_Master!A:D,4,FALSE)</f>
        <v>WB</v>
      </c>
      <c r="L116" s="24" t="str">
        <f>PROPER(TRIM(VLOOKUP('Final Data'!C116,Product_Master!A:F,3,FALSE)))</f>
        <v>Electronics</v>
      </c>
      <c r="M116" s="24" t="s">
        <v>189</v>
      </c>
      <c r="N116" s="34">
        <v>3</v>
      </c>
      <c r="O116" s="192">
        <f>VLOOKUP(C116,Product_Master!A:F,5,FALSE)</f>
        <v>525</v>
      </c>
      <c r="P116" s="33">
        <v>0</v>
      </c>
      <c r="Q116" s="34">
        <f t="shared" si="3"/>
        <v>1575</v>
      </c>
      <c r="R116" s="34">
        <v>4</v>
      </c>
      <c r="S116" s="24" t="s">
        <v>79</v>
      </c>
      <c r="T116" s="24" t="s">
        <v>61</v>
      </c>
      <c r="U116" s="24" t="s">
        <v>62</v>
      </c>
      <c r="V116" s="34">
        <v>9862165194</v>
      </c>
      <c r="W116" s="24" t="str">
        <f>VLOOKUP(C116,Product_Master!A:F,4,FALSE)</f>
        <v>TechHub</v>
      </c>
      <c r="X116" s="34">
        <f>VLOOKUP(C116,Product_Master!A:F,6,FALSE)</f>
        <v>24</v>
      </c>
      <c r="Y116" s="24" t="str">
        <f>VLOOKUP(B116,Custumer_Master!A:D,3,FALSE)</f>
        <v>Silver</v>
      </c>
      <c r="Z116" s="30">
        <f>EDATE(E116,X116)</f>
        <v>46491</v>
      </c>
      <c r="AA116" s="29" t="str">
        <f>VLOOKUP(B116,Custumer_Master!A:K,11,)</f>
        <v>September</v>
      </c>
      <c r="AB116" s="24" t="s">
        <v>2108</v>
      </c>
      <c r="AC116" s="138" t="str">
        <f>PROPER(LEFT(TRIM(F116), 3)) &amp; RIGHT(TRIM(B116), 3) &amp; PROPER(LEFT(TRIM(I116), 2))</f>
        <v>Poo010Be</v>
      </c>
      <c r="AD116" s="154">
        <f t="shared" ca="1" si="4"/>
        <v>31</v>
      </c>
      <c r="AE116" s="154">
        <f>IFERROR(IF(OR(E116="", D116="", LOWER(TRIM(E116))="pending", LOWER(TRIM(D116))="pending"), "Pending", E116 - D116), "Pending")</f>
        <v>11</v>
      </c>
      <c r="AF116" s="138" t="str">
        <f>IFERROR(IF(OR(E116="", D116="","Pending","Pending"), "Pending", IF((E116 - D116) &lt;= 5, "On Time", "Delayed")), "Pending")</f>
        <v>Delayed</v>
      </c>
      <c r="AG116" s="24" t="str">
        <f t="shared" si="5"/>
        <v>Completed</v>
      </c>
    </row>
    <row r="117" spans="1:33">
      <c r="A117" s="24" t="s">
        <v>669</v>
      </c>
      <c r="B117" s="24" t="s">
        <v>168</v>
      </c>
      <c r="C117" s="24" t="s">
        <v>222</v>
      </c>
      <c r="D117" s="30">
        <v>45772</v>
      </c>
      <c r="E117" s="30" t="s">
        <v>606</v>
      </c>
      <c r="F117" s="24" t="str">
        <f>VLOOKUP(B117,Custumer_Master!A:D,2,FALSE)</f>
        <v>Anita Gupta</v>
      </c>
      <c r="G117" s="24" t="str">
        <f>VLOOKUP($B117,Custumer_Master!$A:$J,6,FALSE)</f>
        <v>Female</v>
      </c>
      <c r="H117" s="30" t="str">
        <f>VLOOKUP($B117,Custumer_Master!$A:$J,7,FALSE)</f>
        <v>16/01/2002</v>
      </c>
      <c r="I117" s="24" t="str">
        <f>VLOOKUP($B117,Custumer_Master!$A:$J,9,FALSE)</f>
        <v>Pune</v>
      </c>
      <c r="J117" s="24" t="str">
        <f>VLOOKUP($B117,Custumer_Master!$A:$J,10,FALSE)</f>
        <v>West</v>
      </c>
      <c r="K117" s="24" t="str">
        <f>VLOOKUP(B117,Custumer_Master!A:D,4,FALSE)</f>
        <v>WB</v>
      </c>
      <c r="L117" s="24" t="str">
        <f>PROPER(TRIM(VLOOKUP('Final Data'!C117,Product_Master!A:F,3,FALSE)))</f>
        <v>Stationery</v>
      </c>
      <c r="M117" s="24" t="s">
        <v>227</v>
      </c>
      <c r="N117" s="34">
        <v>6</v>
      </c>
      <c r="O117" s="192">
        <f>VLOOKUP(C117,Product_Master!A:F,5,FALSE)</f>
        <v>15</v>
      </c>
      <c r="P117" s="33">
        <v>0.15</v>
      </c>
      <c r="Q117" s="34">
        <f t="shared" si="3"/>
        <v>76.5</v>
      </c>
      <c r="R117" s="34">
        <v>5</v>
      </c>
      <c r="S117" s="24" t="s">
        <v>79</v>
      </c>
      <c r="T117" s="24" t="s">
        <v>151</v>
      </c>
      <c r="U117" s="24" t="s">
        <v>175</v>
      </c>
      <c r="V117" s="34">
        <v>9661280388</v>
      </c>
      <c r="W117" s="24" t="str">
        <f>VLOOKUP(C117,Product_Master!A:F,4,FALSE)</f>
        <v>Prime Supplies</v>
      </c>
      <c r="X117" s="34">
        <f>VLOOKUP(C117,Product_Master!A:F,6,FALSE)</f>
        <v>12</v>
      </c>
      <c r="Y117" s="24" t="str">
        <f>VLOOKUP(B117,Custumer_Master!A:D,3,FALSE)</f>
        <v>Gold</v>
      </c>
      <c r="Z117" s="30">
        <f>EDATE(E117,X117)</f>
        <v>46141</v>
      </c>
      <c r="AA117" s="29" t="str">
        <f>VLOOKUP(B117,Custumer_Master!A:K,11,)</f>
        <v>January</v>
      </c>
      <c r="AB117" s="24" t="s">
        <v>2108</v>
      </c>
      <c r="AC117" s="138" t="str">
        <f>PROPER(LEFT(TRIM(F117), 3)) &amp; RIGHT(TRIM(B117), 3) &amp; PROPER(LEFT(TRIM(I117), 2))</f>
        <v>Ani004Pu</v>
      </c>
      <c r="AD117" s="154">
        <f t="shared" ca="1" si="4"/>
        <v>24</v>
      </c>
      <c r="AE117" s="154">
        <f>IFERROR(IF(OR(E117="", D117="", LOWER(TRIM(E117))="pending", LOWER(TRIM(D117))="pending"), "Pending", E117 - D117), "Pending")</f>
        <v>4</v>
      </c>
      <c r="AF117" s="138" t="str">
        <f>IFERROR(IF(OR(E117="", D117="","Pending","Pending"), "Pending", IF((E117 - D117) &lt;= 5, "On Time", "Delayed")), "Pending")</f>
        <v>On Time</v>
      </c>
      <c r="AG117" s="24" t="str">
        <f t="shared" si="5"/>
        <v>Completed</v>
      </c>
    </row>
    <row r="118" spans="1:33">
      <c r="A118" s="24" t="s">
        <v>672</v>
      </c>
      <c r="B118" s="24" t="s">
        <v>100</v>
      </c>
      <c r="C118" s="24" t="s">
        <v>184</v>
      </c>
      <c r="D118" s="30">
        <v>45893</v>
      </c>
      <c r="E118" s="30" t="s">
        <v>674</v>
      </c>
      <c r="F118" s="24" t="str">
        <f>VLOOKUP(B118,Custumer_Master!A:D,2,FALSE)</f>
        <v>Priya Patel</v>
      </c>
      <c r="G118" s="24" t="str">
        <f>VLOOKUP($B118,Custumer_Master!$A:$J,6,FALSE)</f>
        <v>Female</v>
      </c>
      <c r="H118" s="30" t="str">
        <f>VLOOKUP($B118,Custumer_Master!$A:$J,7,FALSE)</f>
        <v>07/03/1995</v>
      </c>
      <c r="I118" s="24" t="str">
        <f>VLOOKUP($B118,Custumer_Master!$A:$J,9,FALSE)</f>
        <v>Mumbai</v>
      </c>
      <c r="J118" s="24" t="str">
        <f>VLOOKUP($B118,Custumer_Master!$A:$J,10,FALSE)</f>
        <v>West</v>
      </c>
      <c r="K118" s="24" t="str">
        <f>VLOOKUP(B118,Custumer_Master!A:D,4,FALSE)</f>
        <v>WB</v>
      </c>
      <c r="L118" s="24" t="str">
        <f>PROPER(TRIM(VLOOKUP('Final Data'!C118,Product_Master!A:F,3,FALSE)))</f>
        <v>Electronics</v>
      </c>
      <c r="M118" s="24" t="s">
        <v>189</v>
      </c>
      <c r="N118" s="34">
        <v>2</v>
      </c>
      <c r="O118" s="192">
        <f>VLOOKUP(C118,Product_Master!A:F,5,FALSE)</f>
        <v>525</v>
      </c>
      <c r="P118" s="33">
        <v>0.15</v>
      </c>
      <c r="Q118" s="34">
        <f t="shared" si="3"/>
        <v>892.5</v>
      </c>
      <c r="R118" s="34">
        <v>4</v>
      </c>
      <c r="S118" s="24" t="s">
        <v>34</v>
      </c>
      <c r="T118" s="24" t="s">
        <v>151</v>
      </c>
      <c r="U118" s="24" t="s">
        <v>144</v>
      </c>
      <c r="V118" s="34">
        <v>9896985355</v>
      </c>
      <c r="W118" s="24" t="str">
        <f>VLOOKUP(C118,Product_Master!A:F,4,FALSE)</f>
        <v>TechHub</v>
      </c>
      <c r="X118" s="34">
        <f>VLOOKUP(C118,Product_Master!A:F,6,FALSE)</f>
        <v>24</v>
      </c>
      <c r="Y118" s="24" t="str">
        <f>VLOOKUP(B118,Custumer_Master!A:D,3,FALSE)</f>
        <v>Platinum</v>
      </c>
      <c r="Z118" s="30">
        <f>EDATE(E118,X118)</f>
        <v>46630</v>
      </c>
      <c r="AA118" s="29" t="str">
        <f>VLOOKUP(B118,Custumer_Master!A:K,11,)</f>
        <v>March</v>
      </c>
      <c r="AB118" s="24" t="s">
        <v>2108</v>
      </c>
      <c r="AC118" s="138" t="str">
        <f>PROPER(LEFT(TRIM(F118), 3)) &amp; RIGHT(TRIM(B118), 3) &amp; PROPER(LEFT(TRIM(I118), 2))</f>
        <v>Pri002Mu</v>
      </c>
      <c r="AD118" s="154">
        <f t="shared" ca="1" si="4"/>
        <v>31</v>
      </c>
      <c r="AE118" s="154">
        <f>IFERROR(IF(OR(E118="", D118="", LOWER(TRIM(E118))="pending", LOWER(TRIM(D118))="pending"), "Pending", E118 - D118), "Pending")</f>
        <v>7</v>
      </c>
      <c r="AF118" s="138" t="str">
        <f>IFERROR(IF(OR(E118="", D118="","Pending","Pending"), "Pending", IF((E118 - D118) &lt;= 5, "On Time", "Delayed")), "Pending")</f>
        <v>Delayed</v>
      </c>
      <c r="AG118" s="24" t="str">
        <f t="shared" si="5"/>
        <v>Completed</v>
      </c>
    </row>
    <row r="119" spans="1:33">
      <c r="A119" s="24" t="s">
        <v>677</v>
      </c>
      <c r="B119" s="24" t="s">
        <v>327</v>
      </c>
      <c r="C119" s="24" t="s">
        <v>259</v>
      </c>
      <c r="D119" s="30">
        <v>45808</v>
      </c>
      <c r="E119" s="30" t="s">
        <v>679</v>
      </c>
      <c r="F119" s="24" t="str">
        <f>VLOOKUP(B119,Custumer_Master!A:D,2,FALSE)</f>
        <v>Amit Sharma</v>
      </c>
      <c r="G119" s="24" t="str">
        <f>VLOOKUP($B119,Custumer_Master!$A:$J,6,FALSE)</f>
        <v>Male</v>
      </c>
      <c r="H119" s="30" t="str">
        <f>VLOOKUP($B119,Custumer_Master!$A:$J,7,FALSE)</f>
        <v>09/08/1991</v>
      </c>
      <c r="I119" s="24" t="str">
        <f>VLOOKUP($B119,Custumer_Master!$A:$J,9,FALSE)</f>
        <v>Pune</v>
      </c>
      <c r="J119" s="24" t="str">
        <f>VLOOKUP($B119,Custumer_Master!$A:$J,10,FALSE)</f>
        <v>West</v>
      </c>
      <c r="K119" s="24" t="str">
        <f>VLOOKUP(B119,Custumer_Master!A:D,4,FALSE)</f>
        <v>RJ</v>
      </c>
      <c r="L119" s="24" t="str">
        <f>PROPER(TRIM(VLOOKUP('Final Data'!C119,Product_Master!A:F,3,FALSE)))</f>
        <v>Stationery</v>
      </c>
      <c r="M119" s="24" t="s">
        <v>263</v>
      </c>
      <c r="N119" s="34">
        <v>16</v>
      </c>
      <c r="O119" s="192">
        <f>VLOOKUP(C119,Product_Master!A:F,5,FALSE)</f>
        <v>33.75</v>
      </c>
      <c r="P119" s="33">
        <v>0</v>
      </c>
      <c r="Q119" s="34">
        <f t="shared" si="3"/>
        <v>540</v>
      </c>
      <c r="R119" s="34">
        <v>1</v>
      </c>
      <c r="S119" s="24" t="s">
        <v>2148</v>
      </c>
      <c r="T119" s="24" t="s">
        <v>61</v>
      </c>
      <c r="U119" s="24" t="s">
        <v>332</v>
      </c>
      <c r="V119" s="34">
        <v>9807154421</v>
      </c>
      <c r="W119" s="24" t="str">
        <f>VLOOKUP(C119,Product_Master!A:F,4,FALSE)</f>
        <v>TechHub</v>
      </c>
      <c r="X119" s="34">
        <f>VLOOKUP(C119,Product_Master!A:F,6,FALSE)</f>
        <v>12</v>
      </c>
      <c r="Y119" s="24" t="str">
        <f>VLOOKUP(B119,Custumer_Master!A:D,3,FALSE)</f>
        <v>Silver</v>
      </c>
      <c r="Z119" s="30">
        <f>EDATE(E119,X119)</f>
        <v>46184</v>
      </c>
      <c r="AA119" s="29" t="str">
        <f>VLOOKUP(B119,Custumer_Master!A:K,11,)</f>
        <v>August</v>
      </c>
      <c r="AB119" s="24" t="s">
        <v>2160</v>
      </c>
      <c r="AC119" s="138" t="str">
        <f>PROPER(LEFT(TRIM(F119), 3)) &amp; RIGHT(TRIM(B119), 3) &amp; PROPER(LEFT(TRIM(I119), 2))</f>
        <v>Ami001Pu</v>
      </c>
      <c r="AD119" s="154">
        <f t="shared" ca="1" si="4"/>
        <v>34</v>
      </c>
      <c r="AE119" s="154">
        <f>IFERROR(IF(OR(E119="", D119="", LOWER(TRIM(E119))="pending", LOWER(TRIM(D119))="pending"), "Pending", E119 - D119), "Pending")</f>
        <v>11</v>
      </c>
      <c r="AF119" s="138" t="str">
        <f>IFERROR(IF(OR(E119="", D119="","Pending","Pending"), "Pending", IF((E119 - D119) &lt;= 5, "On Time", "Delayed")), "Pending")</f>
        <v>Delayed</v>
      </c>
      <c r="AG119" s="24" t="str">
        <f t="shared" si="5"/>
        <v>Completed</v>
      </c>
    </row>
    <row r="120" spans="1:33">
      <c r="A120" s="24" t="s">
        <v>682</v>
      </c>
      <c r="B120" s="24" t="s">
        <v>71</v>
      </c>
      <c r="C120" s="24" t="s">
        <v>72</v>
      </c>
      <c r="D120" s="30">
        <v>45807</v>
      </c>
      <c r="E120" s="30" t="s">
        <v>684</v>
      </c>
      <c r="F120" s="24" t="str">
        <f>VLOOKUP(B120,Custumer_Master!A:D,2,FALSE)</f>
        <v>Mohit Verma</v>
      </c>
      <c r="G120" s="24" t="str">
        <f>VLOOKUP($B120,Custumer_Master!$A:$J,6,FALSE)</f>
        <v>Male</v>
      </c>
      <c r="H120" s="30" t="str">
        <f>VLOOKUP($B120,Custumer_Master!$A:$J,7,FALSE)</f>
        <v>13/04/1976</v>
      </c>
      <c r="I120" s="24" t="str">
        <f>VLOOKUP($B120,Custumer_Master!$A:$J,9,FALSE)</f>
        <v>Delhi</v>
      </c>
      <c r="J120" s="24" t="str">
        <f>VLOOKUP($B120,Custumer_Master!$A:$J,10,FALSE)</f>
        <v>North</v>
      </c>
      <c r="K120" s="24" t="str">
        <f>VLOOKUP(B120,Custumer_Master!A:D,4,FALSE)</f>
        <v>KA</v>
      </c>
      <c r="L120" s="24" t="str">
        <f>PROPER(TRIM(VLOOKUP('Final Data'!C120,Product_Master!A:F,3,FALSE)))</f>
        <v>Electronics</v>
      </c>
      <c r="M120" s="24" t="s">
        <v>78</v>
      </c>
      <c r="N120" s="34">
        <v>10</v>
      </c>
      <c r="O120" s="192">
        <f>VLOOKUP(C120,Product_Master!A:F,5,FALSE)</f>
        <v>900</v>
      </c>
      <c r="P120" s="33">
        <v>0.15</v>
      </c>
      <c r="Q120" s="34">
        <f t="shared" si="3"/>
        <v>7650</v>
      </c>
      <c r="R120" s="34">
        <v>4</v>
      </c>
      <c r="S120" s="24" t="s">
        <v>2149</v>
      </c>
      <c r="T120" s="24" t="s">
        <v>151</v>
      </c>
      <c r="U120" s="24" t="s">
        <v>80</v>
      </c>
      <c r="V120" s="34">
        <v>9919834000</v>
      </c>
      <c r="W120" s="24" t="str">
        <f>VLOOKUP(C120,Product_Master!A:F,4,FALSE)</f>
        <v>TechHub</v>
      </c>
      <c r="X120" s="34">
        <f>VLOOKUP(C120,Product_Master!A:F,6,FALSE)</f>
        <v>6</v>
      </c>
      <c r="Y120" s="24" t="str">
        <f>VLOOKUP(B120,Custumer_Master!A:D,3,FALSE)</f>
        <v>Platinum</v>
      </c>
      <c r="Z120" s="30">
        <f>EDATE(E120,X120)</f>
        <v>45993</v>
      </c>
      <c r="AA120" s="29" t="str">
        <f>VLOOKUP(B120,Custumer_Master!A:K,11,)</f>
        <v>April</v>
      </c>
      <c r="AB120" s="24" t="s">
        <v>2108</v>
      </c>
      <c r="AC120" s="138" t="str">
        <f>PROPER(LEFT(TRIM(F120), 3)) &amp; RIGHT(TRIM(B120), 3) &amp; PROPER(LEFT(TRIM(I120), 2))</f>
        <v>Moh009De</v>
      </c>
      <c r="AD120" s="154">
        <f t="shared" ca="1" si="4"/>
        <v>50</v>
      </c>
      <c r="AE120" s="154">
        <f>IFERROR(IF(OR(E120="", D120="", LOWER(TRIM(E120))="pending", LOWER(TRIM(D120))="pending"), "Pending", E120 - D120), "Pending")</f>
        <v>3</v>
      </c>
      <c r="AF120" s="138" t="str">
        <f>IFERROR(IF(OR(E120="", D120="","Pending","Pending"), "Pending", IF((E120 - D120) &lt;= 5, "On Time", "Delayed")), "Pending")</f>
        <v>On Time</v>
      </c>
      <c r="AG120" s="24" t="str">
        <f t="shared" si="5"/>
        <v>Completed</v>
      </c>
    </row>
    <row r="121" spans="1:33">
      <c r="A121" s="24" t="s">
        <v>688</v>
      </c>
      <c r="B121" s="24" t="s">
        <v>100</v>
      </c>
      <c r="C121" s="24" t="s">
        <v>40</v>
      </c>
      <c r="D121" s="30">
        <v>45888</v>
      </c>
      <c r="E121" s="30" t="s">
        <v>469</v>
      </c>
      <c r="F121" s="24" t="str">
        <f>VLOOKUP(B121,Custumer_Master!A:D,2,FALSE)</f>
        <v>Priya Patel</v>
      </c>
      <c r="G121" s="24" t="str">
        <f>VLOOKUP($B121,Custumer_Master!$A:$J,6,FALSE)</f>
        <v>Female</v>
      </c>
      <c r="H121" s="30" t="str">
        <f>VLOOKUP($B121,Custumer_Master!$A:$J,7,FALSE)</f>
        <v>07/03/1995</v>
      </c>
      <c r="I121" s="24" t="str">
        <f>VLOOKUP($B121,Custumer_Master!$A:$J,9,FALSE)</f>
        <v>Mumbai</v>
      </c>
      <c r="J121" s="24" t="str">
        <f>VLOOKUP($B121,Custumer_Master!$A:$J,10,FALSE)</f>
        <v>West</v>
      </c>
      <c r="K121" s="24" t="str">
        <f>VLOOKUP(B121,Custumer_Master!A:D,4,FALSE)</f>
        <v>WB</v>
      </c>
      <c r="L121" s="24" t="str">
        <f>PROPER(TRIM(VLOOKUP('Final Data'!C121,Product_Master!A:F,3,FALSE)))</f>
        <v>Electronics</v>
      </c>
      <c r="M121" s="24" t="s">
        <v>47</v>
      </c>
      <c r="N121" s="34">
        <v>14</v>
      </c>
      <c r="O121" s="192">
        <f>VLOOKUP(C121,Product_Master!A:F,5,FALSE)</f>
        <v>9000</v>
      </c>
      <c r="P121" s="33">
        <v>0.15</v>
      </c>
      <c r="Q121" s="34">
        <f t="shared" si="3"/>
        <v>107100</v>
      </c>
      <c r="R121" s="34">
        <v>2</v>
      </c>
      <c r="S121" s="24" t="s">
        <v>2148</v>
      </c>
      <c r="T121" s="24" t="s">
        <v>61</v>
      </c>
      <c r="U121" s="24" t="s">
        <v>144</v>
      </c>
      <c r="V121" s="34">
        <v>9739798818</v>
      </c>
      <c r="W121" s="24" t="str">
        <f>VLOOKUP(C121,Product_Master!A:F,4,FALSE)</f>
        <v>Global Trade</v>
      </c>
      <c r="X121" s="34">
        <f>VLOOKUP(C121,Product_Master!A:F,6,FALSE)</f>
        <v>24</v>
      </c>
      <c r="Y121" s="24" t="str">
        <f>VLOOKUP(B121,Custumer_Master!A:D,3,FALSE)</f>
        <v>Platinum</v>
      </c>
      <c r="Z121" s="30">
        <f>EDATE(E121,X121)</f>
        <v>46629</v>
      </c>
      <c r="AA121" s="29" t="str">
        <f>VLOOKUP(B121,Custumer_Master!A:K,11,)</f>
        <v>March</v>
      </c>
      <c r="AB121" s="24" t="s">
        <v>2160</v>
      </c>
      <c r="AC121" s="138" t="str">
        <f>PROPER(LEFT(TRIM(F121), 3)) &amp; RIGHT(TRIM(B121), 3) &amp; PROPER(LEFT(TRIM(I121), 2))</f>
        <v>Pri002Mu</v>
      </c>
      <c r="AD121" s="154">
        <f t="shared" ca="1" si="4"/>
        <v>31</v>
      </c>
      <c r="AE121" s="154">
        <f>IFERROR(IF(OR(E121="", D121="", LOWER(TRIM(E121))="pending", LOWER(TRIM(D121))="pending"), "Pending", E121 - D121), "Pending")</f>
        <v>11</v>
      </c>
      <c r="AF121" s="138" t="str">
        <f>IFERROR(IF(OR(E121="", D121="","Pending","Pending"), "Pending", IF((E121 - D121) &lt;= 5, "On Time", "Delayed")), "Pending")</f>
        <v>Delayed</v>
      </c>
      <c r="AG121" s="24" t="str">
        <f t="shared" si="5"/>
        <v>Completed</v>
      </c>
    </row>
    <row r="122" spans="1:33">
      <c r="A122" s="24" t="s">
        <v>691</v>
      </c>
      <c r="B122" s="24" t="s">
        <v>127</v>
      </c>
      <c r="C122" s="24" t="s">
        <v>169</v>
      </c>
      <c r="D122" s="30">
        <v>46005</v>
      </c>
      <c r="E122" s="30" t="s">
        <v>692</v>
      </c>
      <c r="F122" s="24" t="str">
        <f>VLOOKUP(B122,Custumer_Master!A:D,2,FALSE)</f>
        <v>Rohit Singh</v>
      </c>
      <c r="G122" s="24" t="str">
        <f>VLOOKUP($B122,Custumer_Master!$A:$J,6,FALSE)</f>
        <v>Male</v>
      </c>
      <c r="H122" s="30" t="str">
        <f>VLOOKUP($B122,Custumer_Master!$A:$J,7,FALSE)</f>
        <v>10/05/1982</v>
      </c>
      <c r="I122" s="24" t="str">
        <f>VLOOKUP($B122,Custumer_Master!$A:$J,9,FALSE)</f>
        <v>Delhi</v>
      </c>
      <c r="J122" s="24" t="str">
        <f>VLOOKUP($B122,Custumer_Master!$A:$J,10,FALSE)</f>
        <v>North</v>
      </c>
      <c r="K122" s="24" t="str">
        <f>VLOOKUP(B122,Custumer_Master!A:D,4,FALSE)</f>
        <v>DL</v>
      </c>
      <c r="L122" s="24" t="str">
        <f>PROPER(TRIM(VLOOKUP('Final Data'!C122,Product_Master!A:F,3,FALSE)))</f>
        <v>Home Appliances</v>
      </c>
      <c r="M122" s="24" t="s">
        <v>174</v>
      </c>
      <c r="N122" s="34">
        <v>8</v>
      </c>
      <c r="O122" s="192">
        <f>VLOOKUP(C122,Product_Master!A:F,5,FALSE)</f>
        <v>6375</v>
      </c>
      <c r="P122" s="33">
        <v>0.2</v>
      </c>
      <c r="Q122" s="34">
        <f t="shared" si="3"/>
        <v>40800</v>
      </c>
      <c r="R122" s="34">
        <v>3</v>
      </c>
      <c r="S122" s="24" t="s">
        <v>79</v>
      </c>
      <c r="T122" s="24" t="s">
        <v>49</v>
      </c>
      <c r="U122" s="24" t="s">
        <v>132</v>
      </c>
      <c r="V122" s="34">
        <v>9208625306</v>
      </c>
      <c r="W122" s="24" t="str">
        <f>VLOOKUP(C122,Product_Master!A:F,4,FALSE)</f>
        <v>TechHub</v>
      </c>
      <c r="X122" s="34">
        <f>VLOOKUP(C122,Product_Master!A:F,6,FALSE)</f>
        <v>24</v>
      </c>
      <c r="Y122" s="24" t="str">
        <f>VLOOKUP(B122,Custumer_Master!A:D,3,FALSE)</f>
        <v>Gold</v>
      </c>
      <c r="Z122" s="30">
        <f>EDATE(E122,X122)</f>
        <v>46737</v>
      </c>
      <c r="AA122" s="29" t="str">
        <f>VLOOKUP(B122,Custumer_Master!A:K,11,)</f>
        <v>May</v>
      </c>
      <c r="AB122" s="24" t="s">
        <v>2108</v>
      </c>
      <c r="AC122" s="138" t="str">
        <f>PROPER(LEFT(TRIM(F122), 3)) &amp; RIGHT(TRIM(B122), 3) &amp; PROPER(LEFT(TRIM(I122), 2))</f>
        <v>Roh003De</v>
      </c>
      <c r="AD122" s="154">
        <f t="shared" ca="1" si="4"/>
        <v>44</v>
      </c>
      <c r="AE122" s="154">
        <f>IFERROR(IF(OR(E122="", D122="", LOWER(TRIM(E122))="pending", LOWER(TRIM(D122))="pending"), "Pending", E122 - D122), "Pending")</f>
        <v>2</v>
      </c>
      <c r="AF122" s="138" t="str">
        <f>IFERROR(IF(OR(E122="", D122="","Pending","Pending"), "Pending", IF((E122 - D122) &lt;= 5, "On Time", "Delayed")), "Pending")</f>
        <v>On Time</v>
      </c>
      <c r="AG122" s="24" t="str">
        <f t="shared" si="5"/>
        <v>Completed</v>
      </c>
    </row>
    <row r="123" spans="1:33">
      <c r="A123" s="24" t="s">
        <v>695</v>
      </c>
      <c r="B123" s="24" t="s">
        <v>83</v>
      </c>
      <c r="C123" s="24" t="s">
        <v>259</v>
      </c>
      <c r="D123" s="30">
        <v>46053</v>
      </c>
      <c r="E123" s="30" t="s">
        <v>313</v>
      </c>
      <c r="F123" s="24" t="str">
        <f>VLOOKUP(B123,Custumer_Master!A:D,2,FALSE)</f>
        <v>Arjun Rao</v>
      </c>
      <c r="G123" s="24" t="str">
        <f>VLOOKUP($B123,Custumer_Master!$A:$J,6,FALSE)</f>
        <v>Male</v>
      </c>
      <c r="H123" s="30" t="str">
        <f>VLOOKUP($B123,Custumer_Master!$A:$J,7,FALSE)</f>
        <v>07/02/1988</v>
      </c>
      <c r="I123" s="24" t="str">
        <f>VLOOKUP($B123,Custumer_Master!$A:$J,9,FALSE)</f>
        <v>Hyderabad</v>
      </c>
      <c r="J123" s="24" t="str">
        <f>VLOOKUP($B123,Custumer_Master!$A:$J,10,FALSE)</f>
        <v>South</v>
      </c>
      <c r="K123" s="24" t="str">
        <f>VLOOKUP(B123,Custumer_Master!A:D,4,FALSE)</f>
        <v>RJ</v>
      </c>
      <c r="L123" s="24" t="str">
        <f>PROPER(TRIM(VLOOKUP('Final Data'!C123,Product_Master!A:F,3,FALSE)))</f>
        <v>Stationery</v>
      </c>
      <c r="M123" s="24" t="s">
        <v>263</v>
      </c>
      <c r="N123" s="34">
        <v>3</v>
      </c>
      <c r="O123" s="192">
        <f>VLOOKUP(C123,Product_Master!A:F,5,FALSE)</f>
        <v>33.75</v>
      </c>
      <c r="P123" s="33">
        <v>0</v>
      </c>
      <c r="Q123" s="34">
        <f t="shared" si="3"/>
        <v>101.25</v>
      </c>
      <c r="R123" s="34">
        <v>4</v>
      </c>
      <c r="S123" s="24" t="s">
        <v>2149</v>
      </c>
      <c r="T123" s="24" t="s">
        <v>61</v>
      </c>
      <c r="U123" s="24" t="s">
        <v>89</v>
      </c>
      <c r="V123" s="34">
        <v>9970178536</v>
      </c>
      <c r="W123" s="24" t="str">
        <f>VLOOKUP(C123,Product_Master!A:F,4,FALSE)</f>
        <v>TechHub</v>
      </c>
      <c r="X123" s="34">
        <f>VLOOKUP(C123,Product_Master!A:F,6,FALSE)</f>
        <v>12</v>
      </c>
      <c r="Y123" s="24" t="str">
        <f>VLOOKUP(B123,Custumer_Master!A:D,3,FALSE)</f>
        <v>Silver</v>
      </c>
      <c r="Z123" s="30">
        <f>EDATE(E123,X123)</f>
        <v>46428</v>
      </c>
      <c r="AA123" s="29" t="str">
        <f>VLOOKUP(B123,Custumer_Master!A:K,11,)</f>
        <v>February</v>
      </c>
      <c r="AB123" s="24" t="s">
        <v>2108</v>
      </c>
      <c r="AC123" s="138" t="str">
        <f>PROPER(LEFT(TRIM(F123), 3)) &amp; RIGHT(TRIM(B123), 3) &amp; PROPER(LEFT(TRIM(I123), 2))</f>
        <v>Arj007Hy</v>
      </c>
      <c r="AD123" s="154">
        <f t="shared" ca="1" si="4"/>
        <v>38</v>
      </c>
      <c r="AE123" s="154">
        <f>IFERROR(IF(OR(E123="", D123="", LOWER(TRIM(E123))="pending", LOWER(TRIM(D123))="pending"), "Pending", E123 - D123), "Pending")</f>
        <v>10</v>
      </c>
      <c r="AF123" s="138" t="str">
        <f>IFERROR(IF(OR(E123="", D123="","Pending","Pending"), "Pending", IF((E123 - D123) &lt;= 5, "On Time", "Delayed")), "Pending")</f>
        <v>Delayed</v>
      </c>
      <c r="AG123" s="24" t="str">
        <f t="shared" si="5"/>
        <v>Completed</v>
      </c>
    </row>
    <row r="124" spans="1:33">
      <c r="A124" s="24" t="s">
        <v>698</v>
      </c>
      <c r="B124" s="24" t="s">
        <v>327</v>
      </c>
      <c r="C124" s="24" t="s">
        <v>184</v>
      </c>
      <c r="D124" s="30">
        <v>46025</v>
      </c>
      <c r="E124" s="30" t="s">
        <v>84</v>
      </c>
      <c r="F124" s="24" t="str">
        <f>VLOOKUP(B124,Custumer_Master!A:D,2,FALSE)</f>
        <v>Amit Sharma</v>
      </c>
      <c r="G124" s="24" t="str">
        <f>VLOOKUP($B124,Custumer_Master!$A:$J,6,FALSE)</f>
        <v>Male</v>
      </c>
      <c r="H124" s="30" t="str">
        <f>VLOOKUP($B124,Custumer_Master!$A:$J,7,FALSE)</f>
        <v>09/08/1991</v>
      </c>
      <c r="I124" s="24" t="str">
        <f>VLOOKUP($B124,Custumer_Master!$A:$J,9,FALSE)</f>
        <v>Pune</v>
      </c>
      <c r="J124" s="24" t="str">
        <f>VLOOKUP($B124,Custumer_Master!$A:$J,10,FALSE)</f>
        <v>West</v>
      </c>
      <c r="K124" s="24" t="str">
        <f>VLOOKUP(B124,Custumer_Master!A:D,4,FALSE)</f>
        <v>RJ</v>
      </c>
      <c r="L124" s="24" t="str">
        <f>PROPER(TRIM(VLOOKUP('Final Data'!C124,Product_Master!A:F,3,FALSE)))</f>
        <v>Electronics</v>
      </c>
      <c r="M124" s="24" t="s">
        <v>189</v>
      </c>
      <c r="N124" s="34">
        <v>13</v>
      </c>
      <c r="O124" s="192">
        <f>VLOOKUP(C124,Product_Master!A:F,5,FALSE)</f>
        <v>525</v>
      </c>
      <c r="P124" s="33">
        <v>0.05</v>
      </c>
      <c r="Q124" s="34">
        <f t="shared" si="3"/>
        <v>6483.75</v>
      </c>
      <c r="R124" s="34">
        <v>3</v>
      </c>
      <c r="S124" s="24" t="s">
        <v>79</v>
      </c>
      <c r="T124" s="24" t="s">
        <v>115</v>
      </c>
      <c r="U124" s="24" t="s">
        <v>332</v>
      </c>
      <c r="V124" s="34">
        <v>9633745195</v>
      </c>
      <c r="W124" s="24" t="str">
        <f>VLOOKUP(C124,Product_Master!A:F,4,FALSE)</f>
        <v>TechHub</v>
      </c>
      <c r="X124" s="34">
        <f>VLOOKUP(C124,Product_Master!A:F,6,FALSE)</f>
        <v>24</v>
      </c>
      <c r="Y124" s="24" t="str">
        <f>VLOOKUP(B124,Custumer_Master!A:D,3,FALSE)</f>
        <v>Silver</v>
      </c>
      <c r="Z124" s="30">
        <f>EDATE(E124,X124)</f>
        <v>46756</v>
      </c>
      <c r="AA124" s="29" t="str">
        <f>VLOOKUP(B124,Custumer_Master!A:K,11,)</f>
        <v>August</v>
      </c>
      <c r="AB124" s="24" t="s">
        <v>2108</v>
      </c>
      <c r="AC124" s="138" t="str">
        <f>PROPER(LEFT(TRIM(F124), 3)) &amp; RIGHT(TRIM(B124), 3) &amp; PROPER(LEFT(TRIM(I124), 2))</f>
        <v>Ami001Pu</v>
      </c>
      <c r="AD124" s="154">
        <f t="shared" ca="1" si="4"/>
        <v>34</v>
      </c>
      <c r="AE124" s="154">
        <f>IFERROR(IF(OR(E124="", D124="", LOWER(TRIM(E124))="pending", LOWER(TRIM(D124))="pending"), "Pending", E124 - D124), "Pending")</f>
        <v>1</v>
      </c>
      <c r="AF124" s="138" t="str">
        <f>IFERROR(IF(OR(E124="", D124="","Pending","Pending"), "Pending", IF((E124 - D124) &lt;= 5, "On Time", "Delayed")), "Pending")</f>
        <v>On Time</v>
      </c>
      <c r="AG124" s="24" t="str">
        <f t="shared" si="5"/>
        <v>Completed</v>
      </c>
    </row>
    <row r="125" spans="1:33">
      <c r="A125" s="24" t="s">
        <v>701</v>
      </c>
      <c r="B125" s="24" t="s">
        <v>168</v>
      </c>
      <c r="C125" s="24" t="s">
        <v>72</v>
      </c>
      <c r="D125" s="30">
        <v>45950</v>
      </c>
      <c r="E125" s="30" t="s">
        <v>703</v>
      </c>
      <c r="F125" s="24" t="str">
        <f>VLOOKUP(B125,Custumer_Master!A:D,2,FALSE)</f>
        <v>Anita Gupta</v>
      </c>
      <c r="G125" s="24" t="str">
        <f>VLOOKUP($B125,Custumer_Master!$A:$J,6,FALSE)</f>
        <v>Female</v>
      </c>
      <c r="H125" s="30" t="str">
        <f>VLOOKUP($B125,Custumer_Master!$A:$J,7,FALSE)</f>
        <v>16/01/2002</v>
      </c>
      <c r="I125" s="24" t="str">
        <f>VLOOKUP($B125,Custumer_Master!$A:$J,9,FALSE)</f>
        <v>Pune</v>
      </c>
      <c r="J125" s="24" t="str">
        <f>VLOOKUP($B125,Custumer_Master!$A:$J,10,FALSE)</f>
        <v>West</v>
      </c>
      <c r="K125" s="24" t="str">
        <f>VLOOKUP(B125,Custumer_Master!A:D,4,FALSE)</f>
        <v>WB</v>
      </c>
      <c r="L125" s="24" t="str">
        <f>PROPER(TRIM(VLOOKUP('Final Data'!C125,Product_Master!A:F,3,FALSE)))</f>
        <v>Electronics</v>
      </c>
      <c r="M125" s="24" t="s">
        <v>78</v>
      </c>
      <c r="N125" s="34">
        <v>14</v>
      </c>
      <c r="O125" s="192">
        <f>VLOOKUP(C125,Product_Master!A:F,5,FALSE)</f>
        <v>900</v>
      </c>
      <c r="P125" s="33">
        <v>0.2</v>
      </c>
      <c r="Q125" s="34">
        <f t="shared" si="3"/>
        <v>10080</v>
      </c>
      <c r="R125" s="34">
        <v>5</v>
      </c>
      <c r="S125" s="24" t="s">
        <v>2148</v>
      </c>
      <c r="T125" s="24" t="s">
        <v>61</v>
      </c>
      <c r="U125" s="24" t="s">
        <v>175</v>
      </c>
      <c r="V125" s="34">
        <v>9922102053</v>
      </c>
      <c r="W125" s="24" t="str">
        <f>VLOOKUP(C125,Product_Master!A:F,4,FALSE)</f>
        <v>TechHub</v>
      </c>
      <c r="X125" s="34">
        <f>VLOOKUP(C125,Product_Master!A:F,6,FALSE)</f>
        <v>6</v>
      </c>
      <c r="Y125" s="24" t="str">
        <f>VLOOKUP(B125,Custumer_Master!A:D,3,FALSE)</f>
        <v>Gold</v>
      </c>
      <c r="Z125" s="30">
        <f>EDATE(E125,X125)</f>
        <v>46138</v>
      </c>
      <c r="AA125" s="29" t="str">
        <f>VLOOKUP(B125,Custumer_Master!A:K,11,)</f>
        <v>January</v>
      </c>
      <c r="AB125" s="24" t="s">
        <v>2108</v>
      </c>
      <c r="AC125" s="138" t="str">
        <f>PROPER(LEFT(TRIM(F125), 3)) &amp; RIGHT(TRIM(B125), 3) &amp; PROPER(LEFT(TRIM(I125), 2))</f>
        <v>Ani004Pu</v>
      </c>
      <c r="AD125" s="154">
        <f t="shared" ca="1" si="4"/>
        <v>24</v>
      </c>
      <c r="AE125" s="154">
        <f>IFERROR(IF(OR(E125="", D125="", LOWER(TRIM(E125))="pending", LOWER(TRIM(D125))="pending"), "Pending", E125 - D125), "Pending")</f>
        <v>6</v>
      </c>
      <c r="AF125" s="138" t="str">
        <f>IFERROR(IF(OR(E125="", D125="","Pending","Pending"), "Pending", IF((E125 - D125) &lt;= 5, "On Time", "Delayed")), "Pending")</f>
        <v>Delayed</v>
      </c>
      <c r="AG125" s="24" t="str">
        <f t="shared" si="5"/>
        <v>Completed</v>
      </c>
    </row>
    <row r="126" spans="1:33">
      <c r="A126" s="24" t="s">
        <v>706</v>
      </c>
      <c r="B126" s="24" t="s">
        <v>100</v>
      </c>
      <c r="C126" s="24" t="s">
        <v>259</v>
      </c>
      <c r="D126" s="30">
        <v>45788</v>
      </c>
      <c r="E126" s="30" t="s">
        <v>707</v>
      </c>
      <c r="F126" s="24" t="str">
        <f>VLOOKUP(B126,Custumer_Master!A:D,2,FALSE)</f>
        <v>Priya Patel</v>
      </c>
      <c r="G126" s="24" t="str">
        <f>VLOOKUP($B126,Custumer_Master!$A:$J,6,FALSE)</f>
        <v>Female</v>
      </c>
      <c r="H126" s="30" t="str">
        <f>VLOOKUP($B126,Custumer_Master!$A:$J,7,FALSE)</f>
        <v>07/03/1995</v>
      </c>
      <c r="I126" s="24" t="str">
        <f>VLOOKUP($B126,Custumer_Master!$A:$J,9,FALSE)</f>
        <v>Mumbai</v>
      </c>
      <c r="J126" s="24" t="str">
        <f>VLOOKUP($B126,Custumer_Master!$A:$J,10,FALSE)</f>
        <v>West</v>
      </c>
      <c r="K126" s="24" t="str">
        <f>VLOOKUP(B126,Custumer_Master!A:D,4,FALSE)</f>
        <v>WB</v>
      </c>
      <c r="L126" s="24" t="str">
        <f>PROPER(TRIM(VLOOKUP('Final Data'!C126,Product_Master!A:F,3,FALSE)))</f>
        <v>Stationery</v>
      </c>
      <c r="M126" s="24" t="s">
        <v>263</v>
      </c>
      <c r="N126" s="34">
        <v>2</v>
      </c>
      <c r="O126" s="192">
        <f>VLOOKUP(C126,Product_Master!A:F,5,FALSE)</f>
        <v>33.75</v>
      </c>
      <c r="P126" s="33">
        <v>0.05</v>
      </c>
      <c r="Q126" s="34">
        <f t="shared" si="3"/>
        <v>64.125</v>
      </c>
      <c r="R126" s="34">
        <v>3</v>
      </c>
      <c r="S126" s="24" t="s">
        <v>2149</v>
      </c>
      <c r="T126" s="24" t="s">
        <v>35</v>
      </c>
      <c r="U126" s="24" t="s">
        <v>144</v>
      </c>
      <c r="V126" s="34">
        <v>9135963930</v>
      </c>
      <c r="W126" s="24" t="str">
        <f>VLOOKUP(C126,Product_Master!A:F,4,FALSE)</f>
        <v>TechHub</v>
      </c>
      <c r="X126" s="34">
        <f>VLOOKUP(C126,Product_Master!A:F,6,FALSE)</f>
        <v>12</v>
      </c>
      <c r="Y126" s="24" t="str">
        <f>VLOOKUP(B126,Custumer_Master!A:D,3,FALSE)</f>
        <v>Platinum</v>
      </c>
      <c r="Z126" s="30">
        <f>EDATE(E126,X126)</f>
        <v>46163</v>
      </c>
      <c r="AA126" s="29" t="str">
        <f>VLOOKUP(B126,Custumer_Master!A:K,11,)</f>
        <v>March</v>
      </c>
      <c r="AB126" s="24" t="s">
        <v>2108</v>
      </c>
      <c r="AC126" s="138" t="str">
        <f>PROPER(LEFT(TRIM(F126), 3)) &amp; RIGHT(TRIM(B126), 3) &amp; PROPER(LEFT(TRIM(I126), 2))</f>
        <v>Pri002Mu</v>
      </c>
      <c r="AD126" s="154">
        <f t="shared" ca="1" si="4"/>
        <v>31</v>
      </c>
      <c r="AE126" s="154">
        <f>IFERROR(IF(OR(E126="", D126="", LOWER(TRIM(E126))="pending", LOWER(TRIM(D126))="pending"), "Pending", E126 - D126), "Pending")</f>
        <v>10</v>
      </c>
      <c r="AF126" s="138" t="str">
        <f>IFERROR(IF(OR(E126="", D126="","Pending","Pending"), "Pending", IF((E126 - D126) &lt;= 5, "On Time", "Delayed")), "Pending")</f>
        <v>Delayed</v>
      </c>
      <c r="AG126" s="24" t="str">
        <f t="shared" si="5"/>
        <v>Completed</v>
      </c>
    </row>
    <row r="127" spans="1:33">
      <c r="A127" s="24" t="s">
        <v>710</v>
      </c>
      <c r="B127" s="24" t="s">
        <v>168</v>
      </c>
      <c r="C127" s="24" t="s">
        <v>72</v>
      </c>
      <c r="D127" s="30">
        <v>46024</v>
      </c>
      <c r="E127" s="30" t="s">
        <v>712</v>
      </c>
      <c r="F127" s="24" t="str">
        <f>VLOOKUP(B127,Custumer_Master!A:D,2,FALSE)</f>
        <v>Anita Gupta</v>
      </c>
      <c r="G127" s="24" t="str">
        <f>VLOOKUP($B127,Custumer_Master!$A:$J,6,FALSE)</f>
        <v>Female</v>
      </c>
      <c r="H127" s="30" t="str">
        <f>VLOOKUP($B127,Custumer_Master!$A:$J,7,FALSE)</f>
        <v>16/01/2002</v>
      </c>
      <c r="I127" s="24" t="str">
        <f>VLOOKUP($B127,Custumer_Master!$A:$J,9,FALSE)</f>
        <v>Pune</v>
      </c>
      <c r="J127" s="24" t="str">
        <f>VLOOKUP($B127,Custumer_Master!$A:$J,10,FALSE)</f>
        <v>West</v>
      </c>
      <c r="K127" s="24" t="str">
        <f>VLOOKUP(B127,Custumer_Master!A:D,4,FALSE)</f>
        <v>WB</v>
      </c>
      <c r="L127" s="24" t="str">
        <f>PROPER(TRIM(VLOOKUP('Final Data'!C127,Product_Master!A:F,3,FALSE)))</f>
        <v>Electronics</v>
      </c>
      <c r="M127" s="24" t="s">
        <v>78</v>
      </c>
      <c r="N127" s="34">
        <v>2</v>
      </c>
      <c r="O127" s="192">
        <f>VLOOKUP(C127,Product_Master!A:F,5,FALSE)</f>
        <v>900</v>
      </c>
      <c r="P127" s="33">
        <v>0.2</v>
      </c>
      <c r="Q127" s="34">
        <f t="shared" si="3"/>
        <v>1440</v>
      </c>
      <c r="R127" s="34">
        <v>3</v>
      </c>
      <c r="S127" s="24" t="s">
        <v>79</v>
      </c>
      <c r="T127" s="24" t="s">
        <v>115</v>
      </c>
      <c r="U127" s="24" t="s">
        <v>175</v>
      </c>
      <c r="V127" s="34">
        <v>9429405275</v>
      </c>
      <c r="W127" s="24" t="str">
        <f>VLOOKUP(C127,Product_Master!A:F,4,FALSE)</f>
        <v>TechHub</v>
      </c>
      <c r="X127" s="34">
        <f>VLOOKUP(C127,Product_Master!A:F,6,FALSE)</f>
        <v>6</v>
      </c>
      <c r="Y127" s="24" t="str">
        <f>VLOOKUP(B127,Custumer_Master!A:D,3,FALSE)</f>
        <v>Gold</v>
      </c>
      <c r="Z127" s="30">
        <f>EDATE(E127,X127)</f>
        <v>46209</v>
      </c>
      <c r="AA127" s="29" t="str">
        <f>VLOOKUP(B127,Custumer_Master!A:K,11,)</f>
        <v>January</v>
      </c>
      <c r="AB127" s="24" t="s">
        <v>2108</v>
      </c>
      <c r="AC127" s="138" t="str">
        <f>PROPER(LEFT(TRIM(F127), 3)) &amp; RIGHT(TRIM(B127), 3) &amp; PROPER(LEFT(TRIM(I127), 2))</f>
        <v>Ani004Pu</v>
      </c>
      <c r="AD127" s="154">
        <f t="shared" ca="1" si="4"/>
        <v>24</v>
      </c>
      <c r="AE127" s="154">
        <f>IFERROR(IF(OR(E127="", D127="", LOWER(TRIM(E127))="pending", LOWER(TRIM(D127))="pending"), "Pending", E127 - D127), "Pending")</f>
        <v>4</v>
      </c>
      <c r="AF127" s="138" t="str">
        <f>IFERROR(IF(OR(E127="", D127="","Pending","Pending"), "Pending", IF((E127 - D127) &lt;= 5, "On Time", "Delayed")), "Pending")</f>
        <v>On Time</v>
      </c>
      <c r="AG127" s="24" t="str">
        <f t="shared" si="5"/>
        <v>Completed</v>
      </c>
    </row>
    <row r="128" spans="1:33">
      <c r="A128" s="24" t="s">
        <v>715</v>
      </c>
      <c r="B128" s="24" t="s">
        <v>127</v>
      </c>
      <c r="C128" s="24" t="s">
        <v>54</v>
      </c>
      <c r="D128" s="30">
        <v>46132</v>
      </c>
      <c r="E128" s="30" t="s">
        <v>716</v>
      </c>
      <c r="F128" s="24" t="str">
        <f>VLOOKUP(B128,Custumer_Master!A:D,2,FALSE)</f>
        <v>Rohit Singh</v>
      </c>
      <c r="G128" s="24" t="str">
        <f>VLOOKUP($B128,Custumer_Master!$A:$J,6,FALSE)</f>
        <v>Male</v>
      </c>
      <c r="H128" s="30" t="str">
        <f>VLOOKUP($B128,Custumer_Master!$A:$J,7,FALSE)</f>
        <v>10/05/1982</v>
      </c>
      <c r="I128" s="24" t="str">
        <f>VLOOKUP($B128,Custumer_Master!$A:$J,9,FALSE)</f>
        <v>Delhi</v>
      </c>
      <c r="J128" s="24" t="str">
        <f>VLOOKUP($B128,Custumer_Master!$A:$J,10,FALSE)</f>
        <v>North</v>
      </c>
      <c r="K128" s="24" t="str">
        <f>VLOOKUP(B128,Custumer_Master!A:D,4,FALSE)</f>
        <v>DL</v>
      </c>
      <c r="L128" s="24" t="str">
        <f>PROPER(TRIM(VLOOKUP('Final Data'!C128,Product_Master!A:F,3,FALSE)))</f>
        <v>Electronics</v>
      </c>
      <c r="M128" s="24" t="s">
        <v>60</v>
      </c>
      <c r="N128" s="34">
        <v>10</v>
      </c>
      <c r="O128" s="192">
        <f>VLOOKUP(C128,Product_Master!A:F,5,FALSE)</f>
        <v>41250</v>
      </c>
      <c r="P128" s="33">
        <v>0.05</v>
      </c>
      <c r="Q128" s="34">
        <f t="shared" si="3"/>
        <v>391875</v>
      </c>
      <c r="R128" s="34">
        <v>5</v>
      </c>
      <c r="S128" s="24" t="s">
        <v>2149</v>
      </c>
      <c r="T128" s="24" t="s">
        <v>61</v>
      </c>
      <c r="U128" s="24" t="s">
        <v>132</v>
      </c>
      <c r="V128" s="34">
        <v>9521757571</v>
      </c>
      <c r="W128" s="24" t="str">
        <f>VLOOKUP(C128,Product_Master!A:F,4,FALSE)</f>
        <v>TechHub</v>
      </c>
      <c r="X128" s="34">
        <f>VLOOKUP(C128,Product_Master!A:F,6,FALSE)</f>
        <v>12</v>
      </c>
      <c r="Y128" s="24" t="str">
        <f>VLOOKUP(B128,Custumer_Master!A:D,3,FALSE)</f>
        <v>Gold</v>
      </c>
      <c r="Z128" s="30">
        <f>EDATE(E128,X128)</f>
        <v>46503</v>
      </c>
      <c r="AA128" s="29" t="str">
        <f>VLOOKUP(B128,Custumer_Master!A:K,11,)</f>
        <v>May</v>
      </c>
      <c r="AB128" s="24" t="s">
        <v>2110</v>
      </c>
      <c r="AC128" s="138" t="str">
        <f>PROPER(LEFT(TRIM(F128), 3)) &amp; RIGHT(TRIM(B128), 3) &amp; PROPER(LEFT(TRIM(I128), 2))</f>
        <v>Roh003De</v>
      </c>
      <c r="AD128" s="154">
        <f t="shared" ca="1" si="4"/>
        <v>44</v>
      </c>
      <c r="AE128" s="154">
        <f>IFERROR(IF(OR(E128="", D128="", LOWER(TRIM(E128))="pending", LOWER(TRIM(D128))="pending"), "Pending", E128 - D128), "Pending")</f>
        <v>6</v>
      </c>
      <c r="AF128" s="138" t="str">
        <f>IFERROR(IF(OR(E128="", D128="","Pending","Pending"), "Pending", IF((E128 - D128) &lt;= 5, "On Time", "Delayed")), "Pending")</f>
        <v>Delayed</v>
      </c>
      <c r="AG128" s="24" t="str">
        <f t="shared" si="5"/>
        <v>Completed</v>
      </c>
    </row>
    <row r="129" spans="1:33">
      <c r="A129" s="24" t="s">
        <v>719</v>
      </c>
      <c r="B129" s="24" t="s">
        <v>251</v>
      </c>
      <c r="C129" s="24" t="s">
        <v>92</v>
      </c>
      <c r="D129" s="30">
        <v>45873</v>
      </c>
      <c r="E129" s="30" t="s">
        <v>382</v>
      </c>
      <c r="F129" s="24" t="str">
        <f>VLOOKUP(B129,Custumer_Master!A:D,2,FALSE)</f>
        <v>Sneha Joshi</v>
      </c>
      <c r="G129" s="24" t="str">
        <f>VLOOKUP($B129,Custumer_Master!$A:$J,6,FALSE)</f>
        <v>Female</v>
      </c>
      <c r="H129" s="30" t="str">
        <f>VLOOKUP($B129,Custumer_Master!$A:$J,7,FALSE)</f>
        <v>04/04/1981</v>
      </c>
      <c r="I129" s="24" t="str">
        <f>VLOOKUP($B129,Custumer_Master!$A:$J,9,FALSE)</f>
        <v>Pune</v>
      </c>
      <c r="J129" s="24" t="str">
        <f>VLOOKUP($B129,Custumer_Master!$A:$J,10,FALSE)</f>
        <v>West</v>
      </c>
      <c r="K129" s="24" t="str">
        <f>VLOOKUP(B129,Custumer_Master!A:D,4,FALSE)</f>
        <v>WB</v>
      </c>
      <c r="L129" s="24" t="str">
        <f>PROPER(TRIM(VLOOKUP('Final Data'!C129,Product_Master!A:F,3,FALSE)))</f>
        <v>Home Appliances</v>
      </c>
      <c r="M129" s="24" t="s">
        <v>97</v>
      </c>
      <c r="N129" s="34">
        <v>15</v>
      </c>
      <c r="O129" s="192">
        <f>VLOOKUP(C129,Product_Master!A:F,5,FALSE)</f>
        <v>2625</v>
      </c>
      <c r="P129" s="33">
        <v>0.1</v>
      </c>
      <c r="Q129" s="34">
        <f t="shared" si="3"/>
        <v>35437.5</v>
      </c>
      <c r="R129" s="34">
        <v>3</v>
      </c>
      <c r="S129" s="24" t="s">
        <v>2148</v>
      </c>
      <c r="T129" s="24" t="s">
        <v>115</v>
      </c>
      <c r="U129" s="24" t="s">
        <v>256</v>
      </c>
      <c r="V129" s="34">
        <v>9467375455</v>
      </c>
      <c r="W129" s="24" t="str">
        <f>VLOOKUP(C129,Product_Master!A:F,4,FALSE)</f>
        <v>Global Trade</v>
      </c>
      <c r="X129" s="34">
        <f>VLOOKUP(C129,Product_Master!A:F,6,FALSE)</f>
        <v>6</v>
      </c>
      <c r="Y129" s="24" t="str">
        <f>VLOOKUP(B129,Custumer_Master!A:D,3,FALSE)</f>
        <v>Gold</v>
      </c>
      <c r="Z129" s="30">
        <f>EDATE(E129,X129)</f>
        <v>46058</v>
      </c>
      <c r="AA129" s="29" t="str">
        <f>VLOOKUP(B129,Custumer_Master!A:K,11,)</f>
        <v>April</v>
      </c>
      <c r="AB129" s="24" t="s">
        <v>2108</v>
      </c>
      <c r="AC129" s="138" t="str">
        <f>PROPER(LEFT(TRIM(F129), 3)) &amp; RIGHT(TRIM(B129), 3) &amp; PROPER(LEFT(TRIM(I129), 2))</f>
        <v>Sne006Pu</v>
      </c>
      <c r="AD129" s="154">
        <f t="shared" ca="1" si="4"/>
        <v>45</v>
      </c>
      <c r="AE129" s="154">
        <f>IFERROR(IF(OR(E129="", D129="", LOWER(TRIM(E129))="pending", LOWER(TRIM(D129))="pending"), "Pending", E129 - D129), "Pending")</f>
        <v>1</v>
      </c>
      <c r="AF129" s="138" t="str">
        <f>IFERROR(IF(OR(E129="", D129="","Pending","Pending"), "Pending", IF((E129 - D129) &lt;= 5, "On Time", "Delayed")), "Pending")</f>
        <v>On Time</v>
      </c>
      <c r="AG129" s="24" t="str">
        <f t="shared" si="5"/>
        <v>Completed</v>
      </c>
    </row>
    <row r="130" spans="1:33">
      <c r="A130" s="24" t="s">
        <v>723</v>
      </c>
      <c r="B130" s="24" t="s">
        <v>100</v>
      </c>
      <c r="C130" s="24" t="s">
        <v>24</v>
      </c>
      <c r="D130" s="30">
        <v>45882</v>
      </c>
      <c r="E130" s="30" t="s">
        <v>724</v>
      </c>
      <c r="F130" s="24" t="str">
        <f>VLOOKUP(B130,Custumer_Master!A:D,2,FALSE)</f>
        <v>Priya Patel</v>
      </c>
      <c r="G130" s="24" t="str">
        <f>VLOOKUP($B130,Custumer_Master!$A:$J,6,FALSE)</f>
        <v>Female</v>
      </c>
      <c r="H130" s="30" t="str">
        <f>VLOOKUP($B130,Custumer_Master!$A:$J,7,FALSE)</f>
        <v>07/03/1995</v>
      </c>
      <c r="I130" s="24" t="str">
        <f>VLOOKUP($B130,Custumer_Master!$A:$J,9,FALSE)</f>
        <v>Mumbai</v>
      </c>
      <c r="J130" s="24" t="str">
        <f>VLOOKUP($B130,Custumer_Master!$A:$J,10,FALSE)</f>
        <v>West</v>
      </c>
      <c r="K130" s="24" t="str">
        <f>VLOOKUP(B130,Custumer_Master!A:D,4,FALSE)</f>
        <v>WB</v>
      </c>
      <c r="L130" s="24" t="str">
        <f>PROPER(TRIM(VLOOKUP('Final Data'!C130,Product_Master!A:F,3,FALSE)))</f>
        <v>Home Appliances</v>
      </c>
      <c r="M130" s="24" t="s">
        <v>33</v>
      </c>
      <c r="N130" s="34">
        <v>10</v>
      </c>
      <c r="O130" s="192">
        <f>VLOOKUP(C130,Product_Master!A:F,5,FALSE)</f>
        <v>1650</v>
      </c>
      <c r="P130" s="33">
        <v>0.15</v>
      </c>
      <c r="Q130" s="34">
        <f t="shared" si="3"/>
        <v>14025</v>
      </c>
      <c r="R130" s="34">
        <v>4</v>
      </c>
      <c r="S130" s="24" t="s">
        <v>79</v>
      </c>
      <c r="T130" s="24" t="s">
        <v>49</v>
      </c>
      <c r="U130" s="24" t="s">
        <v>144</v>
      </c>
      <c r="V130" s="34">
        <v>9838809695</v>
      </c>
      <c r="W130" s="24" t="str">
        <f>VLOOKUP(C130,Product_Master!A:F,4,FALSE)</f>
        <v>Global Trade</v>
      </c>
      <c r="X130" s="34">
        <f>VLOOKUP(C130,Product_Master!A:F,6,FALSE)</f>
        <v>24</v>
      </c>
      <c r="Y130" s="24" t="str">
        <f>VLOOKUP(B130,Custumer_Master!A:D,3,FALSE)</f>
        <v>Platinum</v>
      </c>
      <c r="Z130" s="30">
        <f>EDATE(E130,X130)</f>
        <v>46617</v>
      </c>
      <c r="AA130" s="29" t="str">
        <f>VLOOKUP(B130,Custumer_Master!A:K,11,)</f>
        <v>March</v>
      </c>
      <c r="AB130" s="24" t="s">
        <v>2108</v>
      </c>
      <c r="AC130" s="138" t="str">
        <f>PROPER(LEFT(TRIM(F130), 3)) &amp; RIGHT(TRIM(B130), 3) &amp; PROPER(LEFT(TRIM(I130), 2))</f>
        <v>Pri002Mu</v>
      </c>
      <c r="AD130" s="154">
        <f t="shared" ca="1" si="4"/>
        <v>31</v>
      </c>
      <c r="AE130" s="154">
        <f>IFERROR(IF(OR(E130="", D130="", LOWER(TRIM(E130))="pending", LOWER(TRIM(D130))="pending"), "Pending", E130 - D130), "Pending")</f>
        <v>5</v>
      </c>
      <c r="AF130" s="138" t="str">
        <f>IFERROR(IF(OR(E130="", D130="","Pending","Pending"), "Pending", IF((E130 - D130) &lt;= 5, "On Time", "Delayed")), "Pending")</f>
        <v>On Time</v>
      </c>
      <c r="AG130" s="24" t="str">
        <f t="shared" si="5"/>
        <v>Completed</v>
      </c>
    </row>
    <row r="131" spans="1:33">
      <c r="A131" s="24" t="s">
        <v>727</v>
      </c>
      <c r="B131" s="24" t="s">
        <v>251</v>
      </c>
      <c r="C131" s="24" t="s">
        <v>92</v>
      </c>
      <c r="D131" s="30">
        <v>45824</v>
      </c>
      <c r="E131" s="30" t="s">
        <v>231</v>
      </c>
      <c r="F131" s="24" t="str">
        <f>VLOOKUP(B131,Custumer_Master!A:D,2,FALSE)</f>
        <v>Sneha Joshi</v>
      </c>
      <c r="G131" s="24" t="str">
        <f>VLOOKUP($B131,Custumer_Master!$A:$J,6,FALSE)</f>
        <v>Female</v>
      </c>
      <c r="H131" s="30" t="str">
        <f>VLOOKUP($B131,Custumer_Master!$A:$J,7,FALSE)</f>
        <v>04/04/1981</v>
      </c>
      <c r="I131" s="24" t="str">
        <f>VLOOKUP($B131,Custumer_Master!$A:$J,9,FALSE)</f>
        <v>Pune</v>
      </c>
      <c r="J131" s="24" t="str">
        <f>VLOOKUP($B131,Custumer_Master!$A:$J,10,FALSE)</f>
        <v>West</v>
      </c>
      <c r="K131" s="24" t="str">
        <f>VLOOKUP(B131,Custumer_Master!A:D,4,FALSE)</f>
        <v>WB</v>
      </c>
      <c r="L131" s="24" t="str">
        <f>PROPER(TRIM(VLOOKUP('Final Data'!C131,Product_Master!A:F,3,FALSE)))</f>
        <v>Home Appliances</v>
      </c>
      <c r="M131" s="24" t="s">
        <v>97</v>
      </c>
      <c r="N131" s="34">
        <v>11</v>
      </c>
      <c r="O131" s="192">
        <f>VLOOKUP(C131,Product_Master!A:F,5,FALSE)</f>
        <v>2625</v>
      </c>
      <c r="P131" s="33">
        <v>0.05</v>
      </c>
      <c r="Q131" s="34">
        <f t="shared" ref="Q131:Q194" si="6">(N131*O131)-(N131*O131)*P131</f>
        <v>27431.25</v>
      </c>
      <c r="R131" s="34">
        <v>5</v>
      </c>
      <c r="S131" s="24" t="s">
        <v>34</v>
      </c>
      <c r="T131" s="24" t="s">
        <v>35</v>
      </c>
      <c r="U131" s="24" t="s">
        <v>256</v>
      </c>
      <c r="V131" s="34">
        <v>9296609782</v>
      </c>
      <c r="W131" s="24" t="str">
        <f>VLOOKUP(C131,Product_Master!A:F,4,FALSE)</f>
        <v>Global Trade</v>
      </c>
      <c r="X131" s="34">
        <f>VLOOKUP(C131,Product_Master!A:F,6,FALSE)</f>
        <v>6</v>
      </c>
      <c r="Y131" s="24" t="str">
        <f>VLOOKUP(B131,Custumer_Master!A:D,3,FALSE)</f>
        <v>Gold</v>
      </c>
      <c r="Z131" s="30">
        <f>EDATE(E131,X131)</f>
        <v>46015</v>
      </c>
      <c r="AA131" s="29" t="str">
        <f>VLOOKUP(B131,Custumer_Master!A:K,11,)</f>
        <v>April</v>
      </c>
      <c r="AB131" s="24" t="s">
        <v>2108</v>
      </c>
      <c r="AC131" s="138" t="str">
        <f>PROPER(LEFT(TRIM(F131), 3)) &amp; RIGHT(TRIM(B131), 3) &amp; PROPER(LEFT(TRIM(I131), 2))</f>
        <v>Sne006Pu</v>
      </c>
      <c r="AD131" s="154">
        <f t="shared" ref="AD131:AD194" ca="1" si="7">DATEDIF(H131, TODAY(), "Y")</f>
        <v>45</v>
      </c>
      <c r="AE131" s="154">
        <f>IFERROR(IF(OR(E131="", D131="", LOWER(TRIM(E131))="pending", LOWER(TRIM(D131))="pending"), "Pending", E131 - D131), "Pending")</f>
        <v>8</v>
      </c>
      <c r="AF131" s="138" t="str">
        <f>IFERROR(IF(OR(E131="", D131="","Pending","Pending"), "Pending", IF((E131 - D131) &lt;= 5, "On Time", "Delayed")), "Pending")</f>
        <v>Delayed</v>
      </c>
      <c r="AG131" s="24" t="str">
        <f t="shared" ref="AG131:AG194" si="8">IF(AF131="Pending","Pending","Completed")</f>
        <v>Completed</v>
      </c>
    </row>
    <row r="132" spans="1:33">
      <c r="A132" s="24" t="s">
        <v>730</v>
      </c>
      <c r="B132" s="24" t="s">
        <v>168</v>
      </c>
      <c r="C132" s="24" t="s">
        <v>72</v>
      </c>
      <c r="D132" s="30">
        <v>46139</v>
      </c>
      <c r="E132" s="30" t="s">
        <v>732</v>
      </c>
      <c r="F132" s="24" t="str">
        <f>VLOOKUP(B132,Custumer_Master!A:D,2,FALSE)</f>
        <v>Anita Gupta</v>
      </c>
      <c r="G132" s="24" t="str">
        <f>VLOOKUP($B132,Custumer_Master!$A:$J,6,FALSE)</f>
        <v>Female</v>
      </c>
      <c r="H132" s="30" t="str">
        <f>VLOOKUP($B132,Custumer_Master!$A:$J,7,FALSE)</f>
        <v>16/01/2002</v>
      </c>
      <c r="I132" s="24" t="str">
        <f>VLOOKUP($B132,Custumer_Master!$A:$J,9,FALSE)</f>
        <v>Pune</v>
      </c>
      <c r="J132" s="24" t="str">
        <f>VLOOKUP($B132,Custumer_Master!$A:$J,10,FALSE)</f>
        <v>West</v>
      </c>
      <c r="K132" s="24" t="str">
        <f>VLOOKUP(B132,Custumer_Master!A:D,4,FALSE)</f>
        <v>WB</v>
      </c>
      <c r="L132" s="24" t="str">
        <f>PROPER(TRIM(VLOOKUP('Final Data'!C132,Product_Master!A:F,3,FALSE)))</f>
        <v>Electronics</v>
      </c>
      <c r="M132" s="24" t="s">
        <v>78</v>
      </c>
      <c r="N132" s="34">
        <v>14</v>
      </c>
      <c r="O132" s="192">
        <f>VLOOKUP(C132,Product_Master!A:F,5,FALSE)</f>
        <v>900</v>
      </c>
      <c r="P132" s="33">
        <v>0</v>
      </c>
      <c r="Q132" s="34">
        <f t="shared" si="6"/>
        <v>12600</v>
      </c>
      <c r="R132" s="34">
        <v>5</v>
      </c>
      <c r="S132" s="24" t="s">
        <v>34</v>
      </c>
      <c r="T132" s="24" t="s">
        <v>49</v>
      </c>
      <c r="U132" s="24" t="s">
        <v>175</v>
      </c>
      <c r="V132" s="34">
        <v>9848259992</v>
      </c>
      <c r="W132" s="24" t="str">
        <f>VLOOKUP(C132,Product_Master!A:F,4,FALSE)</f>
        <v>TechHub</v>
      </c>
      <c r="X132" s="34">
        <f>VLOOKUP(C132,Product_Master!A:F,6,FALSE)</f>
        <v>6</v>
      </c>
      <c r="Y132" s="24" t="str">
        <f>VLOOKUP(B132,Custumer_Master!A:D,3,FALSE)</f>
        <v>Gold</v>
      </c>
      <c r="Z132" s="30">
        <f>EDATE(E132,X132)</f>
        <v>46325</v>
      </c>
      <c r="AA132" s="29" t="str">
        <f>VLOOKUP(B132,Custumer_Master!A:K,11,)</f>
        <v>January</v>
      </c>
      <c r="AB132" s="24" t="s">
        <v>2108</v>
      </c>
      <c r="AC132" s="138" t="str">
        <f>PROPER(LEFT(TRIM(F132), 3)) &amp; RIGHT(TRIM(B132), 3) &amp; PROPER(LEFT(TRIM(I132), 2))</f>
        <v>Ani004Pu</v>
      </c>
      <c r="AD132" s="154">
        <f t="shared" ca="1" si="7"/>
        <v>24</v>
      </c>
      <c r="AE132" s="154">
        <f>IFERROR(IF(OR(E132="", D132="", LOWER(TRIM(E132))="pending", LOWER(TRIM(D132))="pending"), "Pending", E132 - D132), "Pending")</f>
        <v>3</v>
      </c>
      <c r="AF132" s="138" t="str">
        <f>IFERROR(IF(OR(E132="", D132="","Pending","Pending"), "Pending", IF((E132 - D132) &lt;= 5, "On Time", "Delayed")), "Pending")</f>
        <v>On Time</v>
      </c>
      <c r="AG132" s="24" t="str">
        <f t="shared" si="8"/>
        <v>Completed</v>
      </c>
    </row>
    <row r="133" spans="1:33">
      <c r="A133" s="24" t="s">
        <v>735</v>
      </c>
      <c r="B133" s="24" t="s">
        <v>100</v>
      </c>
      <c r="C133" s="24" t="s">
        <v>222</v>
      </c>
      <c r="D133" s="30">
        <v>46070</v>
      </c>
      <c r="E133" s="30" t="s">
        <v>170</v>
      </c>
      <c r="F133" s="24" t="str">
        <f>VLOOKUP(B133,Custumer_Master!A:D,2,FALSE)</f>
        <v>Priya Patel</v>
      </c>
      <c r="G133" s="24" t="str">
        <f>VLOOKUP($B133,Custumer_Master!$A:$J,6,FALSE)</f>
        <v>Female</v>
      </c>
      <c r="H133" s="30" t="str">
        <f>VLOOKUP($B133,Custumer_Master!$A:$J,7,FALSE)</f>
        <v>07/03/1995</v>
      </c>
      <c r="I133" s="24" t="str">
        <f>VLOOKUP($B133,Custumer_Master!$A:$J,9,FALSE)</f>
        <v>Mumbai</v>
      </c>
      <c r="J133" s="24" t="str">
        <f>VLOOKUP($B133,Custumer_Master!$A:$J,10,FALSE)</f>
        <v>West</v>
      </c>
      <c r="K133" s="24" t="str">
        <f>VLOOKUP(B133,Custumer_Master!A:D,4,FALSE)</f>
        <v>WB</v>
      </c>
      <c r="L133" s="24" t="str">
        <f>PROPER(TRIM(VLOOKUP('Final Data'!C133,Product_Master!A:F,3,FALSE)))</f>
        <v>Stationery</v>
      </c>
      <c r="M133" s="24" t="s">
        <v>227</v>
      </c>
      <c r="N133" s="34">
        <v>11</v>
      </c>
      <c r="O133" s="192">
        <f>VLOOKUP(C133,Product_Master!A:F,5,FALSE)</f>
        <v>15</v>
      </c>
      <c r="P133" s="33">
        <v>0.2</v>
      </c>
      <c r="Q133" s="34">
        <f t="shared" si="6"/>
        <v>132</v>
      </c>
      <c r="R133" s="34">
        <v>4</v>
      </c>
      <c r="S133" s="24" t="s">
        <v>2148</v>
      </c>
      <c r="T133" s="24" t="s">
        <v>35</v>
      </c>
      <c r="U133" s="24" t="s">
        <v>144</v>
      </c>
      <c r="V133" s="34">
        <v>9254082295</v>
      </c>
      <c r="W133" s="24" t="str">
        <f>VLOOKUP(C133,Product_Master!A:F,4,FALSE)</f>
        <v>Prime Supplies</v>
      </c>
      <c r="X133" s="34">
        <f>VLOOKUP(C133,Product_Master!A:F,6,FALSE)</f>
        <v>12</v>
      </c>
      <c r="Y133" s="24" t="str">
        <f>VLOOKUP(B133,Custumer_Master!A:D,3,FALSE)</f>
        <v>Platinum</v>
      </c>
      <c r="Z133" s="30">
        <f>EDATE(E133,X133)</f>
        <v>46440</v>
      </c>
      <c r="AA133" s="29" t="str">
        <f>VLOOKUP(B133,Custumer_Master!A:K,11,)</f>
        <v>March</v>
      </c>
      <c r="AB133" s="24" t="s">
        <v>2108</v>
      </c>
      <c r="AC133" s="138" t="str">
        <f>PROPER(LEFT(TRIM(F133), 3)) &amp; RIGHT(TRIM(B133), 3) &amp; PROPER(LEFT(TRIM(I133), 2))</f>
        <v>Pri002Mu</v>
      </c>
      <c r="AD133" s="154">
        <f t="shared" ca="1" si="7"/>
        <v>31</v>
      </c>
      <c r="AE133" s="154">
        <f>IFERROR(IF(OR(E133="", D133="", LOWER(TRIM(E133))="pending", LOWER(TRIM(D133))="pending"), "Pending", E133 - D133), "Pending")</f>
        <v>5</v>
      </c>
      <c r="AF133" s="138" t="str">
        <f>IFERROR(IF(OR(E133="", D133="","Pending","Pending"), "Pending", IF((E133 - D133) &lt;= 5, "On Time", "Delayed")), "Pending")</f>
        <v>On Time</v>
      </c>
      <c r="AG133" s="24" t="str">
        <f t="shared" si="8"/>
        <v>Completed</v>
      </c>
    </row>
    <row r="134" spans="1:33">
      <c r="A134" s="24" t="s">
        <v>739</v>
      </c>
      <c r="B134" s="24" t="s">
        <v>71</v>
      </c>
      <c r="C134" s="24" t="s">
        <v>40</v>
      </c>
      <c r="D134" s="30">
        <v>46116</v>
      </c>
      <c r="E134" s="30" t="s">
        <v>657</v>
      </c>
      <c r="F134" s="24" t="str">
        <f>VLOOKUP(B134,Custumer_Master!A:D,2,FALSE)</f>
        <v>Mohit Verma</v>
      </c>
      <c r="G134" s="24" t="str">
        <f>VLOOKUP($B134,Custumer_Master!$A:$J,6,FALSE)</f>
        <v>Male</v>
      </c>
      <c r="H134" s="30" t="str">
        <f>VLOOKUP($B134,Custumer_Master!$A:$J,7,FALSE)</f>
        <v>13/04/1976</v>
      </c>
      <c r="I134" s="24" t="str">
        <f>VLOOKUP($B134,Custumer_Master!$A:$J,9,FALSE)</f>
        <v>Delhi</v>
      </c>
      <c r="J134" s="24" t="str">
        <f>VLOOKUP($B134,Custumer_Master!$A:$J,10,FALSE)</f>
        <v>North</v>
      </c>
      <c r="K134" s="24" t="str">
        <f>VLOOKUP(B134,Custumer_Master!A:D,4,FALSE)</f>
        <v>KA</v>
      </c>
      <c r="L134" s="24" t="str">
        <f>PROPER(TRIM(VLOOKUP('Final Data'!C134,Product_Master!A:F,3,FALSE)))</f>
        <v>Electronics</v>
      </c>
      <c r="M134" s="24" t="s">
        <v>47</v>
      </c>
      <c r="N134" s="34">
        <v>6</v>
      </c>
      <c r="O134" s="192">
        <f>VLOOKUP(C134,Product_Master!A:F,5,FALSE)</f>
        <v>9000</v>
      </c>
      <c r="P134" s="33">
        <v>0.1</v>
      </c>
      <c r="Q134" s="34">
        <f t="shared" si="6"/>
        <v>48600</v>
      </c>
      <c r="R134" s="34">
        <v>5</v>
      </c>
      <c r="S134" s="24" t="s">
        <v>2149</v>
      </c>
      <c r="T134" s="24" t="s">
        <v>151</v>
      </c>
      <c r="U134" s="24" t="s">
        <v>80</v>
      </c>
      <c r="V134" s="34">
        <v>9687923860</v>
      </c>
      <c r="W134" s="24" t="str">
        <f>VLOOKUP(C134,Product_Master!A:F,4,FALSE)</f>
        <v>Global Trade</v>
      </c>
      <c r="X134" s="34">
        <f>VLOOKUP(C134,Product_Master!A:F,6,FALSE)</f>
        <v>24</v>
      </c>
      <c r="Y134" s="24" t="str">
        <f>VLOOKUP(B134,Custumer_Master!A:D,3,FALSE)</f>
        <v>Platinum</v>
      </c>
      <c r="Z134" s="30">
        <f>EDATE(E134,X134)</f>
        <v>46853</v>
      </c>
      <c r="AA134" s="29" t="str">
        <f>VLOOKUP(B134,Custumer_Master!A:K,11,)</f>
        <v>April</v>
      </c>
      <c r="AB134" s="24" t="s">
        <v>2108</v>
      </c>
      <c r="AC134" s="138" t="str">
        <f>PROPER(LEFT(TRIM(F134), 3)) &amp; RIGHT(TRIM(B134), 3) &amp; PROPER(LEFT(TRIM(I134), 2))</f>
        <v>Moh009De</v>
      </c>
      <c r="AD134" s="154">
        <f t="shared" ca="1" si="7"/>
        <v>50</v>
      </c>
      <c r="AE134" s="154">
        <f>IFERROR(IF(OR(E134="", D134="", LOWER(TRIM(E134))="pending", LOWER(TRIM(D134))="pending"), "Pending", E134 - D134), "Pending")</f>
        <v>6</v>
      </c>
      <c r="AF134" s="138" t="str">
        <f>IFERROR(IF(OR(E134="", D134="","Pending","Pending"), "Pending", IF((E134 - D134) &lt;= 5, "On Time", "Delayed")), "Pending")</f>
        <v>Delayed</v>
      </c>
      <c r="AG134" s="24" t="str">
        <f t="shared" si="8"/>
        <v>Completed</v>
      </c>
    </row>
    <row r="135" spans="1:33">
      <c r="A135" s="24" t="s">
        <v>743</v>
      </c>
      <c r="B135" s="24" t="s">
        <v>71</v>
      </c>
      <c r="C135" s="24" t="s">
        <v>24</v>
      </c>
      <c r="D135" s="30">
        <v>45756</v>
      </c>
      <c r="E135" s="30" t="s">
        <v>539</v>
      </c>
      <c r="F135" s="24" t="str">
        <f>VLOOKUP(B135,Custumer_Master!A:D,2,FALSE)</f>
        <v>Mohit Verma</v>
      </c>
      <c r="G135" s="24" t="str">
        <f>VLOOKUP($B135,Custumer_Master!$A:$J,6,FALSE)</f>
        <v>Male</v>
      </c>
      <c r="H135" s="30" t="str">
        <f>VLOOKUP($B135,Custumer_Master!$A:$J,7,FALSE)</f>
        <v>13/04/1976</v>
      </c>
      <c r="I135" s="24" t="str">
        <f>VLOOKUP($B135,Custumer_Master!$A:$J,9,FALSE)</f>
        <v>Delhi</v>
      </c>
      <c r="J135" s="24" t="str">
        <f>VLOOKUP($B135,Custumer_Master!$A:$J,10,FALSE)</f>
        <v>North</v>
      </c>
      <c r="K135" s="24" t="str">
        <f>VLOOKUP(B135,Custumer_Master!A:D,4,FALSE)</f>
        <v>KA</v>
      </c>
      <c r="L135" s="24" t="str">
        <f>PROPER(TRIM(VLOOKUP('Final Data'!C135,Product_Master!A:F,3,FALSE)))</f>
        <v>Home Appliances</v>
      </c>
      <c r="M135" s="24" t="s">
        <v>33</v>
      </c>
      <c r="N135" s="34">
        <v>6</v>
      </c>
      <c r="O135" s="192">
        <f>VLOOKUP(C135,Product_Master!A:F,5,FALSE)</f>
        <v>1650</v>
      </c>
      <c r="P135" s="33">
        <v>0.05</v>
      </c>
      <c r="Q135" s="34">
        <f t="shared" si="6"/>
        <v>9405</v>
      </c>
      <c r="R135" s="34">
        <v>4</v>
      </c>
      <c r="S135" s="24" t="s">
        <v>34</v>
      </c>
      <c r="T135" s="24" t="s">
        <v>49</v>
      </c>
      <c r="U135" s="24" t="s">
        <v>80</v>
      </c>
      <c r="V135" s="34">
        <v>9426459149</v>
      </c>
      <c r="W135" s="24" t="str">
        <f>VLOOKUP(C135,Product_Master!A:F,4,FALSE)</f>
        <v>Global Trade</v>
      </c>
      <c r="X135" s="34">
        <f>VLOOKUP(C135,Product_Master!A:F,6,FALSE)</f>
        <v>24</v>
      </c>
      <c r="Y135" s="24" t="str">
        <f>VLOOKUP(B135,Custumer_Master!A:D,3,FALSE)</f>
        <v>Platinum</v>
      </c>
      <c r="Z135" s="30">
        <f>EDATE(E135,X135)</f>
        <v>46495</v>
      </c>
      <c r="AA135" s="29" t="str">
        <f>VLOOKUP(B135,Custumer_Master!A:K,11,)</f>
        <v>April</v>
      </c>
      <c r="AB135" s="24" t="s">
        <v>2108</v>
      </c>
      <c r="AC135" s="138" t="str">
        <f>PROPER(LEFT(TRIM(F135), 3)) &amp; RIGHT(TRIM(B135), 3) &amp; PROPER(LEFT(TRIM(I135), 2))</f>
        <v>Moh009De</v>
      </c>
      <c r="AD135" s="154">
        <f t="shared" ca="1" si="7"/>
        <v>50</v>
      </c>
      <c r="AE135" s="154">
        <f>IFERROR(IF(OR(E135="", D135="", LOWER(TRIM(E135))="pending", LOWER(TRIM(D135))="pending"), "Pending", E135 - D135), "Pending")</f>
        <v>9</v>
      </c>
      <c r="AF135" s="138" t="str">
        <f>IFERROR(IF(OR(E135="", D135="","Pending","Pending"), "Pending", IF((E135 - D135) &lt;= 5, "On Time", "Delayed")), "Pending")</f>
        <v>Delayed</v>
      </c>
      <c r="AG135" s="24" t="str">
        <f t="shared" si="8"/>
        <v>Completed</v>
      </c>
    </row>
    <row r="136" spans="1:33">
      <c r="A136" s="24" t="s">
        <v>746</v>
      </c>
      <c r="B136" s="24" t="s">
        <v>53</v>
      </c>
      <c r="C136" s="24" t="s">
        <v>92</v>
      </c>
      <c r="D136" s="30">
        <v>45823</v>
      </c>
      <c r="E136" s="30" t="s">
        <v>488</v>
      </c>
      <c r="F136" s="24" t="str">
        <f>VLOOKUP(B136,Custumer_Master!A:D,2,FALSE)</f>
        <v>Pooja Shah</v>
      </c>
      <c r="G136" s="24" t="str">
        <f>VLOOKUP($B136,Custumer_Master!$A:$J,6,FALSE)</f>
        <v>Female</v>
      </c>
      <c r="H136" s="30" t="str">
        <f>VLOOKUP($B136,Custumer_Master!$A:$J,7,FALSE)</f>
        <v>16/09/1994</v>
      </c>
      <c r="I136" s="24" t="str">
        <f>VLOOKUP($B136,Custumer_Master!$A:$J,9,FALSE)</f>
        <v>Bengaluru</v>
      </c>
      <c r="J136" s="24" t="str">
        <f>VLOOKUP($B136,Custumer_Master!$A:$J,10,FALSE)</f>
        <v>South</v>
      </c>
      <c r="K136" s="24" t="str">
        <f>VLOOKUP(B136,Custumer_Master!A:D,4,FALSE)</f>
        <v>WB</v>
      </c>
      <c r="L136" s="24" t="str">
        <f>PROPER(TRIM(VLOOKUP('Final Data'!C136,Product_Master!A:F,3,FALSE)))</f>
        <v>Home Appliances</v>
      </c>
      <c r="M136" s="24" t="s">
        <v>97</v>
      </c>
      <c r="N136" s="34">
        <v>3</v>
      </c>
      <c r="O136" s="192">
        <f>VLOOKUP(C136,Product_Master!A:F,5,FALSE)</f>
        <v>2625</v>
      </c>
      <c r="P136" s="33">
        <v>0.05</v>
      </c>
      <c r="Q136" s="34">
        <f t="shared" si="6"/>
        <v>7481.25</v>
      </c>
      <c r="R136" s="34">
        <v>4</v>
      </c>
      <c r="S136" s="24" t="s">
        <v>2148</v>
      </c>
      <c r="T136" s="24" t="s">
        <v>49</v>
      </c>
      <c r="U136" s="24" t="s">
        <v>62</v>
      </c>
      <c r="V136" s="34">
        <v>9155925975</v>
      </c>
      <c r="W136" s="24" t="str">
        <f>VLOOKUP(C136,Product_Master!A:F,4,FALSE)</f>
        <v>Global Trade</v>
      </c>
      <c r="X136" s="34">
        <f>VLOOKUP(C136,Product_Master!A:F,6,FALSE)</f>
        <v>6</v>
      </c>
      <c r="Y136" s="24" t="str">
        <f>VLOOKUP(B136,Custumer_Master!A:D,3,FALSE)</f>
        <v>Silver</v>
      </c>
      <c r="Z136" s="30">
        <f>EDATE(E136,X136)</f>
        <v>46018</v>
      </c>
      <c r="AA136" s="29" t="str">
        <f>VLOOKUP(B136,Custumer_Master!A:K,11,)</f>
        <v>September</v>
      </c>
      <c r="AB136" s="24" t="s">
        <v>2108</v>
      </c>
      <c r="AC136" s="138" t="str">
        <f>PROPER(LEFT(TRIM(F136), 3)) &amp; RIGHT(TRIM(B136), 3) &amp; PROPER(LEFT(TRIM(I136), 2))</f>
        <v>Poo010Be</v>
      </c>
      <c r="AD136" s="154">
        <f t="shared" ca="1" si="7"/>
        <v>31</v>
      </c>
      <c r="AE136" s="154">
        <f>IFERROR(IF(OR(E136="", D136="", LOWER(TRIM(E136))="pending", LOWER(TRIM(D136))="pending"), "Pending", E136 - D136), "Pending")</f>
        <v>12</v>
      </c>
      <c r="AF136" s="138" t="str">
        <f>IFERROR(IF(OR(E136="", D136="","Pending","Pending"), "Pending", IF((E136 - D136) &lt;= 5, "On Time", "Delayed")), "Pending")</f>
        <v>Delayed</v>
      </c>
      <c r="AG136" s="24" t="str">
        <f t="shared" si="8"/>
        <v>Completed</v>
      </c>
    </row>
    <row r="137" spans="1:33">
      <c r="A137" s="24" t="s">
        <v>749</v>
      </c>
      <c r="B137" s="24" t="s">
        <v>71</v>
      </c>
      <c r="C137" s="24" t="s">
        <v>169</v>
      </c>
      <c r="D137" s="30">
        <v>45816</v>
      </c>
      <c r="E137" s="30" t="s">
        <v>751</v>
      </c>
      <c r="F137" s="24" t="str">
        <f>VLOOKUP(B137,Custumer_Master!A:D,2,FALSE)</f>
        <v>Mohit Verma</v>
      </c>
      <c r="G137" s="24" t="str">
        <f>VLOOKUP($B137,Custumer_Master!$A:$J,6,FALSE)</f>
        <v>Male</v>
      </c>
      <c r="H137" s="30" t="str">
        <f>VLOOKUP($B137,Custumer_Master!$A:$J,7,FALSE)</f>
        <v>13/04/1976</v>
      </c>
      <c r="I137" s="24" t="str">
        <f>VLOOKUP($B137,Custumer_Master!$A:$J,9,FALSE)</f>
        <v>Delhi</v>
      </c>
      <c r="J137" s="24" t="str">
        <f>VLOOKUP($B137,Custumer_Master!$A:$J,10,FALSE)</f>
        <v>North</v>
      </c>
      <c r="K137" s="24" t="str">
        <f>VLOOKUP(B137,Custumer_Master!A:D,4,FALSE)</f>
        <v>KA</v>
      </c>
      <c r="L137" s="24" t="str">
        <f>PROPER(TRIM(VLOOKUP('Final Data'!C137,Product_Master!A:F,3,FALSE)))</f>
        <v>Home Appliances</v>
      </c>
      <c r="M137" s="24" t="s">
        <v>174</v>
      </c>
      <c r="N137" s="34">
        <v>5</v>
      </c>
      <c r="O137" s="192">
        <f>VLOOKUP(C137,Product_Master!A:F,5,FALSE)</f>
        <v>6375</v>
      </c>
      <c r="P137" s="33">
        <v>0.2</v>
      </c>
      <c r="Q137" s="34">
        <f t="shared" si="6"/>
        <v>25500</v>
      </c>
      <c r="R137" s="34">
        <v>5</v>
      </c>
      <c r="S137" s="24" t="s">
        <v>34</v>
      </c>
      <c r="T137" s="24" t="s">
        <v>61</v>
      </c>
      <c r="U137" s="24" t="s">
        <v>80</v>
      </c>
      <c r="V137" s="34">
        <v>9945247701</v>
      </c>
      <c r="W137" s="24" t="str">
        <f>VLOOKUP(C137,Product_Master!A:F,4,FALSE)</f>
        <v>TechHub</v>
      </c>
      <c r="X137" s="34">
        <f>VLOOKUP(C137,Product_Master!A:F,6,FALSE)</f>
        <v>24</v>
      </c>
      <c r="Y137" s="24" t="str">
        <f>VLOOKUP(B137,Custumer_Master!A:D,3,FALSE)</f>
        <v>Platinum</v>
      </c>
      <c r="Z137" s="30">
        <f>EDATE(E137,X137)</f>
        <v>46548</v>
      </c>
      <c r="AA137" s="29" t="str">
        <f>VLOOKUP(B137,Custumer_Master!A:K,11,)</f>
        <v>April</v>
      </c>
      <c r="AB137" s="24" t="s">
        <v>2108</v>
      </c>
      <c r="AC137" s="138" t="str">
        <f>PROPER(LEFT(TRIM(F137), 3)) &amp; RIGHT(TRIM(B137), 3) &amp; PROPER(LEFT(TRIM(I137), 2))</f>
        <v>Moh009De</v>
      </c>
      <c r="AD137" s="154">
        <f t="shared" ca="1" si="7"/>
        <v>50</v>
      </c>
      <c r="AE137" s="154">
        <f>IFERROR(IF(OR(E137="", D137="", LOWER(TRIM(E137))="pending", LOWER(TRIM(D137))="pending"), "Pending", E137 - D137), "Pending")</f>
        <v>2</v>
      </c>
      <c r="AF137" s="138" t="str">
        <f>IFERROR(IF(OR(E137="", D137="","Pending","Pending"), "Pending", IF((E137 - D137) &lt;= 5, "On Time", "Delayed")), "Pending")</f>
        <v>On Time</v>
      </c>
      <c r="AG137" s="24" t="str">
        <f t="shared" si="8"/>
        <v>Completed</v>
      </c>
    </row>
    <row r="138" spans="1:33">
      <c r="A138" s="24" t="s">
        <v>754</v>
      </c>
      <c r="B138" s="24" t="s">
        <v>23</v>
      </c>
      <c r="C138" s="24" t="s">
        <v>92</v>
      </c>
      <c r="D138" s="30">
        <v>45863</v>
      </c>
      <c r="E138" s="30" t="s">
        <v>756</v>
      </c>
      <c r="F138" s="24" t="str">
        <f>VLOOKUP(B138,Custumer_Master!A:D,2,FALSE)</f>
        <v>Kavya Nair</v>
      </c>
      <c r="G138" s="24" t="str">
        <f>VLOOKUP($B138,Custumer_Master!$A:$J,6,FALSE)</f>
        <v>Female</v>
      </c>
      <c r="H138" s="30" t="str">
        <f>VLOOKUP($B138,Custumer_Master!$A:$J,7,FALSE)</f>
        <v>01/08/1976</v>
      </c>
      <c r="I138" s="24" t="str">
        <f>VLOOKUP($B138,Custumer_Master!$A:$J,9,FALSE)</f>
        <v>Hyderabad</v>
      </c>
      <c r="J138" s="24" t="str">
        <f>VLOOKUP($B138,Custumer_Master!$A:$J,10,FALSE)</f>
        <v>South</v>
      </c>
      <c r="K138" s="24" t="str">
        <f>VLOOKUP(B138,Custumer_Master!A:D,4,FALSE)</f>
        <v>WB</v>
      </c>
      <c r="L138" s="24" t="str">
        <f>PROPER(TRIM(VLOOKUP('Final Data'!C138,Product_Master!A:F,3,FALSE)))</f>
        <v>Home Appliances</v>
      </c>
      <c r="M138" s="24" t="s">
        <v>97</v>
      </c>
      <c r="N138" s="34">
        <v>14</v>
      </c>
      <c r="O138" s="192">
        <f>VLOOKUP(C138,Product_Master!A:F,5,FALSE)</f>
        <v>2625</v>
      </c>
      <c r="P138" s="33">
        <v>0.1</v>
      </c>
      <c r="Q138" s="34">
        <f t="shared" si="6"/>
        <v>33075</v>
      </c>
      <c r="R138" s="34">
        <v>4</v>
      </c>
      <c r="S138" s="24" t="s">
        <v>2149</v>
      </c>
      <c r="T138" s="24" t="s">
        <v>35</v>
      </c>
      <c r="U138" s="24" t="s">
        <v>50</v>
      </c>
      <c r="V138" s="34">
        <v>9597378398</v>
      </c>
      <c r="W138" s="24" t="str">
        <f>VLOOKUP(C138,Product_Master!A:F,4,FALSE)</f>
        <v>Global Trade</v>
      </c>
      <c r="X138" s="34">
        <f>VLOOKUP(C138,Product_Master!A:F,6,FALSE)</f>
        <v>6</v>
      </c>
      <c r="Y138" s="24" t="str">
        <f>VLOOKUP(B138,Custumer_Master!A:D,3,FALSE)</f>
        <v>Silver</v>
      </c>
      <c r="Z138" s="30">
        <f>EDATE(E138,X138)</f>
        <v>46054</v>
      </c>
      <c r="AA138" s="29" t="str">
        <f>VLOOKUP(B138,Custumer_Master!A:K,11,)</f>
        <v>August</v>
      </c>
      <c r="AB138" s="24" t="s">
        <v>2108</v>
      </c>
      <c r="AC138" s="138" t="str">
        <f>PROPER(LEFT(TRIM(F138), 3)) &amp; RIGHT(TRIM(B138), 3) &amp; PROPER(LEFT(TRIM(I138), 2))</f>
        <v>Kav008Hy</v>
      </c>
      <c r="AD138" s="154">
        <f t="shared" ca="1" si="7"/>
        <v>49</v>
      </c>
      <c r="AE138" s="154">
        <f>IFERROR(IF(OR(E138="", D138="", LOWER(TRIM(E138))="pending", LOWER(TRIM(D138))="pending"), "Pending", E138 - D138), "Pending")</f>
        <v>7</v>
      </c>
      <c r="AF138" s="138" t="str">
        <f>IFERROR(IF(OR(E138="", D138="","Pending","Pending"), "Pending", IF((E138 - D138) &lt;= 5, "On Time", "Delayed")), "Pending")</f>
        <v>Delayed</v>
      </c>
      <c r="AG138" s="24" t="str">
        <f t="shared" si="8"/>
        <v>Completed</v>
      </c>
    </row>
    <row r="139" spans="1:33">
      <c r="A139" s="24" t="s">
        <v>759</v>
      </c>
      <c r="B139" s="24" t="s">
        <v>327</v>
      </c>
      <c r="C139" s="24" t="s">
        <v>259</v>
      </c>
      <c r="D139" s="30">
        <v>45673</v>
      </c>
      <c r="E139" s="30" t="s">
        <v>761</v>
      </c>
      <c r="F139" s="24" t="str">
        <f>VLOOKUP(B139,Custumer_Master!A:D,2,FALSE)</f>
        <v>Amit Sharma</v>
      </c>
      <c r="G139" s="24" t="str">
        <f>VLOOKUP($B139,Custumer_Master!$A:$J,6,FALSE)</f>
        <v>Male</v>
      </c>
      <c r="H139" s="30" t="str">
        <f>VLOOKUP($B139,Custumer_Master!$A:$J,7,FALSE)</f>
        <v>09/08/1991</v>
      </c>
      <c r="I139" s="24" t="str">
        <f>VLOOKUP($B139,Custumer_Master!$A:$J,9,FALSE)</f>
        <v>Pune</v>
      </c>
      <c r="J139" s="24" t="str">
        <f>VLOOKUP($B139,Custumer_Master!$A:$J,10,FALSE)</f>
        <v>West</v>
      </c>
      <c r="K139" s="24" t="str">
        <f>VLOOKUP(B139,Custumer_Master!A:D,4,FALSE)</f>
        <v>RJ</v>
      </c>
      <c r="L139" s="24" t="str">
        <f>PROPER(TRIM(VLOOKUP('Final Data'!C139,Product_Master!A:F,3,FALSE)))</f>
        <v>Stationery</v>
      </c>
      <c r="M139" s="24" t="s">
        <v>263</v>
      </c>
      <c r="N139" s="34">
        <v>8</v>
      </c>
      <c r="O139" s="192">
        <f>VLOOKUP(C139,Product_Master!A:F,5,FALSE)</f>
        <v>33.75</v>
      </c>
      <c r="P139" s="33">
        <v>0</v>
      </c>
      <c r="Q139" s="34">
        <f t="shared" si="6"/>
        <v>270</v>
      </c>
      <c r="R139" s="34">
        <v>1</v>
      </c>
      <c r="S139" s="24" t="s">
        <v>79</v>
      </c>
      <c r="T139" s="24" t="s">
        <v>151</v>
      </c>
      <c r="U139" s="24" t="s">
        <v>332</v>
      </c>
      <c r="V139" s="34">
        <v>9343963736</v>
      </c>
      <c r="W139" s="24" t="str">
        <f>VLOOKUP(C139,Product_Master!A:F,4,FALSE)</f>
        <v>TechHub</v>
      </c>
      <c r="X139" s="34">
        <f>VLOOKUP(C139,Product_Master!A:F,6,FALSE)</f>
        <v>12</v>
      </c>
      <c r="Y139" s="24" t="str">
        <f>VLOOKUP(B139,Custumer_Master!A:D,3,FALSE)</f>
        <v>Silver</v>
      </c>
      <c r="Z139" s="30">
        <f>EDATE(E139,X139)</f>
        <v>46043</v>
      </c>
      <c r="AA139" s="29" t="str">
        <f>VLOOKUP(B139,Custumer_Master!A:K,11,)</f>
        <v>August</v>
      </c>
      <c r="AB139" s="24" t="s">
        <v>2160</v>
      </c>
      <c r="AC139" s="138" t="str">
        <f>PROPER(LEFT(TRIM(F139), 3)) &amp; RIGHT(TRIM(B139), 3) &amp; PROPER(LEFT(TRIM(I139), 2))</f>
        <v>Ami001Pu</v>
      </c>
      <c r="AD139" s="154">
        <f t="shared" ca="1" si="7"/>
        <v>34</v>
      </c>
      <c r="AE139" s="154">
        <f>IFERROR(IF(OR(E139="", D139="", LOWER(TRIM(E139))="pending", LOWER(TRIM(D139))="pending"), "Pending", E139 - D139), "Pending")</f>
        <v>5</v>
      </c>
      <c r="AF139" s="138" t="str">
        <f>IFERROR(IF(OR(E139="", D139="","Pending","Pending"), "Pending", IF((E139 - D139) &lt;= 5, "On Time", "Delayed")), "Pending")</f>
        <v>On Time</v>
      </c>
      <c r="AG139" s="24" t="str">
        <f t="shared" si="8"/>
        <v>Completed</v>
      </c>
    </row>
    <row r="140" spans="1:33">
      <c r="A140" s="24" t="s">
        <v>764</v>
      </c>
      <c r="B140" s="24" t="s">
        <v>221</v>
      </c>
      <c r="C140" s="24" t="s">
        <v>259</v>
      </c>
      <c r="D140" s="30">
        <v>45692</v>
      </c>
      <c r="E140" s="30" t="s">
        <v>766</v>
      </c>
      <c r="F140" s="24" t="str">
        <f>VLOOKUP(B140,Custumer_Master!A:D,2,FALSE)</f>
        <v>Vikas Mehta</v>
      </c>
      <c r="G140" s="24" t="str">
        <f>VLOOKUP($B140,Custumer_Master!$A:$J,6,FALSE)</f>
        <v>Male</v>
      </c>
      <c r="H140" s="30" t="str">
        <f>VLOOKUP($B140,Custumer_Master!$A:$J,7,FALSE)</f>
        <v>03/08/1991</v>
      </c>
      <c r="I140" s="24" t="str">
        <f>VLOOKUP($B140,Custumer_Master!$A:$J,9,FALSE)</f>
        <v>Mumbai</v>
      </c>
      <c r="J140" s="24" t="str">
        <f>VLOOKUP($B140,Custumer_Master!$A:$J,10,FALSE)</f>
        <v>West</v>
      </c>
      <c r="K140" s="24" t="str">
        <f>VLOOKUP(B140,Custumer_Master!A:D,4,FALSE)</f>
        <v>DL</v>
      </c>
      <c r="L140" s="24" t="str">
        <f>PROPER(TRIM(VLOOKUP('Final Data'!C140,Product_Master!A:F,3,FALSE)))</f>
        <v>Stationery</v>
      </c>
      <c r="M140" s="24" t="s">
        <v>263</v>
      </c>
      <c r="N140" s="34">
        <v>11</v>
      </c>
      <c r="O140" s="192">
        <f>VLOOKUP(C140,Product_Master!A:F,5,FALSE)</f>
        <v>33.75</v>
      </c>
      <c r="P140" s="33">
        <v>0.05</v>
      </c>
      <c r="Q140" s="34">
        <f t="shared" si="6"/>
        <v>352.6875</v>
      </c>
      <c r="R140" s="34">
        <v>3</v>
      </c>
      <c r="S140" s="24" t="s">
        <v>79</v>
      </c>
      <c r="T140" s="24" t="s">
        <v>49</v>
      </c>
      <c r="U140" s="24" t="s">
        <v>228</v>
      </c>
      <c r="V140" s="34">
        <v>9548742147</v>
      </c>
      <c r="W140" s="24" t="str">
        <f>VLOOKUP(C140,Product_Master!A:F,4,FALSE)</f>
        <v>TechHub</v>
      </c>
      <c r="X140" s="34">
        <f>VLOOKUP(C140,Product_Master!A:F,6,FALSE)</f>
        <v>12</v>
      </c>
      <c r="Y140" s="24" t="str">
        <f>VLOOKUP(B140,Custumer_Master!A:D,3,FALSE)</f>
        <v>Gold</v>
      </c>
      <c r="Z140" s="30">
        <f>EDATE(E140,X140)</f>
        <v>46058</v>
      </c>
      <c r="AA140" s="29" t="str">
        <f>VLOOKUP(B140,Custumer_Master!A:K,11,)</f>
        <v>August</v>
      </c>
      <c r="AB140" s="24" t="s">
        <v>2108</v>
      </c>
      <c r="AC140" s="138" t="str">
        <f>PROPER(LEFT(TRIM(F140), 3)) &amp; RIGHT(TRIM(B140), 3) &amp; PROPER(LEFT(TRIM(I140), 2))</f>
        <v>Vik005Mu</v>
      </c>
      <c r="AD140" s="154">
        <f t="shared" ca="1" si="7"/>
        <v>34</v>
      </c>
      <c r="AE140" s="154">
        <f>IFERROR(IF(OR(E140="", D140="", LOWER(TRIM(E140))="pending", LOWER(TRIM(D140))="pending"), "Pending", E140 - D140), "Pending")</f>
        <v>1</v>
      </c>
      <c r="AF140" s="138" t="str">
        <f>IFERROR(IF(OR(E140="", D140="","Pending","Pending"), "Pending", IF((E140 - D140) &lt;= 5, "On Time", "Delayed")), "Pending")</f>
        <v>On Time</v>
      </c>
      <c r="AG140" s="24" t="str">
        <f t="shared" si="8"/>
        <v>Completed</v>
      </c>
    </row>
    <row r="141" spans="1:33">
      <c r="A141" s="24" t="s">
        <v>769</v>
      </c>
      <c r="B141" s="24" t="s">
        <v>83</v>
      </c>
      <c r="C141" s="24" t="s">
        <v>54</v>
      </c>
      <c r="D141" s="30">
        <v>45679</v>
      </c>
      <c r="E141" s="30" t="s">
        <v>771</v>
      </c>
      <c r="F141" s="24" t="str">
        <f>VLOOKUP(B141,Custumer_Master!A:D,2,FALSE)</f>
        <v>Arjun Rao</v>
      </c>
      <c r="G141" s="24" t="str">
        <f>VLOOKUP($B141,Custumer_Master!$A:$J,6,FALSE)</f>
        <v>Male</v>
      </c>
      <c r="H141" s="30" t="str">
        <f>VLOOKUP($B141,Custumer_Master!$A:$J,7,FALSE)</f>
        <v>07/02/1988</v>
      </c>
      <c r="I141" s="24" t="str">
        <f>VLOOKUP($B141,Custumer_Master!$A:$J,9,FALSE)</f>
        <v>Hyderabad</v>
      </c>
      <c r="J141" s="24" t="str">
        <f>VLOOKUP($B141,Custumer_Master!$A:$J,10,FALSE)</f>
        <v>South</v>
      </c>
      <c r="K141" s="24" t="str">
        <f>VLOOKUP(B141,Custumer_Master!A:D,4,FALSE)</f>
        <v>RJ</v>
      </c>
      <c r="L141" s="24" t="str">
        <f>PROPER(TRIM(VLOOKUP('Final Data'!C141,Product_Master!A:F,3,FALSE)))</f>
        <v>Electronics</v>
      </c>
      <c r="M141" s="24" t="s">
        <v>60</v>
      </c>
      <c r="N141" s="34">
        <v>19</v>
      </c>
      <c r="O141" s="192">
        <f>VLOOKUP(C141,Product_Master!A:F,5,FALSE)</f>
        <v>41250</v>
      </c>
      <c r="P141" s="33">
        <v>0</v>
      </c>
      <c r="Q141" s="34">
        <f t="shared" si="6"/>
        <v>783750</v>
      </c>
      <c r="R141" s="34">
        <v>2</v>
      </c>
      <c r="S141" s="24" t="s">
        <v>79</v>
      </c>
      <c r="T141" s="24" t="s">
        <v>35</v>
      </c>
      <c r="U141" s="24" t="s">
        <v>89</v>
      </c>
      <c r="V141" s="34">
        <v>9912945471</v>
      </c>
      <c r="W141" s="24" t="str">
        <f>VLOOKUP(C141,Product_Master!A:F,4,FALSE)</f>
        <v>TechHub</v>
      </c>
      <c r="X141" s="34">
        <f>VLOOKUP(C141,Product_Master!A:F,6,FALSE)</f>
        <v>12</v>
      </c>
      <c r="Y141" s="24" t="str">
        <f>VLOOKUP(B141,Custumer_Master!A:D,3,FALSE)</f>
        <v>Silver</v>
      </c>
      <c r="Z141" s="30">
        <f>EDATE(E141,X141)</f>
        <v>46052</v>
      </c>
      <c r="AA141" s="29" t="str">
        <f>VLOOKUP(B141,Custumer_Master!A:K,11,)</f>
        <v>February</v>
      </c>
      <c r="AB141" s="24" t="s">
        <v>2160</v>
      </c>
      <c r="AC141" s="138" t="str">
        <f>PROPER(LEFT(TRIM(F141), 3)) &amp; RIGHT(TRIM(B141), 3) &amp; PROPER(LEFT(TRIM(I141), 2))</f>
        <v>Arj007Hy</v>
      </c>
      <c r="AD141" s="154">
        <f t="shared" ca="1" si="7"/>
        <v>38</v>
      </c>
      <c r="AE141" s="154">
        <f>IFERROR(IF(OR(E141="", D141="", LOWER(TRIM(E141))="pending", LOWER(TRIM(D141))="pending"), "Pending", E141 - D141), "Pending")</f>
        <v>8</v>
      </c>
      <c r="AF141" s="138" t="str">
        <f>IFERROR(IF(OR(E141="", D141="","Pending","Pending"), "Pending", IF((E141 - D141) &lt;= 5, "On Time", "Delayed")), "Pending")</f>
        <v>Delayed</v>
      </c>
      <c r="AG141" s="24" t="str">
        <f t="shared" si="8"/>
        <v>Completed</v>
      </c>
    </row>
    <row r="142" spans="1:33">
      <c r="A142" s="24" t="s">
        <v>774</v>
      </c>
      <c r="B142" s="24" t="s">
        <v>53</v>
      </c>
      <c r="C142" s="24" t="s">
        <v>92</v>
      </c>
      <c r="D142" s="30">
        <v>45758</v>
      </c>
      <c r="E142" s="30" t="s">
        <v>539</v>
      </c>
      <c r="F142" s="24" t="str">
        <f>VLOOKUP(B142,Custumer_Master!A:D,2,FALSE)</f>
        <v>Pooja Shah</v>
      </c>
      <c r="G142" s="24" t="str">
        <f>VLOOKUP($B142,Custumer_Master!$A:$J,6,FALSE)</f>
        <v>Female</v>
      </c>
      <c r="H142" s="30" t="str">
        <f>VLOOKUP($B142,Custumer_Master!$A:$J,7,FALSE)</f>
        <v>16/09/1994</v>
      </c>
      <c r="I142" s="24" t="str">
        <f>VLOOKUP($B142,Custumer_Master!$A:$J,9,FALSE)</f>
        <v>Bengaluru</v>
      </c>
      <c r="J142" s="24" t="str">
        <f>VLOOKUP($B142,Custumer_Master!$A:$J,10,FALSE)</f>
        <v>South</v>
      </c>
      <c r="K142" s="24" t="str">
        <f>VLOOKUP(B142,Custumer_Master!A:D,4,FALSE)</f>
        <v>WB</v>
      </c>
      <c r="L142" s="24" t="str">
        <f>PROPER(TRIM(VLOOKUP('Final Data'!C142,Product_Master!A:F,3,FALSE)))</f>
        <v>Home Appliances</v>
      </c>
      <c r="M142" s="24" t="s">
        <v>97</v>
      </c>
      <c r="N142" s="34">
        <v>20</v>
      </c>
      <c r="O142" s="192">
        <f>VLOOKUP(C142,Product_Master!A:F,5,FALSE)</f>
        <v>2625</v>
      </c>
      <c r="P142" s="33">
        <v>0.2</v>
      </c>
      <c r="Q142" s="34">
        <f t="shared" si="6"/>
        <v>42000</v>
      </c>
      <c r="R142" s="34">
        <v>4</v>
      </c>
      <c r="S142" s="24" t="s">
        <v>2148</v>
      </c>
      <c r="T142" s="24" t="s">
        <v>49</v>
      </c>
      <c r="U142" s="24" t="s">
        <v>62</v>
      </c>
      <c r="V142" s="34">
        <v>9912630684</v>
      </c>
      <c r="W142" s="24" t="str">
        <f>VLOOKUP(C142,Product_Master!A:F,4,FALSE)</f>
        <v>Global Trade</v>
      </c>
      <c r="X142" s="34">
        <f>VLOOKUP(C142,Product_Master!A:F,6,FALSE)</f>
        <v>6</v>
      </c>
      <c r="Y142" s="24" t="str">
        <f>VLOOKUP(B142,Custumer_Master!A:D,3,FALSE)</f>
        <v>Silver</v>
      </c>
      <c r="Z142" s="30">
        <f>EDATE(E142,X142)</f>
        <v>45948</v>
      </c>
      <c r="AA142" s="29" t="str">
        <f>VLOOKUP(B142,Custumer_Master!A:K,11,)</f>
        <v>September</v>
      </c>
      <c r="AB142" s="24" t="s">
        <v>2108</v>
      </c>
      <c r="AC142" s="138" t="str">
        <f>PROPER(LEFT(TRIM(F142), 3)) &amp; RIGHT(TRIM(B142), 3) &amp; PROPER(LEFT(TRIM(I142), 2))</f>
        <v>Poo010Be</v>
      </c>
      <c r="AD142" s="154">
        <f t="shared" ca="1" si="7"/>
        <v>31</v>
      </c>
      <c r="AE142" s="154">
        <f>IFERROR(IF(OR(E142="", D142="", LOWER(TRIM(E142))="pending", LOWER(TRIM(D142))="pending"), "Pending", E142 - D142), "Pending")</f>
        <v>7</v>
      </c>
      <c r="AF142" s="138" t="str">
        <f>IFERROR(IF(OR(E142="", D142="","Pending","Pending"), "Pending", IF((E142 - D142) &lt;= 5, "On Time", "Delayed")), "Pending")</f>
        <v>Delayed</v>
      </c>
      <c r="AG142" s="24" t="str">
        <f t="shared" si="8"/>
        <v>Completed</v>
      </c>
    </row>
    <row r="143" spans="1:33">
      <c r="A143" s="24" t="s">
        <v>778</v>
      </c>
      <c r="B143" s="24" t="s">
        <v>83</v>
      </c>
      <c r="C143" s="24" t="s">
        <v>24</v>
      </c>
      <c r="D143" s="30">
        <v>45842</v>
      </c>
      <c r="E143" s="30" t="s">
        <v>779</v>
      </c>
      <c r="F143" s="24" t="str">
        <f>VLOOKUP(B143,Custumer_Master!A:D,2,FALSE)</f>
        <v>Arjun Rao</v>
      </c>
      <c r="G143" s="24" t="str">
        <f>VLOOKUP($B143,Custumer_Master!$A:$J,6,FALSE)</f>
        <v>Male</v>
      </c>
      <c r="H143" s="30" t="str">
        <f>VLOOKUP($B143,Custumer_Master!$A:$J,7,FALSE)</f>
        <v>07/02/1988</v>
      </c>
      <c r="I143" s="24" t="str">
        <f>VLOOKUP($B143,Custumer_Master!$A:$J,9,FALSE)</f>
        <v>Hyderabad</v>
      </c>
      <c r="J143" s="24" t="str">
        <f>VLOOKUP($B143,Custumer_Master!$A:$J,10,FALSE)</f>
        <v>South</v>
      </c>
      <c r="K143" s="24" t="str">
        <f>VLOOKUP(B143,Custumer_Master!A:D,4,FALSE)</f>
        <v>RJ</v>
      </c>
      <c r="L143" s="24" t="str">
        <f>PROPER(TRIM(VLOOKUP('Final Data'!C143,Product_Master!A:F,3,FALSE)))</f>
        <v>Home Appliances</v>
      </c>
      <c r="M143" s="24" t="s">
        <v>33</v>
      </c>
      <c r="N143" s="34">
        <v>17</v>
      </c>
      <c r="O143" s="192">
        <f>VLOOKUP(C143,Product_Master!A:F,5,FALSE)</f>
        <v>1650</v>
      </c>
      <c r="P143" s="33">
        <v>0</v>
      </c>
      <c r="Q143" s="34">
        <f t="shared" si="6"/>
        <v>28050</v>
      </c>
      <c r="R143" s="34">
        <v>5</v>
      </c>
      <c r="S143" s="24" t="s">
        <v>2148</v>
      </c>
      <c r="T143" s="24" t="s">
        <v>35</v>
      </c>
      <c r="U143" s="24" t="s">
        <v>89</v>
      </c>
      <c r="V143" s="34">
        <v>9114017237</v>
      </c>
      <c r="W143" s="24" t="str">
        <f>VLOOKUP(C143,Product_Master!A:F,4,FALSE)</f>
        <v>Global Trade</v>
      </c>
      <c r="X143" s="34">
        <f>VLOOKUP(C143,Product_Master!A:F,6,FALSE)</f>
        <v>24</v>
      </c>
      <c r="Y143" s="24" t="str">
        <f>VLOOKUP(B143,Custumer_Master!A:D,3,FALSE)</f>
        <v>Silver</v>
      </c>
      <c r="Z143" s="30">
        <f>EDATE(E143,X143)</f>
        <v>46582</v>
      </c>
      <c r="AA143" s="29" t="str">
        <f>VLOOKUP(B143,Custumer_Master!A:K,11,)</f>
        <v>February</v>
      </c>
      <c r="AB143" s="24" t="s">
        <v>2108</v>
      </c>
      <c r="AC143" s="138" t="str">
        <f>PROPER(LEFT(TRIM(F143), 3)) &amp; RIGHT(TRIM(B143), 3) &amp; PROPER(LEFT(TRIM(I143), 2))</f>
        <v>Arj007Hy</v>
      </c>
      <c r="AD143" s="154">
        <f t="shared" ca="1" si="7"/>
        <v>38</v>
      </c>
      <c r="AE143" s="154">
        <f>IFERROR(IF(OR(E143="", D143="", LOWER(TRIM(E143))="pending", LOWER(TRIM(D143))="pending"), "Pending", E143 - D143), "Pending")</f>
        <v>10</v>
      </c>
      <c r="AF143" s="138" t="str">
        <f>IFERROR(IF(OR(E143="", D143="","Pending","Pending"), "Pending", IF((E143 - D143) &lt;= 5, "On Time", "Delayed")), "Pending")</f>
        <v>Delayed</v>
      </c>
      <c r="AG143" s="24" t="str">
        <f t="shared" si="8"/>
        <v>Completed</v>
      </c>
    </row>
    <row r="144" spans="1:33">
      <c r="A144" s="24" t="s">
        <v>782</v>
      </c>
      <c r="B144" s="24" t="s">
        <v>83</v>
      </c>
      <c r="C144" s="24" t="s">
        <v>72</v>
      </c>
      <c r="D144" s="30">
        <v>45679</v>
      </c>
      <c r="E144" s="30" t="s">
        <v>783</v>
      </c>
      <c r="F144" s="24" t="str">
        <f>VLOOKUP(B144,Custumer_Master!A:D,2,FALSE)</f>
        <v>Arjun Rao</v>
      </c>
      <c r="G144" s="24" t="str">
        <f>VLOOKUP($B144,Custumer_Master!$A:$J,6,FALSE)</f>
        <v>Male</v>
      </c>
      <c r="H144" s="30" t="str">
        <f>VLOOKUP($B144,Custumer_Master!$A:$J,7,FALSE)</f>
        <v>07/02/1988</v>
      </c>
      <c r="I144" s="24" t="str">
        <f>VLOOKUP($B144,Custumer_Master!$A:$J,9,FALSE)</f>
        <v>Hyderabad</v>
      </c>
      <c r="J144" s="24" t="str">
        <f>VLOOKUP($B144,Custumer_Master!$A:$J,10,FALSE)</f>
        <v>South</v>
      </c>
      <c r="K144" s="24" t="str">
        <f>VLOOKUP(B144,Custumer_Master!A:D,4,FALSE)</f>
        <v>RJ</v>
      </c>
      <c r="L144" s="24" t="str">
        <f>PROPER(TRIM(VLOOKUP('Final Data'!C144,Product_Master!A:F,3,FALSE)))</f>
        <v>Electronics</v>
      </c>
      <c r="M144" s="24" t="s">
        <v>78</v>
      </c>
      <c r="N144" s="34">
        <v>10</v>
      </c>
      <c r="O144" s="192">
        <f>VLOOKUP(C144,Product_Master!A:F,5,FALSE)</f>
        <v>900</v>
      </c>
      <c r="P144" s="33">
        <v>0.05</v>
      </c>
      <c r="Q144" s="34">
        <f t="shared" si="6"/>
        <v>8550</v>
      </c>
      <c r="R144" s="34">
        <v>2</v>
      </c>
      <c r="S144" s="24" t="s">
        <v>34</v>
      </c>
      <c r="T144" s="24" t="s">
        <v>49</v>
      </c>
      <c r="U144" s="24" t="s">
        <v>89</v>
      </c>
      <c r="V144" s="34">
        <v>9872471236</v>
      </c>
      <c r="W144" s="24" t="str">
        <f>VLOOKUP(C144,Product_Master!A:F,4,FALSE)</f>
        <v>TechHub</v>
      </c>
      <c r="X144" s="34">
        <f>VLOOKUP(C144,Product_Master!A:F,6,FALSE)</f>
        <v>6</v>
      </c>
      <c r="Y144" s="24" t="str">
        <f>VLOOKUP(B144,Custumer_Master!A:D,3,FALSE)</f>
        <v>Silver</v>
      </c>
      <c r="Z144" s="30">
        <f>EDATE(E144,X144)</f>
        <v>45867</v>
      </c>
      <c r="AA144" s="29" t="str">
        <f>VLOOKUP(B144,Custumer_Master!A:K,11,)</f>
        <v>February</v>
      </c>
      <c r="AB144" s="24" t="s">
        <v>2160</v>
      </c>
      <c r="AC144" s="138" t="str">
        <f>PROPER(LEFT(TRIM(F144), 3)) &amp; RIGHT(TRIM(B144), 3) &amp; PROPER(LEFT(TRIM(I144), 2))</f>
        <v>Arj007Hy</v>
      </c>
      <c r="AD144" s="154">
        <f t="shared" ca="1" si="7"/>
        <v>38</v>
      </c>
      <c r="AE144" s="154">
        <f>IFERROR(IF(OR(E144="", D144="", LOWER(TRIM(E144))="pending", LOWER(TRIM(D144))="pending"), "Pending", E144 - D144), "Pending")</f>
        <v>7</v>
      </c>
      <c r="AF144" s="138" t="str">
        <f>IFERROR(IF(OR(E144="", D144="","Pending","Pending"), "Pending", IF((E144 - D144) &lt;= 5, "On Time", "Delayed")), "Pending")</f>
        <v>Delayed</v>
      </c>
      <c r="AG144" s="24" t="str">
        <f t="shared" si="8"/>
        <v>Completed</v>
      </c>
    </row>
    <row r="145" spans="1:33">
      <c r="A145" s="24" t="s">
        <v>786</v>
      </c>
      <c r="B145" s="24" t="s">
        <v>221</v>
      </c>
      <c r="C145" s="24" t="s">
        <v>118</v>
      </c>
      <c r="D145" s="30">
        <v>46008</v>
      </c>
      <c r="E145" s="30" t="s">
        <v>788</v>
      </c>
      <c r="F145" s="24" t="str">
        <f>VLOOKUP(B145,Custumer_Master!A:D,2,FALSE)</f>
        <v>Vikas Mehta</v>
      </c>
      <c r="G145" s="24" t="str">
        <f>VLOOKUP($B145,Custumer_Master!$A:$J,6,FALSE)</f>
        <v>Male</v>
      </c>
      <c r="H145" s="30" t="str">
        <f>VLOOKUP($B145,Custumer_Master!$A:$J,7,FALSE)</f>
        <v>03/08/1991</v>
      </c>
      <c r="I145" s="24" t="str">
        <f>VLOOKUP($B145,Custumer_Master!$A:$J,9,FALSE)</f>
        <v>Mumbai</v>
      </c>
      <c r="J145" s="24" t="str">
        <f>VLOOKUP($B145,Custumer_Master!$A:$J,10,FALSE)</f>
        <v>West</v>
      </c>
      <c r="K145" s="24" t="str">
        <f>VLOOKUP(B145,Custumer_Master!A:D,4,FALSE)</f>
        <v>DL</v>
      </c>
      <c r="L145" s="24" t="str">
        <f>PROPER(TRIM(VLOOKUP('Final Data'!C145,Product_Master!A:F,3,FALSE)))</f>
        <v>Stationery</v>
      </c>
      <c r="M145" s="24" t="s">
        <v>123</v>
      </c>
      <c r="N145" s="34">
        <v>3</v>
      </c>
      <c r="O145" s="192">
        <f>VLOOKUP(C145,Product_Master!A:F,5,FALSE)</f>
        <v>45</v>
      </c>
      <c r="P145" s="33">
        <v>0</v>
      </c>
      <c r="Q145" s="34">
        <f t="shared" si="6"/>
        <v>135</v>
      </c>
      <c r="R145" s="34">
        <v>4</v>
      </c>
      <c r="S145" s="24" t="s">
        <v>2148</v>
      </c>
      <c r="T145" s="24" t="s">
        <v>151</v>
      </c>
      <c r="U145" s="24" t="s">
        <v>228</v>
      </c>
      <c r="V145" s="34">
        <v>9461383824</v>
      </c>
      <c r="W145" s="24" t="str">
        <f>VLOOKUP(C145,Product_Master!A:F,4,FALSE)</f>
        <v>ABC Corp</v>
      </c>
      <c r="X145" s="34">
        <f>VLOOKUP(C145,Product_Master!A:F,6,FALSE)</f>
        <v>12</v>
      </c>
      <c r="Y145" s="24" t="str">
        <f>VLOOKUP(B145,Custumer_Master!A:D,3,FALSE)</f>
        <v>Gold</v>
      </c>
      <c r="Z145" s="30">
        <f>EDATE(E145,X145)</f>
        <v>46374</v>
      </c>
      <c r="AA145" s="29" t="str">
        <f>VLOOKUP(B145,Custumer_Master!A:K,11,)</f>
        <v>August</v>
      </c>
      <c r="AB145" s="24" t="s">
        <v>2108</v>
      </c>
      <c r="AC145" s="138" t="str">
        <f>PROPER(LEFT(TRIM(F145), 3)) &amp; RIGHT(TRIM(B145), 3) &amp; PROPER(LEFT(TRIM(I145), 2))</f>
        <v>Vik005Mu</v>
      </c>
      <c r="AD145" s="154">
        <f t="shared" ca="1" si="7"/>
        <v>34</v>
      </c>
      <c r="AE145" s="154">
        <f>IFERROR(IF(OR(E145="", D145="", LOWER(TRIM(E145))="pending", LOWER(TRIM(D145))="pending"), "Pending", E145 - D145), "Pending")</f>
        <v>1</v>
      </c>
      <c r="AF145" s="138" t="str">
        <f>IFERROR(IF(OR(E145="", D145="","Pending","Pending"), "Pending", IF((E145 - D145) &lt;= 5, "On Time", "Delayed")), "Pending")</f>
        <v>On Time</v>
      </c>
      <c r="AG145" s="24" t="str">
        <f t="shared" si="8"/>
        <v>Completed</v>
      </c>
    </row>
    <row r="146" spans="1:33">
      <c r="A146" s="24" t="s">
        <v>791</v>
      </c>
      <c r="B146" s="24" t="s">
        <v>53</v>
      </c>
      <c r="C146" s="24" t="s">
        <v>24</v>
      </c>
      <c r="D146" s="30">
        <v>45940</v>
      </c>
      <c r="E146" s="30" t="s">
        <v>793</v>
      </c>
      <c r="F146" s="24" t="str">
        <f>VLOOKUP(B146,Custumer_Master!A:D,2,FALSE)</f>
        <v>Pooja Shah</v>
      </c>
      <c r="G146" s="24" t="str">
        <f>VLOOKUP($B146,Custumer_Master!$A:$J,6,FALSE)</f>
        <v>Female</v>
      </c>
      <c r="H146" s="30" t="str">
        <f>VLOOKUP($B146,Custumer_Master!$A:$J,7,FALSE)</f>
        <v>16/09/1994</v>
      </c>
      <c r="I146" s="24" t="str">
        <f>VLOOKUP($B146,Custumer_Master!$A:$J,9,FALSE)</f>
        <v>Bengaluru</v>
      </c>
      <c r="J146" s="24" t="str">
        <f>VLOOKUP($B146,Custumer_Master!$A:$J,10,FALSE)</f>
        <v>South</v>
      </c>
      <c r="K146" s="24" t="str">
        <f>VLOOKUP(B146,Custumer_Master!A:D,4,FALSE)</f>
        <v>WB</v>
      </c>
      <c r="L146" s="24" t="str">
        <f>PROPER(TRIM(VLOOKUP('Final Data'!C146,Product_Master!A:F,3,FALSE)))</f>
        <v>Home Appliances</v>
      </c>
      <c r="M146" s="24" t="s">
        <v>33</v>
      </c>
      <c r="N146" s="34">
        <v>18</v>
      </c>
      <c r="O146" s="192">
        <f>VLOOKUP(C146,Product_Master!A:F,5,FALSE)</f>
        <v>1650</v>
      </c>
      <c r="P146" s="33">
        <v>0.1</v>
      </c>
      <c r="Q146" s="34">
        <f t="shared" si="6"/>
        <v>26730</v>
      </c>
      <c r="R146" s="34">
        <v>1</v>
      </c>
      <c r="S146" s="24" t="s">
        <v>79</v>
      </c>
      <c r="T146" s="24" t="s">
        <v>151</v>
      </c>
      <c r="U146" s="24" t="s">
        <v>62</v>
      </c>
      <c r="V146" s="34">
        <v>9243407457</v>
      </c>
      <c r="W146" s="24" t="str">
        <f>VLOOKUP(C146,Product_Master!A:F,4,FALSE)</f>
        <v>Global Trade</v>
      </c>
      <c r="X146" s="34">
        <f>VLOOKUP(C146,Product_Master!A:F,6,FALSE)</f>
        <v>24</v>
      </c>
      <c r="Y146" s="24" t="str">
        <f>VLOOKUP(B146,Custumer_Master!A:D,3,FALSE)</f>
        <v>Silver</v>
      </c>
      <c r="Z146" s="30">
        <f>EDATE(E146,X146)</f>
        <v>46681</v>
      </c>
      <c r="AA146" s="29" t="str">
        <f>VLOOKUP(B146,Custumer_Master!A:K,11,)</f>
        <v>September</v>
      </c>
      <c r="AB146" s="24" t="s">
        <v>2160</v>
      </c>
      <c r="AC146" s="138" t="str">
        <f>PROPER(LEFT(TRIM(F146), 3)) &amp; RIGHT(TRIM(B146), 3) &amp; PROPER(LEFT(TRIM(I146), 2))</f>
        <v>Poo010Be</v>
      </c>
      <c r="AD146" s="154">
        <f t="shared" ca="1" si="7"/>
        <v>31</v>
      </c>
      <c r="AE146" s="154">
        <f>IFERROR(IF(OR(E146="", D146="", LOWER(TRIM(E146))="pending", LOWER(TRIM(D146))="pending"), "Pending", E146 - D146), "Pending")</f>
        <v>11</v>
      </c>
      <c r="AF146" s="138" t="str">
        <f>IFERROR(IF(OR(E146="", D146="","Pending","Pending"), "Pending", IF((E146 - D146) &lt;= 5, "On Time", "Delayed")), "Pending")</f>
        <v>Delayed</v>
      </c>
      <c r="AG146" s="24" t="str">
        <f t="shared" si="8"/>
        <v>Completed</v>
      </c>
    </row>
    <row r="147" spans="1:33">
      <c r="A147" s="24" t="s">
        <v>796</v>
      </c>
      <c r="B147" s="24" t="s">
        <v>71</v>
      </c>
      <c r="C147" s="24" t="s">
        <v>118</v>
      </c>
      <c r="D147" s="30">
        <v>46088</v>
      </c>
      <c r="E147" s="30" t="s">
        <v>798</v>
      </c>
      <c r="F147" s="24" t="str">
        <f>VLOOKUP(B147,Custumer_Master!A:D,2,FALSE)</f>
        <v>Mohit Verma</v>
      </c>
      <c r="G147" s="24" t="str">
        <f>VLOOKUP($B147,Custumer_Master!$A:$J,6,FALSE)</f>
        <v>Male</v>
      </c>
      <c r="H147" s="30" t="str">
        <f>VLOOKUP($B147,Custumer_Master!$A:$J,7,FALSE)</f>
        <v>13/04/1976</v>
      </c>
      <c r="I147" s="24" t="str">
        <f>VLOOKUP($B147,Custumer_Master!$A:$J,9,FALSE)</f>
        <v>Delhi</v>
      </c>
      <c r="J147" s="24" t="str">
        <f>VLOOKUP($B147,Custumer_Master!$A:$J,10,FALSE)</f>
        <v>North</v>
      </c>
      <c r="K147" s="24" t="str">
        <f>VLOOKUP(B147,Custumer_Master!A:D,4,FALSE)</f>
        <v>KA</v>
      </c>
      <c r="L147" s="24" t="str">
        <f>PROPER(TRIM(VLOOKUP('Final Data'!C147,Product_Master!A:F,3,FALSE)))</f>
        <v>Stationery</v>
      </c>
      <c r="M147" s="24" t="s">
        <v>123</v>
      </c>
      <c r="N147" s="34">
        <v>18</v>
      </c>
      <c r="O147" s="192">
        <f>VLOOKUP(C147,Product_Master!A:F,5,FALSE)</f>
        <v>45</v>
      </c>
      <c r="P147" s="33">
        <v>0.05</v>
      </c>
      <c r="Q147" s="34">
        <f t="shared" si="6"/>
        <v>769.5</v>
      </c>
      <c r="R147" s="34">
        <v>3</v>
      </c>
      <c r="S147" s="24" t="s">
        <v>79</v>
      </c>
      <c r="T147" s="24" t="s">
        <v>49</v>
      </c>
      <c r="U147" s="24" t="s">
        <v>80</v>
      </c>
      <c r="V147" s="34">
        <v>9418672379</v>
      </c>
      <c r="W147" s="24" t="str">
        <f>VLOOKUP(C147,Product_Master!A:F,4,FALSE)</f>
        <v>ABC Corp</v>
      </c>
      <c r="X147" s="34">
        <f>VLOOKUP(C147,Product_Master!A:F,6,FALSE)</f>
        <v>12</v>
      </c>
      <c r="Y147" s="24" t="str">
        <f>VLOOKUP(B147,Custumer_Master!A:D,3,FALSE)</f>
        <v>Platinum</v>
      </c>
      <c r="Z147" s="30">
        <f>EDATE(E147,X147)</f>
        <v>46456</v>
      </c>
      <c r="AA147" s="29" t="str">
        <f>VLOOKUP(B147,Custumer_Master!A:K,11,)</f>
        <v>April</v>
      </c>
      <c r="AB147" s="24" t="s">
        <v>2108</v>
      </c>
      <c r="AC147" s="138" t="str">
        <f>PROPER(LEFT(TRIM(F147), 3)) &amp; RIGHT(TRIM(B147), 3) &amp; PROPER(LEFT(TRIM(I147), 2))</f>
        <v>Moh009De</v>
      </c>
      <c r="AD147" s="154">
        <f t="shared" ca="1" si="7"/>
        <v>50</v>
      </c>
      <c r="AE147" s="154">
        <f>IFERROR(IF(OR(E147="", D147="", LOWER(TRIM(E147))="pending", LOWER(TRIM(D147))="pending"), "Pending", E147 - D147), "Pending")</f>
        <v>3</v>
      </c>
      <c r="AF147" s="138" t="str">
        <f>IFERROR(IF(OR(E147="", D147="","Pending","Pending"), "Pending", IF((E147 - D147) &lt;= 5, "On Time", "Delayed")), "Pending")</f>
        <v>On Time</v>
      </c>
      <c r="AG147" s="24" t="str">
        <f t="shared" si="8"/>
        <v>Completed</v>
      </c>
    </row>
    <row r="148" spans="1:33">
      <c r="A148" s="24" t="s">
        <v>801</v>
      </c>
      <c r="B148" s="24" t="s">
        <v>127</v>
      </c>
      <c r="C148" s="24" t="s">
        <v>54</v>
      </c>
      <c r="D148" s="30">
        <v>45885</v>
      </c>
      <c r="E148" s="30" t="s">
        <v>377</v>
      </c>
      <c r="F148" s="24" t="str">
        <f>VLOOKUP(B148,Custumer_Master!A:D,2,FALSE)</f>
        <v>Rohit Singh</v>
      </c>
      <c r="G148" s="24" t="str">
        <f>VLOOKUP($B148,Custumer_Master!$A:$J,6,FALSE)</f>
        <v>Male</v>
      </c>
      <c r="H148" s="30" t="str">
        <f>VLOOKUP($B148,Custumer_Master!$A:$J,7,FALSE)</f>
        <v>10/05/1982</v>
      </c>
      <c r="I148" s="24" t="str">
        <f>VLOOKUP($B148,Custumer_Master!$A:$J,9,FALSE)</f>
        <v>Delhi</v>
      </c>
      <c r="J148" s="24" t="str">
        <f>VLOOKUP($B148,Custumer_Master!$A:$J,10,FALSE)</f>
        <v>North</v>
      </c>
      <c r="K148" s="24" t="str">
        <f>VLOOKUP(B148,Custumer_Master!A:D,4,FALSE)</f>
        <v>DL</v>
      </c>
      <c r="L148" s="24" t="str">
        <f>PROPER(TRIM(VLOOKUP('Final Data'!C148,Product_Master!A:F,3,FALSE)))</f>
        <v>Electronics</v>
      </c>
      <c r="M148" s="24" t="s">
        <v>60</v>
      </c>
      <c r="N148" s="34">
        <v>11</v>
      </c>
      <c r="O148" s="192">
        <f>VLOOKUP(C148,Product_Master!A:F,5,FALSE)</f>
        <v>41250</v>
      </c>
      <c r="P148" s="33">
        <v>0.15</v>
      </c>
      <c r="Q148" s="34">
        <f t="shared" si="6"/>
        <v>385687.5</v>
      </c>
      <c r="R148" s="34">
        <v>4</v>
      </c>
      <c r="S148" s="24" t="s">
        <v>2149</v>
      </c>
      <c r="T148" s="24" t="s">
        <v>115</v>
      </c>
      <c r="U148" s="24" t="s">
        <v>132</v>
      </c>
      <c r="V148" s="34">
        <v>9222733065</v>
      </c>
      <c r="W148" s="24" t="str">
        <f>VLOOKUP(C148,Product_Master!A:F,4,FALSE)</f>
        <v>TechHub</v>
      </c>
      <c r="X148" s="34">
        <f>VLOOKUP(C148,Product_Master!A:F,6,FALSE)</f>
        <v>12</v>
      </c>
      <c r="Y148" s="24" t="str">
        <f>VLOOKUP(B148,Custumer_Master!A:D,3,FALSE)</f>
        <v>Gold</v>
      </c>
      <c r="Z148" s="30">
        <f>EDATE(E148,X148)</f>
        <v>46257</v>
      </c>
      <c r="AA148" s="29" t="str">
        <f>VLOOKUP(B148,Custumer_Master!A:K,11,)</f>
        <v>May</v>
      </c>
      <c r="AB148" s="24" t="s">
        <v>2112</v>
      </c>
      <c r="AC148" s="138" t="str">
        <f>PROPER(LEFT(TRIM(F148), 3)) &amp; RIGHT(TRIM(B148), 3) &amp; PROPER(LEFT(TRIM(I148), 2))</f>
        <v>Roh003De</v>
      </c>
      <c r="AD148" s="154">
        <f t="shared" ca="1" si="7"/>
        <v>44</v>
      </c>
      <c r="AE148" s="154">
        <f>IFERROR(IF(OR(E148="", D148="", LOWER(TRIM(E148))="pending", LOWER(TRIM(D148))="pending"), "Pending", E148 - D148), "Pending")</f>
        <v>7</v>
      </c>
      <c r="AF148" s="138" t="str">
        <f>IFERROR(IF(OR(E148="", D148="","Pending","Pending"), "Pending", IF((E148 - D148) &lt;= 5, "On Time", "Delayed")), "Pending")</f>
        <v>Delayed</v>
      </c>
      <c r="AG148" s="24" t="str">
        <f t="shared" si="8"/>
        <v>Completed</v>
      </c>
    </row>
    <row r="149" spans="1:33">
      <c r="A149" s="24" t="s">
        <v>804</v>
      </c>
      <c r="B149" s="24" t="s">
        <v>251</v>
      </c>
      <c r="C149" s="24" t="s">
        <v>169</v>
      </c>
      <c r="D149" s="30">
        <v>46014</v>
      </c>
      <c r="E149" s="30" t="s">
        <v>464</v>
      </c>
      <c r="F149" s="24" t="str">
        <f>VLOOKUP(B149,Custumer_Master!A:D,2,FALSE)</f>
        <v>Sneha Joshi</v>
      </c>
      <c r="G149" s="24" t="str">
        <f>VLOOKUP($B149,Custumer_Master!$A:$J,6,FALSE)</f>
        <v>Female</v>
      </c>
      <c r="H149" s="30" t="str">
        <f>VLOOKUP($B149,Custumer_Master!$A:$J,7,FALSE)</f>
        <v>04/04/1981</v>
      </c>
      <c r="I149" s="24" t="str">
        <f>VLOOKUP($B149,Custumer_Master!$A:$J,9,FALSE)</f>
        <v>Pune</v>
      </c>
      <c r="J149" s="24" t="str">
        <f>VLOOKUP($B149,Custumer_Master!$A:$J,10,FALSE)</f>
        <v>West</v>
      </c>
      <c r="K149" s="24" t="str">
        <f>VLOOKUP(B149,Custumer_Master!A:D,4,FALSE)</f>
        <v>WB</v>
      </c>
      <c r="L149" s="24" t="str">
        <f>PROPER(TRIM(VLOOKUP('Final Data'!C149,Product_Master!A:F,3,FALSE)))</f>
        <v>Home Appliances</v>
      </c>
      <c r="M149" s="24" t="s">
        <v>174</v>
      </c>
      <c r="N149" s="34">
        <v>5</v>
      </c>
      <c r="O149" s="192">
        <f>VLOOKUP(C149,Product_Master!A:F,5,FALSE)</f>
        <v>6375</v>
      </c>
      <c r="P149" s="33">
        <v>0.05</v>
      </c>
      <c r="Q149" s="34">
        <f t="shared" si="6"/>
        <v>30281.25</v>
      </c>
      <c r="R149" s="34">
        <v>4</v>
      </c>
      <c r="S149" s="24" t="s">
        <v>34</v>
      </c>
      <c r="T149" s="24" t="s">
        <v>151</v>
      </c>
      <c r="U149" s="24" t="s">
        <v>256</v>
      </c>
      <c r="V149" s="34">
        <v>9684246902</v>
      </c>
      <c r="W149" s="24" t="str">
        <f>VLOOKUP(C149,Product_Master!A:F,4,FALSE)</f>
        <v>TechHub</v>
      </c>
      <c r="X149" s="34">
        <f>VLOOKUP(C149,Product_Master!A:F,6,FALSE)</f>
        <v>24</v>
      </c>
      <c r="Y149" s="24" t="str">
        <f>VLOOKUP(B149,Custumer_Master!A:D,3,FALSE)</f>
        <v>Gold</v>
      </c>
      <c r="Z149" s="30">
        <f>EDATE(E149,X149)</f>
        <v>46755</v>
      </c>
      <c r="AA149" s="29" t="str">
        <f>VLOOKUP(B149,Custumer_Master!A:K,11,)</f>
        <v>April</v>
      </c>
      <c r="AB149" s="24" t="s">
        <v>2108</v>
      </c>
      <c r="AC149" s="138" t="str">
        <f>PROPER(LEFT(TRIM(F149), 3)) &amp; RIGHT(TRIM(B149), 3) &amp; PROPER(LEFT(TRIM(I149), 2))</f>
        <v>Sne006Pu</v>
      </c>
      <c r="AD149" s="154">
        <f t="shared" ca="1" si="7"/>
        <v>45</v>
      </c>
      <c r="AE149" s="154">
        <f>IFERROR(IF(OR(E149="", D149="", LOWER(TRIM(E149))="pending", LOWER(TRIM(D149))="pending"), "Pending", E149 - D149), "Pending")</f>
        <v>11</v>
      </c>
      <c r="AF149" s="138" t="str">
        <f>IFERROR(IF(OR(E149="", D149="","Pending","Pending"), "Pending", IF((E149 - D149) &lt;= 5, "On Time", "Delayed")), "Pending")</f>
        <v>Delayed</v>
      </c>
      <c r="AG149" s="24" t="str">
        <f t="shared" si="8"/>
        <v>Completed</v>
      </c>
    </row>
    <row r="150" spans="1:33">
      <c r="A150" s="24" t="s">
        <v>355</v>
      </c>
      <c r="B150" s="24" t="s">
        <v>100</v>
      </c>
      <c r="C150" s="24" t="s">
        <v>184</v>
      </c>
      <c r="D150" s="30">
        <v>45908</v>
      </c>
      <c r="E150" s="30" t="s">
        <v>128</v>
      </c>
      <c r="F150" s="24" t="str">
        <f>VLOOKUP(B150,Custumer_Master!A:D,2,FALSE)</f>
        <v>Priya Patel</v>
      </c>
      <c r="G150" s="24" t="str">
        <f>VLOOKUP($B150,Custumer_Master!$A:$J,6,FALSE)</f>
        <v>Female</v>
      </c>
      <c r="H150" s="30" t="str">
        <f>VLOOKUP($B150,Custumer_Master!$A:$J,7,FALSE)</f>
        <v>07/03/1995</v>
      </c>
      <c r="I150" s="24" t="str">
        <f>VLOOKUP($B150,Custumer_Master!$A:$J,9,FALSE)</f>
        <v>Mumbai</v>
      </c>
      <c r="J150" s="24" t="str">
        <f>VLOOKUP($B150,Custumer_Master!$A:$J,10,FALSE)</f>
        <v>West</v>
      </c>
      <c r="K150" s="24" t="str">
        <f>VLOOKUP(B150,Custumer_Master!A:D,4,FALSE)</f>
        <v>WB</v>
      </c>
      <c r="L150" s="24" t="str">
        <f>PROPER(TRIM(VLOOKUP('Final Data'!C150,Product_Master!A:F,3,FALSE)))</f>
        <v>Electronics</v>
      </c>
      <c r="M150" s="24" t="s">
        <v>189</v>
      </c>
      <c r="N150" s="34">
        <v>16</v>
      </c>
      <c r="O150" s="192">
        <f>VLOOKUP(C150,Product_Master!A:F,5,FALSE)</f>
        <v>525</v>
      </c>
      <c r="P150" s="33">
        <v>0.15</v>
      </c>
      <c r="Q150" s="34">
        <f t="shared" si="6"/>
        <v>7140</v>
      </c>
      <c r="R150" s="34">
        <v>4</v>
      </c>
      <c r="S150" s="24" t="s">
        <v>79</v>
      </c>
      <c r="T150" s="24" t="s">
        <v>61</v>
      </c>
      <c r="U150" s="24" t="s">
        <v>144</v>
      </c>
      <c r="V150" s="34">
        <v>9989580228</v>
      </c>
      <c r="W150" s="24" t="str">
        <f>VLOOKUP(C150,Product_Master!A:F,4,FALSE)</f>
        <v>TechHub</v>
      </c>
      <c r="X150" s="34">
        <f>VLOOKUP(C150,Product_Master!A:F,6,FALSE)</f>
        <v>24</v>
      </c>
      <c r="Y150" s="24" t="str">
        <f>VLOOKUP(B150,Custumer_Master!A:D,3,FALSE)</f>
        <v>Platinum</v>
      </c>
      <c r="Z150" s="30">
        <f>EDATE(E150,X150)</f>
        <v>46649</v>
      </c>
      <c r="AA150" s="29" t="str">
        <f>VLOOKUP(B150,Custumer_Master!A:K,11,)</f>
        <v>March</v>
      </c>
      <c r="AB150" s="24" t="s">
        <v>2108</v>
      </c>
      <c r="AC150" s="138" t="str">
        <f>PROPER(LEFT(TRIM(F150), 3)) &amp; RIGHT(TRIM(B150), 3) &amp; PROPER(LEFT(TRIM(I150), 2))</f>
        <v>Pri002Mu</v>
      </c>
      <c r="AD150" s="154">
        <f t="shared" ca="1" si="7"/>
        <v>31</v>
      </c>
      <c r="AE150" s="154">
        <f>IFERROR(IF(OR(E150="", D150="", LOWER(TRIM(E150))="pending", LOWER(TRIM(D150))="pending"), "Pending", E150 - D150), "Pending")</f>
        <v>11</v>
      </c>
      <c r="AF150" s="138" t="str">
        <f>IFERROR(IF(OR(E150="", D150="","Pending","Pending"), "Pending", IF((E150 - D150) &lt;= 5, "On Time", "Delayed")), "Pending")</f>
        <v>Delayed</v>
      </c>
      <c r="AG150" s="24" t="str">
        <f t="shared" si="8"/>
        <v>Completed</v>
      </c>
    </row>
    <row r="151" spans="1:33">
      <c r="A151" s="24" t="s">
        <v>809</v>
      </c>
      <c r="B151" s="24" t="s">
        <v>127</v>
      </c>
      <c r="C151" s="24" t="s">
        <v>184</v>
      </c>
      <c r="D151" s="30">
        <v>45845</v>
      </c>
      <c r="E151" s="30" t="s">
        <v>267</v>
      </c>
      <c r="F151" s="24" t="str">
        <f>VLOOKUP(B151,Custumer_Master!A:D,2,FALSE)</f>
        <v>Rohit Singh</v>
      </c>
      <c r="G151" s="24" t="str">
        <f>VLOOKUP($B151,Custumer_Master!$A:$J,6,FALSE)</f>
        <v>Male</v>
      </c>
      <c r="H151" s="30" t="str">
        <f>VLOOKUP($B151,Custumer_Master!$A:$J,7,FALSE)</f>
        <v>10/05/1982</v>
      </c>
      <c r="I151" s="24" t="str">
        <f>VLOOKUP($B151,Custumer_Master!$A:$J,9,FALSE)</f>
        <v>Delhi</v>
      </c>
      <c r="J151" s="24" t="str">
        <f>VLOOKUP($B151,Custumer_Master!$A:$J,10,FALSE)</f>
        <v>North</v>
      </c>
      <c r="K151" s="24" t="str">
        <f>VLOOKUP(B151,Custumer_Master!A:D,4,FALSE)</f>
        <v>DL</v>
      </c>
      <c r="L151" s="24" t="str">
        <f>PROPER(TRIM(VLOOKUP('Final Data'!C151,Product_Master!A:F,3,FALSE)))</f>
        <v>Electronics</v>
      </c>
      <c r="M151" s="24" t="s">
        <v>189</v>
      </c>
      <c r="N151" s="34">
        <v>6</v>
      </c>
      <c r="O151" s="192">
        <f>VLOOKUP(C151,Product_Master!A:F,5,FALSE)</f>
        <v>525</v>
      </c>
      <c r="P151" s="33">
        <v>0.1</v>
      </c>
      <c r="Q151" s="34">
        <f t="shared" si="6"/>
        <v>2835</v>
      </c>
      <c r="R151" s="34">
        <v>4</v>
      </c>
      <c r="S151" s="24" t="s">
        <v>34</v>
      </c>
      <c r="T151" s="24" t="s">
        <v>49</v>
      </c>
      <c r="U151" s="24" t="s">
        <v>132</v>
      </c>
      <c r="V151" s="34">
        <v>9110269572</v>
      </c>
      <c r="W151" s="24" t="str">
        <f>VLOOKUP(C151,Product_Master!A:F,4,FALSE)</f>
        <v>TechHub</v>
      </c>
      <c r="X151" s="34">
        <f>VLOOKUP(C151,Product_Master!A:F,6,FALSE)</f>
        <v>24</v>
      </c>
      <c r="Y151" s="24" t="str">
        <f>VLOOKUP(B151,Custumer_Master!A:D,3,FALSE)</f>
        <v>Gold</v>
      </c>
      <c r="Z151" s="30">
        <f>EDATE(E151,X151)</f>
        <v>46581</v>
      </c>
      <c r="AA151" s="29" t="str">
        <f>VLOOKUP(B151,Custumer_Master!A:K,11,)</f>
        <v>May</v>
      </c>
      <c r="AB151" s="24" t="s">
        <v>2108</v>
      </c>
      <c r="AC151" s="138" t="str">
        <f>PROPER(LEFT(TRIM(F151), 3)) &amp; RIGHT(TRIM(B151), 3) &amp; PROPER(LEFT(TRIM(I151), 2))</f>
        <v>Roh003De</v>
      </c>
      <c r="AD151" s="154">
        <f t="shared" ca="1" si="7"/>
        <v>44</v>
      </c>
      <c r="AE151" s="154">
        <f>IFERROR(IF(OR(E151="", D151="", LOWER(TRIM(E151))="pending", LOWER(TRIM(D151))="pending"), "Pending", E151 - D151), "Pending")</f>
        <v>6</v>
      </c>
      <c r="AF151" s="138" t="str">
        <f>IFERROR(IF(OR(E151="", D151="","Pending","Pending"), "Pending", IF((E151 - D151) &lt;= 5, "On Time", "Delayed")), "Pending")</f>
        <v>Delayed</v>
      </c>
      <c r="AG151" s="24" t="str">
        <f t="shared" si="8"/>
        <v>Completed</v>
      </c>
    </row>
    <row r="152" spans="1:33">
      <c r="A152" s="24" t="s">
        <v>812</v>
      </c>
      <c r="B152" s="24" t="s">
        <v>53</v>
      </c>
      <c r="C152" s="24" t="s">
        <v>92</v>
      </c>
      <c r="D152" s="30">
        <v>46145</v>
      </c>
      <c r="E152" s="30" t="s">
        <v>615</v>
      </c>
      <c r="F152" s="24" t="str">
        <f>VLOOKUP(B152,Custumer_Master!A:D,2,FALSE)</f>
        <v>Pooja Shah</v>
      </c>
      <c r="G152" s="24" t="str">
        <f>VLOOKUP($B152,Custumer_Master!$A:$J,6,FALSE)</f>
        <v>Female</v>
      </c>
      <c r="H152" s="30" t="str">
        <f>VLOOKUP($B152,Custumer_Master!$A:$J,7,FALSE)</f>
        <v>16/09/1994</v>
      </c>
      <c r="I152" s="24" t="str">
        <f>VLOOKUP($B152,Custumer_Master!$A:$J,9,FALSE)</f>
        <v>Bengaluru</v>
      </c>
      <c r="J152" s="24" t="str">
        <f>VLOOKUP($B152,Custumer_Master!$A:$J,10,FALSE)</f>
        <v>South</v>
      </c>
      <c r="K152" s="24" t="str">
        <f>VLOOKUP(B152,Custumer_Master!A:D,4,FALSE)</f>
        <v>WB</v>
      </c>
      <c r="L152" s="24" t="str">
        <f>PROPER(TRIM(VLOOKUP('Final Data'!C152,Product_Master!A:F,3,FALSE)))</f>
        <v>Home Appliances</v>
      </c>
      <c r="M152" s="24" t="s">
        <v>97</v>
      </c>
      <c r="N152" s="34">
        <v>20</v>
      </c>
      <c r="O152" s="192">
        <f>VLOOKUP(C152,Product_Master!A:F,5,FALSE)</f>
        <v>2625</v>
      </c>
      <c r="P152" s="33">
        <v>0.1</v>
      </c>
      <c r="Q152" s="34">
        <f t="shared" si="6"/>
        <v>47250</v>
      </c>
      <c r="R152" s="34">
        <v>4</v>
      </c>
      <c r="S152" s="24" t="s">
        <v>2149</v>
      </c>
      <c r="T152" s="24" t="s">
        <v>49</v>
      </c>
      <c r="U152" s="24" t="s">
        <v>62</v>
      </c>
      <c r="V152" s="34">
        <v>9745972422</v>
      </c>
      <c r="W152" s="24" t="str">
        <f>VLOOKUP(C152,Product_Master!A:F,4,FALSE)</f>
        <v>Global Trade</v>
      </c>
      <c r="X152" s="34">
        <f>VLOOKUP(C152,Product_Master!A:F,6,FALSE)</f>
        <v>6</v>
      </c>
      <c r="Y152" s="24" t="str">
        <f>VLOOKUP(B152,Custumer_Master!A:D,3,FALSE)</f>
        <v>Silver</v>
      </c>
      <c r="Z152" s="30">
        <f>EDATE(E152,X152)</f>
        <v>46341</v>
      </c>
      <c r="AA152" s="29" t="str">
        <f>VLOOKUP(B152,Custumer_Master!A:K,11,)</f>
        <v>September</v>
      </c>
      <c r="AB152" s="24" t="s">
        <v>2108</v>
      </c>
      <c r="AC152" s="138" t="str">
        <f>PROPER(LEFT(TRIM(F152), 3)) &amp; RIGHT(TRIM(B152), 3) &amp; PROPER(LEFT(TRIM(I152), 2))</f>
        <v>Poo010Be</v>
      </c>
      <c r="AD152" s="154">
        <f t="shared" ca="1" si="7"/>
        <v>31</v>
      </c>
      <c r="AE152" s="154">
        <f>IFERROR(IF(OR(E152="", D152="", LOWER(TRIM(E152))="pending", LOWER(TRIM(D152))="pending"), "Pending", E152 - D152), "Pending")</f>
        <v>12</v>
      </c>
      <c r="AF152" s="138" t="str">
        <f>IFERROR(IF(OR(E152="", D152="","Pending","Pending"), "Pending", IF((E152 - D152) &lt;= 5, "On Time", "Delayed")), "Pending")</f>
        <v>Delayed</v>
      </c>
      <c r="AG152" s="24" t="str">
        <f t="shared" si="8"/>
        <v>Completed</v>
      </c>
    </row>
    <row r="153" spans="1:33">
      <c r="A153" s="24" t="s">
        <v>815</v>
      </c>
      <c r="B153" s="24" t="s">
        <v>23</v>
      </c>
      <c r="C153" s="24" t="s">
        <v>222</v>
      </c>
      <c r="D153" s="30">
        <v>45990</v>
      </c>
      <c r="E153" s="30" t="s">
        <v>817</v>
      </c>
      <c r="F153" s="24" t="str">
        <f>VLOOKUP(B153,Custumer_Master!A:D,2,FALSE)</f>
        <v>Kavya Nair</v>
      </c>
      <c r="G153" s="24" t="str">
        <f>VLOOKUP($B153,Custumer_Master!$A:$J,6,FALSE)</f>
        <v>Female</v>
      </c>
      <c r="H153" s="30" t="str">
        <f>VLOOKUP($B153,Custumer_Master!$A:$J,7,FALSE)</f>
        <v>01/08/1976</v>
      </c>
      <c r="I153" s="24" t="str">
        <f>VLOOKUP($B153,Custumer_Master!$A:$J,9,FALSE)</f>
        <v>Hyderabad</v>
      </c>
      <c r="J153" s="24" t="str">
        <f>VLOOKUP($B153,Custumer_Master!$A:$J,10,FALSE)</f>
        <v>South</v>
      </c>
      <c r="K153" s="24" t="str">
        <f>VLOOKUP(B153,Custumer_Master!A:D,4,FALSE)</f>
        <v>WB</v>
      </c>
      <c r="L153" s="24" t="str">
        <f>PROPER(TRIM(VLOOKUP('Final Data'!C153,Product_Master!A:F,3,FALSE)))</f>
        <v>Stationery</v>
      </c>
      <c r="M153" s="24" t="s">
        <v>227</v>
      </c>
      <c r="N153" s="34">
        <v>2</v>
      </c>
      <c r="O153" s="192">
        <f>VLOOKUP(C153,Product_Master!A:F,5,FALSE)</f>
        <v>15</v>
      </c>
      <c r="P153" s="33">
        <v>0.1</v>
      </c>
      <c r="Q153" s="34">
        <f t="shared" si="6"/>
        <v>27</v>
      </c>
      <c r="R153" s="34">
        <v>1</v>
      </c>
      <c r="S153" s="24" t="s">
        <v>2148</v>
      </c>
      <c r="T153" s="24" t="s">
        <v>115</v>
      </c>
      <c r="U153" s="24" t="s">
        <v>50</v>
      </c>
      <c r="V153" s="34">
        <v>9123712257</v>
      </c>
      <c r="W153" s="24" t="str">
        <f>VLOOKUP(C153,Product_Master!A:F,4,FALSE)</f>
        <v>Prime Supplies</v>
      </c>
      <c r="X153" s="34">
        <f>VLOOKUP(C153,Product_Master!A:F,6,FALSE)</f>
        <v>12</v>
      </c>
      <c r="Y153" s="24" t="str">
        <f>VLOOKUP(B153,Custumer_Master!A:D,3,FALSE)</f>
        <v>Silver</v>
      </c>
      <c r="Z153" s="30">
        <f>EDATE(E153,X153)</f>
        <v>46363</v>
      </c>
      <c r="AA153" s="29" t="str">
        <f>VLOOKUP(B153,Custumer_Master!A:K,11,)</f>
        <v>August</v>
      </c>
      <c r="AB153" s="24" t="s">
        <v>2160</v>
      </c>
      <c r="AC153" s="138" t="str">
        <f>PROPER(LEFT(TRIM(F153), 3)) &amp; RIGHT(TRIM(B153), 3) &amp; PROPER(LEFT(TRIM(I153), 2))</f>
        <v>Kav008Hy</v>
      </c>
      <c r="AD153" s="154">
        <f t="shared" ca="1" si="7"/>
        <v>49</v>
      </c>
      <c r="AE153" s="154">
        <f>IFERROR(IF(OR(E153="", D153="", LOWER(TRIM(E153))="pending", LOWER(TRIM(D153))="pending"), "Pending", E153 - D153), "Pending")</f>
        <v>8</v>
      </c>
      <c r="AF153" s="138" t="str">
        <f>IFERROR(IF(OR(E153="", D153="","Pending","Pending"), "Pending", IF((E153 - D153) &lt;= 5, "On Time", "Delayed")), "Pending")</f>
        <v>Delayed</v>
      </c>
      <c r="AG153" s="24" t="str">
        <f t="shared" si="8"/>
        <v>Completed</v>
      </c>
    </row>
    <row r="154" spans="1:33">
      <c r="A154" s="24" t="s">
        <v>820</v>
      </c>
      <c r="B154" s="24" t="s">
        <v>100</v>
      </c>
      <c r="C154" s="24" t="s">
        <v>24</v>
      </c>
      <c r="D154" s="30">
        <v>45852</v>
      </c>
      <c r="E154" s="30" t="s">
        <v>821</v>
      </c>
      <c r="F154" s="24" t="str">
        <f>VLOOKUP(B154,Custumer_Master!A:D,2,FALSE)</f>
        <v>Priya Patel</v>
      </c>
      <c r="G154" s="24" t="str">
        <f>VLOOKUP($B154,Custumer_Master!$A:$J,6,FALSE)</f>
        <v>Female</v>
      </c>
      <c r="H154" s="30" t="str">
        <f>VLOOKUP($B154,Custumer_Master!$A:$J,7,FALSE)</f>
        <v>07/03/1995</v>
      </c>
      <c r="I154" s="24" t="str">
        <f>VLOOKUP($B154,Custumer_Master!$A:$J,9,FALSE)</f>
        <v>Mumbai</v>
      </c>
      <c r="J154" s="24" t="str">
        <f>VLOOKUP($B154,Custumer_Master!$A:$J,10,FALSE)</f>
        <v>West</v>
      </c>
      <c r="K154" s="24" t="str">
        <f>VLOOKUP(B154,Custumer_Master!A:D,4,FALSE)</f>
        <v>WB</v>
      </c>
      <c r="L154" s="24" t="str">
        <f>PROPER(TRIM(VLOOKUP('Final Data'!C154,Product_Master!A:F,3,FALSE)))</f>
        <v>Home Appliances</v>
      </c>
      <c r="M154" s="24" t="s">
        <v>33</v>
      </c>
      <c r="N154" s="34">
        <v>16</v>
      </c>
      <c r="O154" s="192">
        <f>VLOOKUP(C154,Product_Master!A:F,5,FALSE)</f>
        <v>1650</v>
      </c>
      <c r="P154" s="33">
        <v>0.2</v>
      </c>
      <c r="Q154" s="34">
        <f t="shared" si="6"/>
        <v>21120</v>
      </c>
      <c r="R154" s="34">
        <v>2</v>
      </c>
      <c r="S154" s="24" t="s">
        <v>2149</v>
      </c>
      <c r="T154" s="24" t="s">
        <v>151</v>
      </c>
      <c r="U154" s="24" t="s">
        <v>144</v>
      </c>
      <c r="V154" s="34">
        <v>9665525431</v>
      </c>
      <c r="W154" s="24" t="str">
        <f>VLOOKUP(C154,Product_Master!A:F,4,FALSE)</f>
        <v>Global Trade</v>
      </c>
      <c r="X154" s="34">
        <f>VLOOKUP(C154,Product_Master!A:F,6,FALSE)</f>
        <v>24</v>
      </c>
      <c r="Y154" s="24" t="str">
        <f>VLOOKUP(B154,Custumer_Master!A:D,3,FALSE)</f>
        <v>Platinum</v>
      </c>
      <c r="Z154" s="30">
        <f>EDATE(E154,X154)</f>
        <v>46587</v>
      </c>
      <c r="AA154" s="29" t="str">
        <f>VLOOKUP(B154,Custumer_Master!A:K,11,)</f>
        <v>March</v>
      </c>
      <c r="AB154" s="24" t="s">
        <v>2160</v>
      </c>
      <c r="AC154" s="138" t="str">
        <f>PROPER(LEFT(TRIM(F154), 3)) &amp; RIGHT(TRIM(B154), 3) &amp; PROPER(LEFT(TRIM(I154), 2))</f>
        <v>Pri002Mu</v>
      </c>
      <c r="AD154" s="154">
        <f t="shared" ca="1" si="7"/>
        <v>31</v>
      </c>
      <c r="AE154" s="154">
        <f>IFERROR(IF(OR(E154="", D154="", LOWER(TRIM(E154))="pending", LOWER(TRIM(D154))="pending"), "Pending", E154 - D154), "Pending")</f>
        <v>5</v>
      </c>
      <c r="AF154" s="138" t="str">
        <f>IFERROR(IF(OR(E154="", D154="","Pending","Pending"), "Pending", IF((E154 - D154) &lt;= 5, "On Time", "Delayed")), "Pending")</f>
        <v>On Time</v>
      </c>
      <c r="AG154" s="24" t="str">
        <f t="shared" si="8"/>
        <v>Completed</v>
      </c>
    </row>
    <row r="155" spans="1:33">
      <c r="A155" s="24" t="s">
        <v>824</v>
      </c>
      <c r="B155" s="24" t="s">
        <v>221</v>
      </c>
      <c r="C155" s="24" t="s">
        <v>40</v>
      </c>
      <c r="D155" s="30">
        <v>45729</v>
      </c>
      <c r="E155" s="30" t="s">
        <v>825</v>
      </c>
      <c r="F155" s="24" t="str">
        <f>VLOOKUP(B155,Custumer_Master!A:D,2,FALSE)</f>
        <v>Vikas Mehta</v>
      </c>
      <c r="G155" s="24" t="str">
        <f>VLOOKUP($B155,Custumer_Master!$A:$J,6,FALSE)</f>
        <v>Male</v>
      </c>
      <c r="H155" s="30" t="str">
        <f>VLOOKUP($B155,Custumer_Master!$A:$J,7,FALSE)</f>
        <v>03/08/1991</v>
      </c>
      <c r="I155" s="24" t="str">
        <f>VLOOKUP($B155,Custumer_Master!$A:$J,9,FALSE)</f>
        <v>Mumbai</v>
      </c>
      <c r="J155" s="24" t="str">
        <f>VLOOKUP($B155,Custumer_Master!$A:$J,10,FALSE)</f>
        <v>West</v>
      </c>
      <c r="K155" s="24" t="str">
        <f>VLOOKUP(B155,Custumer_Master!A:D,4,FALSE)</f>
        <v>DL</v>
      </c>
      <c r="L155" s="24" t="str">
        <f>PROPER(TRIM(VLOOKUP('Final Data'!C155,Product_Master!A:F,3,FALSE)))</f>
        <v>Electronics</v>
      </c>
      <c r="M155" s="24" t="s">
        <v>47</v>
      </c>
      <c r="N155" s="34">
        <v>15</v>
      </c>
      <c r="O155" s="192">
        <f>VLOOKUP(C155,Product_Master!A:F,5,FALSE)</f>
        <v>9000</v>
      </c>
      <c r="P155" s="33">
        <v>0</v>
      </c>
      <c r="Q155" s="34">
        <f t="shared" si="6"/>
        <v>135000</v>
      </c>
      <c r="R155" s="34">
        <v>1</v>
      </c>
      <c r="S155" s="24" t="s">
        <v>79</v>
      </c>
      <c r="T155" s="24" t="s">
        <v>61</v>
      </c>
      <c r="U155" s="24" t="s">
        <v>228</v>
      </c>
      <c r="V155" s="34">
        <v>9682415134</v>
      </c>
      <c r="W155" s="24" t="str">
        <f>VLOOKUP(C155,Product_Master!A:F,4,FALSE)</f>
        <v>Global Trade</v>
      </c>
      <c r="X155" s="34">
        <f>VLOOKUP(C155,Product_Master!A:F,6,FALSE)</f>
        <v>24</v>
      </c>
      <c r="Y155" s="24" t="str">
        <f>VLOOKUP(B155,Custumer_Master!A:D,3,FALSE)</f>
        <v>Gold</v>
      </c>
      <c r="Z155" s="30">
        <f>EDATE(E155,X155)</f>
        <v>46469</v>
      </c>
      <c r="AA155" s="29" t="str">
        <f>VLOOKUP(B155,Custumer_Master!A:K,11,)</f>
        <v>August</v>
      </c>
      <c r="AB155" s="24" t="s">
        <v>2160</v>
      </c>
      <c r="AC155" s="138" t="str">
        <f>PROPER(LEFT(TRIM(F155), 3)) &amp; RIGHT(TRIM(B155), 3) &amp; PROPER(LEFT(TRIM(I155), 2))</f>
        <v>Vik005Mu</v>
      </c>
      <c r="AD155" s="154">
        <f t="shared" ca="1" si="7"/>
        <v>34</v>
      </c>
      <c r="AE155" s="154">
        <f>IFERROR(IF(OR(E155="", D155="", LOWER(TRIM(E155))="pending", LOWER(TRIM(D155))="pending"), "Pending", E155 - D155), "Pending")</f>
        <v>10</v>
      </c>
      <c r="AF155" s="138" t="str">
        <f>IFERROR(IF(OR(E155="", D155="","Pending","Pending"), "Pending", IF((E155 - D155) &lt;= 5, "On Time", "Delayed")), "Pending")</f>
        <v>Delayed</v>
      </c>
      <c r="AG155" s="24" t="str">
        <f t="shared" si="8"/>
        <v>Completed</v>
      </c>
    </row>
    <row r="156" spans="1:33">
      <c r="A156" s="24" t="s">
        <v>828</v>
      </c>
      <c r="B156" s="24" t="s">
        <v>23</v>
      </c>
      <c r="C156" s="24" t="s">
        <v>118</v>
      </c>
      <c r="D156" s="30">
        <v>45860</v>
      </c>
      <c r="E156" s="30" t="s">
        <v>830</v>
      </c>
      <c r="F156" s="24" t="str">
        <f>VLOOKUP(B156,Custumer_Master!A:D,2,FALSE)</f>
        <v>Kavya Nair</v>
      </c>
      <c r="G156" s="24" t="str">
        <f>VLOOKUP($B156,Custumer_Master!$A:$J,6,FALSE)</f>
        <v>Female</v>
      </c>
      <c r="H156" s="30" t="str">
        <f>VLOOKUP($B156,Custumer_Master!$A:$J,7,FALSE)</f>
        <v>01/08/1976</v>
      </c>
      <c r="I156" s="24" t="str">
        <f>VLOOKUP($B156,Custumer_Master!$A:$J,9,FALSE)</f>
        <v>Hyderabad</v>
      </c>
      <c r="J156" s="24" t="str">
        <f>VLOOKUP($B156,Custumer_Master!$A:$J,10,FALSE)</f>
        <v>South</v>
      </c>
      <c r="K156" s="24" t="str">
        <f>VLOOKUP(B156,Custumer_Master!A:D,4,FALSE)</f>
        <v>WB</v>
      </c>
      <c r="L156" s="24" t="str">
        <f>PROPER(TRIM(VLOOKUP('Final Data'!C156,Product_Master!A:F,3,FALSE)))</f>
        <v>Stationery</v>
      </c>
      <c r="M156" s="24" t="s">
        <v>123</v>
      </c>
      <c r="N156" s="34">
        <v>14</v>
      </c>
      <c r="O156" s="192">
        <f>VLOOKUP(C156,Product_Master!A:F,5,FALSE)</f>
        <v>45</v>
      </c>
      <c r="P156" s="33">
        <v>0.15</v>
      </c>
      <c r="Q156" s="34">
        <f t="shared" si="6"/>
        <v>535.5</v>
      </c>
      <c r="R156" s="34">
        <v>4</v>
      </c>
      <c r="S156" s="24" t="s">
        <v>2149</v>
      </c>
      <c r="T156" s="24" t="s">
        <v>49</v>
      </c>
      <c r="U156" s="24" t="s">
        <v>50</v>
      </c>
      <c r="V156" s="34">
        <v>9808223872</v>
      </c>
      <c r="W156" s="24" t="str">
        <f>VLOOKUP(C156,Product_Master!A:F,4,FALSE)</f>
        <v>ABC Corp</v>
      </c>
      <c r="X156" s="34">
        <f>VLOOKUP(C156,Product_Master!A:F,6,FALSE)</f>
        <v>12</v>
      </c>
      <c r="Y156" s="24" t="str">
        <f>VLOOKUP(B156,Custumer_Master!A:D,3,FALSE)</f>
        <v>Silver</v>
      </c>
      <c r="Z156" s="30">
        <f>EDATE(E156,X156)</f>
        <v>46226</v>
      </c>
      <c r="AA156" s="29" t="str">
        <f>VLOOKUP(B156,Custumer_Master!A:K,11,)</f>
        <v>August</v>
      </c>
      <c r="AB156" s="24" t="s">
        <v>2108</v>
      </c>
      <c r="AC156" s="138" t="str">
        <f>PROPER(LEFT(TRIM(F156), 3)) &amp; RIGHT(TRIM(B156), 3) &amp; PROPER(LEFT(TRIM(I156), 2))</f>
        <v>Kav008Hy</v>
      </c>
      <c r="AD156" s="154">
        <f t="shared" ca="1" si="7"/>
        <v>49</v>
      </c>
      <c r="AE156" s="154">
        <f>IFERROR(IF(OR(E156="", D156="", LOWER(TRIM(E156))="pending", LOWER(TRIM(D156))="pending"), "Pending", E156 - D156), "Pending")</f>
        <v>1</v>
      </c>
      <c r="AF156" s="138" t="str">
        <f>IFERROR(IF(OR(E156="", D156="","Pending","Pending"), "Pending", IF((E156 - D156) &lt;= 5, "On Time", "Delayed")), "Pending")</f>
        <v>On Time</v>
      </c>
      <c r="AG156" s="24" t="str">
        <f t="shared" si="8"/>
        <v>Completed</v>
      </c>
    </row>
    <row r="157" spans="1:33">
      <c r="A157" s="24" t="s">
        <v>833</v>
      </c>
      <c r="B157" s="24" t="s">
        <v>53</v>
      </c>
      <c r="C157" s="24" t="s">
        <v>72</v>
      </c>
      <c r="D157" s="30">
        <v>45859</v>
      </c>
      <c r="E157" s="30" t="s">
        <v>835</v>
      </c>
      <c r="F157" s="24" t="str">
        <f>VLOOKUP(B157,Custumer_Master!A:D,2,FALSE)</f>
        <v>Pooja Shah</v>
      </c>
      <c r="G157" s="24" t="str">
        <f>VLOOKUP($B157,Custumer_Master!$A:$J,6,FALSE)</f>
        <v>Female</v>
      </c>
      <c r="H157" s="30" t="str">
        <f>VLOOKUP($B157,Custumer_Master!$A:$J,7,FALSE)</f>
        <v>16/09/1994</v>
      </c>
      <c r="I157" s="24" t="str">
        <f>VLOOKUP($B157,Custumer_Master!$A:$J,9,FALSE)</f>
        <v>Bengaluru</v>
      </c>
      <c r="J157" s="24" t="str">
        <f>VLOOKUP($B157,Custumer_Master!$A:$J,10,FALSE)</f>
        <v>South</v>
      </c>
      <c r="K157" s="24" t="str">
        <f>VLOOKUP(B157,Custumer_Master!A:D,4,FALSE)</f>
        <v>WB</v>
      </c>
      <c r="L157" s="24" t="str">
        <f>PROPER(TRIM(VLOOKUP('Final Data'!C157,Product_Master!A:F,3,FALSE)))</f>
        <v>Electronics</v>
      </c>
      <c r="M157" s="24" t="s">
        <v>78</v>
      </c>
      <c r="N157" s="34">
        <v>9</v>
      </c>
      <c r="O157" s="192">
        <f>VLOOKUP(C157,Product_Master!A:F,5,FALSE)</f>
        <v>900</v>
      </c>
      <c r="P157" s="33">
        <v>0.05</v>
      </c>
      <c r="Q157" s="34">
        <f t="shared" si="6"/>
        <v>7695</v>
      </c>
      <c r="R157" s="34">
        <v>5</v>
      </c>
      <c r="S157" s="24" t="s">
        <v>2148</v>
      </c>
      <c r="T157" s="24" t="s">
        <v>61</v>
      </c>
      <c r="U157" s="24" t="s">
        <v>62</v>
      </c>
      <c r="V157" s="34">
        <v>9193549730</v>
      </c>
      <c r="W157" s="24" t="str">
        <f>VLOOKUP(C157,Product_Master!A:F,4,FALSE)</f>
        <v>TechHub</v>
      </c>
      <c r="X157" s="34">
        <f>VLOOKUP(C157,Product_Master!A:F,6,FALSE)</f>
        <v>6</v>
      </c>
      <c r="Y157" s="24" t="str">
        <f>VLOOKUP(B157,Custumer_Master!A:D,3,FALSE)</f>
        <v>Silver</v>
      </c>
      <c r="Z157" s="30">
        <f>EDATE(E157,X157)</f>
        <v>46046</v>
      </c>
      <c r="AA157" s="29" t="str">
        <f>VLOOKUP(B157,Custumer_Master!A:K,11,)</f>
        <v>September</v>
      </c>
      <c r="AB157" s="24" t="s">
        <v>2108</v>
      </c>
      <c r="AC157" s="138" t="str">
        <f>PROPER(LEFT(TRIM(F157), 3)) &amp; RIGHT(TRIM(B157), 3) &amp; PROPER(LEFT(TRIM(I157), 2))</f>
        <v>Poo010Be</v>
      </c>
      <c r="AD157" s="154">
        <f t="shared" ca="1" si="7"/>
        <v>31</v>
      </c>
      <c r="AE157" s="154">
        <f>IFERROR(IF(OR(E157="", D157="", LOWER(TRIM(E157))="pending", LOWER(TRIM(D157))="pending"), "Pending", E157 - D157), "Pending")</f>
        <v>3</v>
      </c>
      <c r="AF157" s="138" t="str">
        <f>IFERROR(IF(OR(E157="", D157="","Pending","Pending"), "Pending", IF((E157 - D157) &lt;= 5, "On Time", "Delayed")), "Pending")</f>
        <v>On Time</v>
      </c>
      <c r="AG157" s="24" t="str">
        <f t="shared" si="8"/>
        <v>Completed</v>
      </c>
    </row>
    <row r="158" spans="1:33">
      <c r="A158" s="24" t="s">
        <v>838</v>
      </c>
      <c r="B158" s="24" t="s">
        <v>221</v>
      </c>
      <c r="C158" s="24" t="s">
        <v>72</v>
      </c>
      <c r="D158" s="30">
        <v>45857</v>
      </c>
      <c r="E158" s="30" t="s">
        <v>839</v>
      </c>
      <c r="F158" s="24" t="str">
        <f>VLOOKUP(B158,Custumer_Master!A:D,2,FALSE)</f>
        <v>Vikas Mehta</v>
      </c>
      <c r="G158" s="24" t="str">
        <f>VLOOKUP($B158,Custumer_Master!$A:$J,6,FALSE)</f>
        <v>Male</v>
      </c>
      <c r="H158" s="30" t="str">
        <f>VLOOKUP($B158,Custumer_Master!$A:$J,7,FALSE)</f>
        <v>03/08/1991</v>
      </c>
      <c r="I158" s="24" t="str">
        <f>VLOOKUP($B158,Custumer_Master!$A:$J,9,FALSE)</f>
        <v>Mumbai</v>
      </c>
      <c r="J158" s="24" t="str">
        <f>VLOOKUP($B158,Custumer_Master!$A:$J,10,FALSE)</f>
        <v>West</v>
      </c>
      <c r="K158" s="24" t="str">
        <f>VLOOKUP(B158,Custumer_Master!A:D,4,FALSE)</f>
        <v>DL</v>
      </c>
      <c r="L158" s="24" t="str">
        <f>PROPER(TRIM(VLOOKUP('Final Data'!C158,Product_Master!A:F,3,FALSE)))</f>
        <v>Electronics</v>
      </c>
      <c r="M158" s="24" t="s">
        <v>78</v>
      </c>
      <c r="N158" s="34">
        <v>3</v>
      </c>
      <c r="O158" s="192">
        <f>VLOOKUP(C158,Product_Master!A:F,5,FALSE)</f>
        <v>900</v>
      </c>
      <c r="P158" s="33">
        <v>0.1</v>
      </c>
      <c r="Q158" s="34">
        <f t="shared" si="6"/>
        <v>2430</v>
      </c>
      <c r="R158" s="34">
        <v>2</v>
      </c>
      <c r="S158" s="24" t="s">
        <v>79</v>
      </c>
      <c r="T158" s="24" t="s">
        <v>151</v>
      </c>
      <c r="U158" s="24" t="s">
        <v>228</v>
      </c>
      <c r="V158" s="34">
        <v>9520617130</v>
      </c>
      <c r="W158" s="24" t="str">
        <f>VLOOKUP(C158,Product_Master!A:F,4,FALSE)</f>
        <v>TechHub</v>
      </c>
      <c r="X158" s="34">
        <f>VLOOKUP(C158,Product_Master!A:F,6,FALSE)</f>
        <v>6</v>
      </c>
      <c r="Y158" s="24" t="str">
        <f>VLOOKUP(B158,Custumer_Master!A:D,3,FALSE)</f>
        <v>Gold</v>
      </c>
      <c r="Z158" s="30">
        <f>EDATE(E158,X158)</f>
        <v>46051</v>
      </c>
      <c r="AA158" s="29" t="str">
        <f>VLOOKUP(B158,Custumer_Master!A:K,11,)</f>
        <v>August</v>
      </c>
      <c r="AB158" s="24" t="s">
        <v>2160</v>
      </c>
      <c r="AC158" s="138" t="str">
        <f>PROPER(LEFT(TRIM(F158), 3)) &amp; RIGHT(TRIM(B158), 3) &amp; PROPER(LEFT(TRIM(I158), 2))</f>
        <v>Vik005Mu</v>
      </c>
      <c r="AD158" s="154">
        <f t="shared" ca="1" si="7"/>
        <v>34</v>
      </c>
      <c r="AE158" s="154">
        <f>IFERROR(IF(OR(E158="", D158="", LOWER(TRIM(E158))="pending", LOWER(TRIM(D158))="pending"), "Pending", E158 - D158), "Pending")</f>
        <v>10</v>
      </c>
      <c r="AF158" s="138" t="str">
        <f>IFERROR(IF(OR(E158="", D158="","Pending","Pending"), "Pending", IF((E158 - D158) &lt;= 5, "On Time", "Delayed")), "Pending")</f>
        <v>Delayed</v>
      </c>
      <c r="AG158" s="24" t="str">
        <f t="shared" si="8"/>
        <v>Completed</v>
      </c>
    </row>
    <row r="159" spans="1:33">
      <c r="A159" s="24" t="s">
        <v>842</v>
      </c>
      <c r="B159" s="24" t="s">
        <v>327</v>
      </c>
      <c r="C159" s="24" t="s">
        <v>118</v>
      </c>
      <c r="D159" s="30">
        <v>45757</v>
      </c>
      <c r="E159" s="30" t="s">
        <v>577</v>
      </c>
      <c r="F159" s="24" t="str">
        <f>VLOOKUP(B159,Custumer_Master!A:D,2,FALSE)</f>
        <v>Amit Sharma</v>
      </c>
      <c r="G159" s="24" t="str">
        <f>VLOOKUP($B159,Custumer_Master!$A:$J,6,FALSE)</f>
        <v>Male</v>
      </c>
      <c r="H159" s="30" t="str">
        <f>VLOOKUP($B159,Custumer_Master!$A:$J,7,FALSE)</f>
        <v>09/08/1991</v>
      </c>
      <c r="I159" s="24" t="str">
        <f>VLOOKUP($B159,Custumer_Master!$A:$J,9,FALSE)</f>
        <v>Pune</v>
      </c>
      <c r="J159" s="24" t="str">
        <f>VLOOKUP($B159,Custumer_Master!$A:$J,10,FALSE)</f>
        <v>West</v>
      </c>
      <c r="K159" s="24" t="str">
        <f>VLOOKUP(B159,Custumer_Master!A:D,4,FALSE)</f>
        <v>RJ</v>
      </c>
      <c r="L159" s="24" t="str">
        <f>PROPER(TRIM(VLOOKUP('Final Data'!C159,Product_Master!A:F,3,FALSE)))</f>
        <v>Stationery</v>
      </c>
      <c r="M159" s="24" t="s">
        <v>123</v>
      </c>
      <c r="N159" s="34">
        <v>2</v>
      </c>
      <c r="O159" s="192">
        <f>VLOOKUP(C159,Product_Master!A:F,5,FALSE)</f>
        <v>45</v>
      </c>
      <c r="P159" s="33">
        <v>0.1</v>
      </c>
      <c r="Q159" s="34">
        <f t="shared" si="6"/>
        <v>81</v>
      </c>
      <c r="R159" s="34">
        <v>2</v>
      </c>
      <c r="S159" s="24" t="s">
        <v>2149</v>
      </c>
      <c r="T159" s="24" t="s">
        <v>61</v>
      </c>
      <c r="U159" s="24" t="s">
        <v>332</v>
      </c>
      <c r="V159" s="34">
        <v>9264578122</v>
      </c>
      <c r="W159" s="24" t="str">
        <f>VLOOKUP(C159,Product_Master!A:F,4,FALSE)</f>
        <v>ABC Corp</v>
      </c>
      <c r="X159" s="34">
        <f>VLOOKUP(C159,Product_Master!A:F,6,FALSE)</f>
        <v>12</v>
      </c>
      <c r="Y159" s="24" t="str">
        <f>VLOOKUP(B159,Custumer_Master!A:D,3,FALSE)</f>
        <v>Silver</v>
      </c>
      <c r="Z159" s="30">
        <f>EDATE(E159,X159)</f>
        <v>46124</v>
      </c>
      <c r="AA159" s="29" t="str">
        <f>VLOOKUP(B159,Custumer_Master!A:K,11,)</f>
        <v>August</v>
      </c>
      <c r="AB159" s="24" t="s">
        <v>2160</v>
      </c>
      <c r="AC159" s="138" t="str">
        <f>PROPER(LEFT(TRIM(F159), 3)) &amp; RIGHT(TRIM(B159), 3) &amp; PROPER(LEFT(TRIM(I159), 2))</f>
        <v>Ami001Pu</v>
      </c>
      <c r="AD159" s="154">
        <f t="shared" ca="1" si="7"/>
        <v>34</v>
      </c>
      <c r="AE159" s="154">
        <f>IFERROR(IF(OR(E159="", D159="", LOWER(TRIM(E159))="pending", LOWER(TRIM(D159))="pending"), "Pending", E159 - D159), "Pending")</f>
        <v>2</v>
      </c>
      <c r="AF159" s="138" t="str">
        <f>IFERROR(IF(OR(E159="", D159="","Pending","Pending"), "Pending", IF((E159 - D159) &lt;= 5, "On Time", "Delayed")), "Pending")</f>
        <v>On Time</v>
      </c>
      <c r="AG159" s="24" t="str">
        <f t="shared" si="8"/>
        <v>Completed</v>
      </c>
    </row>
    <row r="160" spans="1:33">
      <c r="A160" s="24" t="s">
        <v>845</v>
      </c>
      <c r="B160" s="24" t="s">
        <v>71</v>
      </c>
      <c r="C160" s="24" t="s">
        <v>92</v>
      </c>
      <c r="D160" s="30">
        <v>46155</v>
      </c>
      <c r="E160" s="30" t="s">
        <v>846</v>
      </c>
      <c r="F160" s="24" t="str">
        <f>VLOOKUP(B160,Custumer_Master!A:D,2,FALSE)</f>
        <v>Mohit Verma</v>
      </c>
      <c r="G160" s="24" t="str">
        <f>VLOOKUP($B160,Custumer_Master!$A:$J,6,FALSE)</f>
        <v>Male</v>
      </c>
      <c r="H160" s="30" t="str">
        <f>VLOOKUP($B160,Custumer_Master!$A:$J,7,FALSE)</f>
        <v>13/04/1976</v>
      </c>
      <c r="I160" s="24" t="str">
        <f>VLOOKUP($B160,Custumer_Master!$A:$J,9,FALSE)</f>
        <v>Delhi</v>
      </c>
      <c r="J160" s="24" t="str">
        <f>VLOOKUP($B160,Custumer_Master!$A:$J,10,FALSE)</f>
        <v>North</v>
      </c>
      <c r="K160" s="24" t="str">
        <f>VLOOKUP(B160,Custumer_Master!A:D,4,FALSE)</f>
        <v>KA</v>
      </c>
      <c r="L160" s="24" t="str">
        <f>PROPER(TRIM(VLOOKUP('Final Data'!C160,Product_Master!A:F,3,FALSE)))</f>
        <v>Home Appliances</v>
      </c>
      <c r="M160" s="24" t="s">
        <v>97</v>
      </c>
      <c r="N160" s="34">
        <v>9</v>
      </c>
      <c r="O160" s="192">
        <f>VLOOKUP(C160,Product_Master!A:F,5,FALSE)</f>
        <v>2625</v>
      </c>
      <c r="P160" s="33">
        <v>0.2</v>
      </c>
      <c r="Q160" s="34">
        <f t="shared" si="6"/>
        <v>18900</v>
      </c>
      <c r="R160" s="34">
        <v>1</v>
      </c>
      <c r="S160" s="24" t="s">
        <v>2148</v>
      </c>
      <c r="T160" s="24" t="s">
        <v>35</v>
      </c>
      <c r="U160" s="24" t="s">
        <v>80</v>
      </c>
      <c r="V160" s="34">
        <v>9275071213</v>
      </c>
      <c r="W160" s="24" t="str">
        <f>VLOOKUP(C160,Product_Master!A:F,4,FALSE)</f>
        <v>Global Trade</v>
      </c>
      <c r="X160" s="34">
        <f>VLOOKUP(C160,Product_Master!A:F,6,FALSE)</f>
        <v>6</v>
      </c>
      <c r="Y160" s="24" t="str">
        <f>VLOOKUP(B160,Custumer_Master!A:D,3,FALSE)</f>
        <v>Platinum</v>
      </c>
      <c r="Z160" s="30">
        <f>EDATE(E160,X160)</f>
        <v>46349</v>
      </c>
      <c r="AA160" s="29" t="str">
        <f>VLOOKUP(B160,Custumer_Master!A:K,11,)</f>
        <v>April</v>
      </c>
      <c r="AB160" s="24" t="s">
        <v>2160</v>
      </c>
      <c r="AC160" s="138" t="str">
        <f>PROPER(LEFT(TRIM(F160), 3)) &amp; RIGHT(TRIM(B160), 3) &amp; PROPER(LEFT(TRIM(I160), 2))</f>
        <v>Moh009De</v>
      </c>
      <c r="AD160" s="154">
        <f t="shared" ca="1" si="7"/>
        <v>50</v>
      </c>
      <c r="AE160" s="154">
        <f>IFERROR(IF(OR(E160="", D160="", LOWER(TRIM(E160))="pending", LOWER(TRIM(D160))="pending"), "Pending", E160 - D160), "Pending")</f>
        <v>10</v>
      </c>
      <c r="AF160" s="138" t="str">
        <f>IFERROR(IF(OR(E160="", D160="","Pending","Pending"), "Pending", IF((E160 - D160) &lt;= 5, "On Time", "Delayed")), "Pending")</f>
        <v>Delayed</v>
      </c>
      <c r="AG160" s="24" t="str">
        <f t="shared" si="8"/>
        <v>Completed</v>
      </c>
    </row>
    <row r="161" spans="1:33">
      <c r="A161" s="24" t="s">
        <v>849</v>
      </c>
      <c r="B161" s="24" t="s">
        <v>221</v>
      </c>
      <c r="C161" s="24" t="s">
        <v>54</v>
      </c>
      <c r="D161" s="30">
        <v>46094</v>
      </c>
      <c r="E161" s="30" t="s">
        <v>543</v>
      </c>
      <c r="F161" s="24" t="str">
        <f>VLOOKUP(B161,Custumer_Master!A:D,2,FALSE)</f>
        <v>Vikas Mehta</v>
      </c>
      <c r="G161" s="24" t="str">
        <f>VLOOKUP($B161,Custumer_Master!$A:$J,6,FALSE)</f>
        <v>Male</v>
      </c>
      <c r="H161" s="30" t="str">
        <f>VLOOKUP($B161,Custumer_Master!$A:$J,7,FALSE)</f>
        <v>03/08/1991</v>
      </c>
      <c r="I161" s="24" t="str">
        <f>VLOOKUP($B161,Custumer_Master!$A:$J,9,FALSE)</f>
        <v>Mumbai</v>
      </c>
      <c r="J161" s="24" t="str">
        <f>VLOOKUP($B161,Custumer_Master!$A:$J,10,FALSE)</f>
        <v>West</v>
      </c>
      <c r="K161" s="24" t="str">
        <f>VLOOKUP(B161,Custumer_Master!A:D,4,FALSE)</f>
        <v>DL</v>
      </c>
      <c r="L161" s="24" t="str">
        <f>PROPER(TRIM(VLOOKUP('Final Data'!C161,Product_Master!A:F,3,FALSE)))</f>
        <v>Electronics</v>
      </c>
      <c r="M161" s="24" t="s">
        <v>60</v>
      </c>
      <c r="N161" s="34">
        <v>4</v>
      </c>
      <c r="O161" s="192">
        <f>VLOOKUP(C161,Product_Master!A:F,5,FALSE)</f>
        <v>41250</v>
      </c>
      <c r="P161" s="33">
        <v>0.05</v>
      </c>
      <c r="Q161" s="34">
        <f t="shared" si="6"/>
        <v>156750</v>
      </c>
      <c r="R161" s="34">
        <v>2</v>
      </c>
      <c r="S161" s="24" t="s">
        <v>34</v>
      </c>
      <c r="T161" s="24" t="s">
        <v>151</v>
      </c>
      <c r="U161" s="24" t="s">
        <v>228</v>
      </c>
      <c r="V161" s="34">
        <v>9715222543</v>
      </c>
      <c r="W161" s="24" t="str">
        <f>VLOOKUP(C161,Product_Master!A:F,4,FALSE)</f>
        <v>TechHub</v>
      </c>
      <c r="X161" s="34">
        <f>VLOOKUP(C161,Product_Master!A:F,6,FALSE)</f>
        <v>12</v>
      </c>
      <c r="Y161" s="24" t="str">
        <f>VLOOKUP(B161,Custumer_Master!A:D,3,FALSE)</f>
        <v>Gold</v>
      </c>
      <c r="Z161" s="30">
        <f>EDATE(E161,X161)</f>
        <v>46462</v>
      </c>
      <c r="AA161" s="29" t="str">
        <f>VLOOKUP(B161,Custumer_Master!A:K,11,)</f>
        <v>August</v>
      </c>
      <c r="AB161" s="24" t="s">
        <v>2160</v>
      </c>
      <c r="AC161" s="138" t="str">
        <f>PROPER(LEFT(TRIM(F161), 3)) &amp; RIGHT(TRIM(B161), 3) &amp; PROPER(LEFT(TRIM(I161), 2))</f>
        <v>Vik005Mu</v>
      </c>
      <c r="AD161" s="154">
        <f t="shared" ca="1" si="7"/>
        <v>34</v>
      </c>
      <c r="AE161" s="154">
        <f>IFERROR(IF(OR(E161="", D161="", LOWER(TRIM(E161))="pending", LOWER(TRIM(D161))="pending"), "Pending", E161 - D161), "Pending")</f>
        <v>3</v>
      </c>
      <c r="AF161" s="138" t="str">
        <f>IFERROR(IF(OR(E161="", D161="","Pending","Pending"), "Pending", IF((E161 - D161) &lt;= 5, "On Time", "Delayed")), "Pending")</f>
        <v>On Time</v>
      </c>
      <c r="AG161" s="24" t="str">
        <f t="shared" si="8"/>
        <v>Completed</v>
      </c>
    </row>
    <row r="162" spans="1:33">
      <c r="A162" s="24" t="s">
        <v>852</v>
      </c>
      <c r="B162" s="24" t="s">
        <v>327</v>
      </c>
      <c r="C162" s="24" t="s">
        <v>184</v>
      </c>
      <c r="D162" s="30">
        <v>45835</v>
      </c>
      <c r="E162" s="30" t="s">
        <v>266</v>
      </c>
      <c r="F162" s="24" t="str">
        <f>VLOOKUP(B162,Custumer_Master!A:D,2,FALSE)</f>
        <v>Amit Sharma</v>
      </c>
      <c r="G162" s="24" t="str">
        <f>VLOOKUP($B162,Custumer_Master!$A:$J,6,FALSE)</f>
        <v>Male</v>
      </c>
      <c r="H162" s="30" t="str">
        <f>VLOOKUP($B162,Custumer_Master!$A:$J,7,FALSE)</f>
        <v>09/08/1991</v>
      </c>
      <c r="I162" s="24" t="str">
        <f>VLOOKUP($B162,Custumer_Master!$A:$J,9,FALSE)</f>
        <v>Pune</v>
      </c>
      <c r="J162" s="24" t="str">
        <f>VLOOKUP($B162,Custumer_Master!$A:$J,10,FALSE)</f>
        <v>West</v>
      </c>
      <c r="K162" s="24" t="str">
        <f>VLOOKUP(B162,Custumer_Master!A:D,4,FALSE)</f>
        <v>RJ</v>
      </c>
      <c r="L162" s="24" t="str">
        <f>PROPER(TRIM(VLOOKUP('Final Data'!C162,Product_Master!A:F,3,FALSE)))</f>
        <v>Electronics</v>
      </c>
      <c r="M162" s="24" t="s">
        <v>189</v>
      </c>
      <c r="N162" s="34">
        <v>11</v>
      </c>
      <c r="O162" s="192">
        <f>VLOOKUP(C162,Product_Master!A:F,5,FALSE)</f>
        <v>525</v>
      </c>
      <c r="P162" s="33">
        <v>0.2</v>
      </c>
      <c r="Q162" s="34">
        <f t="shared" si="6"/>
        <v>4620</v>
      </c>
      <c r="R162" s="34">
        <v>4</v>
      </c>
      <c r="S162" s="24" t="s">
        <v>34</v>
      </c>
      <c r="T162" s="24" t="s">
        <v>151</v>
      </c>
      <c r="U162" s="24" t="s">
        <v>332</v>
      </c>
      <c r="V162" s="34">
        <v>9942010833</v>
      </c>
      <c r="W162" s="24" t="str">
        <f>VLOOKUP(C162,Product_Master!A:F,4,FALSE)</f>
        <v>TechHub</v>
      </c>
      <c r="X162" s="34">
        <f>VLOOKUP(C162,Product_Master!A:F,6,FALSE)</f>
        <v>24</v>
      </c>
      <c r="Y162" s="24" t="str">
        <f>VLOOKUP(B162,Custumer_Master!A:D,3,FALSE)</f>
        <v>Silver</v>
      </c>
      <c r="Z162" s="30">
        <f>EDATE(E162,X162)</f>
        <v>46569</v>
      </c>
      <c r="AA162" s="29" t="str">
        <f>VLOOKUP(B162,Custumer_Master!A:K,11,)</f>
        <v>August</v>
      </c>
      <c r="AB162" s="24" t="s">
        <v>2108</v>
      </c>
      <c r="AC162" s="138" t="str">
        <f>PROPER(LEFT(TRIM(F162), 3)) &amp; RIGHT(TRIM(B162), 3) &amp; PROPER(LEFT(TRIM(I162), 2))</f>
        <v>Ami001Pu</v>
      </c>
      <c r="AD162" s="154">
        <f t="shared" ca="1" si="7"/>
        <v>34</v>
      </c>
      <c r="AE162" s="154">
        <f>IFERROR(IF(OR(E162="", D162="", LOWER(TRIM(E162))="pending", LOWER(TRIM(D162))="pending"), "Pending", E162 - D162), "Pending")</f>
        <v>4</v>
      </c>
      <c r="AF162" s="138" t="str">
        <f>IFERROR(IF(OR(E162="", D162="","Pending","Pending"), "Pending", IF((E162 - D162) &lt;= 5, "On Time", "Delayed")), "Pending")</f>
        <v>On Time</v>
      </c>
      <c r="AG162" s="24" t="str">
        <f t="shared" si="8"/>
        <v>Completed</v>
      </c>
    </row>
    <row r="163" spans="1:33">
      <c r="A163" s="24" t="s">
        <v>856</v>
      </c>
      <c r="B163" s="24" t="s">
        <v>168</v>
      </c>
      <c r="C163" s="24" t="s">
        <v>72</v>
      </c>
      <c r="D163" s="30">
        <v>45980</v>
      </c>
      <c r="E163" s="30" t="s">
        <v>816</v>
      </c>
      <c r="F163" s="24" t="str">
        <f>VLOOKUP(B163,Custumer_Master!A:D,2,FALSE)</f>
        <v>Anita Gupta</v>
      </c>
      <c r="G163" s="24" t="str">
        <f>VLOOKUP($B163,Custumer_Master!$A:$J,6,FALSE)</f>
        <v>Female</v>
      </c>
      <c r="H163" s="30" t="str">
        <f>VLOOKUP($B163,Custumer_Master!$A:$J,7,FALSE)</f>
        <v>16/01/2002</v>
      </c>
      <c r="I163" s="24" t="str">
        <f>VLOOKUP($B163,Custumer_Master!$A:$J,9,FALSE)</f>
        <v>Pune</v>
      </c>
      <c r="J163" s="24" t="str">
        <f>VLOOKUP($B163,Custumer_Master!$A:$J,10,FALSE)</f>
        <v>West</v>
      </c>
      <c r="K163" s="24" t="str">
        <f>VLOOKUP(B163,Custumer_Master!A:D,4,FALSE)</f>
        <v>WB</v>
      </c>
      <c r="L163" s="24" t="str">
        <f>PROPER(TRIM(VLOOKUP('Final Data'!C163,Product_Master!A:F,3,FALSE)))</f>
        <v>Electronics</v>
      </c>
      <c r="M163" s="24" t="s">
        <v>78</v>
      </c>
      <c r="N163" s="34">
        <v>16</v>
      </c>
      <c r="O163" s="192">
        <f>VLOOKUP(C163,Product_Master!A:F,5,FALSE)</f>
        <v>900</v>
      </c>
      <c r="P163" s="33">
        <v>0.05</v>
      </c>
      <c r="Q163" s="34">
        <f t="shared" si="6"/>
        <v>13680</v>
      </c>
      <c r="R163" s="34">
        <v>1</v>
      </c>
      <c r="S163" s="24" t="s">
        <v>79</v>
      </c>
      <c r="T163" s="24" t="s">
        <v>35</v>
      </c>
      <c r="U163" s="24" t="s">
        <v>175</v>
      </c>
      <c r="V163" s="34">
        <v>9347718932</v>
      </c>
      <c r="W163" s="24" t="str">
        <f>VLOOKUP(C163,Product_Master!A:F,4,FALSE)</f>
        <v>TechHub</v>
      </c>
      <c r="X163" s="34">
        <f>VLOOKUP(C163,Product_Master!A:F,6,FALSE)</f>
        <v>6</v>
      </c>
      <c r="Y163" s="24" t="str">
        <f>VLOOKUP(B163,Custumer_Master!A:D,3,FALSE)</f>
        <v>Gold</v>
      </c>
      <c r="Z163" s="30">
        <f>EDATE(E163,X163)</f>
        <v>46171</v>
      </c>
      <c r="AA163" s="29" t="str">
        <f>VLOOKUP(B163,Custumer_Master!A:K,11,)</f>
        <v>January</v>
      </c>
      <c r="AB163" s="24" t="s">
        <v>2160</v>
      </c>
      <c r="AC163" s="138" t="str">
        <f>PROPER(LEFT(TRIM(F163), 3)) &amp; RIGHT(TRIM(B163), 3) &amp; PROPER(LEFT(TRIM(I163), 2))</f>
        <v>Ani004Pu</v>
      </c>
      <c r="AD163" s="154">
        <f t="shared" ca="1" si="7"/>
        <v>24</v>
      </c>
      <c r="AE163" s="154">
        <f>IFERROR(IF(OR(E163="", D163="", LOWER(TRIM(E163))="pending", LOWER(TRIM(D163))="pending"), "Pending", E163 - D163), "Pending")</f>
        <v>10</v>
      </c>
      <c r="AF163" s="138" t="str">
        <f>IFERROR(IF(OR(E163="", D163="","Pending","Pending"), "Pending", IF((E163 - D163) &lt;= 5, "On Time", "Delayed")), "Pending")</f>
        <v>Delayed</v>
      </c>
      <c r="AG163" s="24" t="str">
        <f t="shared" si="8"/>
        <v>Completed</v>
      </c>
    </row>
    <row r="164" spans="1:33">
      <c r="A164" s="24" t="s">
        <v>859</v>
      </c>
      <c r="B164" s="24" t="s">
        <v>168</v>
      </c>
      <c r="C164" s="24" t="s">
        <v>72</v>
      </c>
      <c r="D164" s="30">
        <v>45915</v>
      </c>
      <c r="E164" s="30" t="s">
        <v>860</v>
      </c>
      <c r="F164" s="24" t="str">
        <f>VLOOKUP(B164,Custumer_Master!A:D,2,FALSE)</f>
        <v>Anita Gupta</v>
      </c>
      <c r="G164" s="24" t="str">
        <f>VLOOKUP($B164,Custumer_Master!$A:$J,6,FALSE)</f>
        <v>Female</v>
      </c>
      <c r="H164" s="30" t="str">
        <f>VLOOKUP($B164,Custumer_Master!$A:$J,7,FALSE)</f>
        <v>16/01/2002</v>
      </c>
      <c r="I164" s="24" t="str">
        <f>VLOOKUP($B164,Custumer_Master!$A:$J,9,FALSE)</f>
        <v>Pune</v>
      </c>
      <c r="J164" s="24" t="str">
        <f>VLOOKUP($B164,Custumer_Master!$A:$J,10,FALSE)</f>
        <v>West</v>
      </c>
      <c r="K164" s="24" t="str">
        <f>VLOOKUP(B164,Custumer_Master!A:D,4,FALSE)</f>
        <v>WB</v>
      </c>
      <c r="L164" s="24" t="str">
        <f>PROPER(TRIM(VLOOKUP('Final Data'!C164,Product_Master!A:F,3,FALSE)))</f>
        <v>Electronics</v>
      </c>
      <c r="M164" s="24" t="s">
        <v>78</v>
      </c>
      <c r="N164" s="34">
        <v>1</v>
      </c>
      <c r="O164" s="192">
        <f>VLOOKUP(C164,Product_Master!A:F,5,FALSE)</f>
        <v>900</v>
      </c>
      <c r="P164" s="33">
        <v>0.05</v>
      </c>
      <c r="Q164" s="34">
        <f t="shared" si="6"/>
        <v>855</v>
      </c>
      <c r="R164" s="34">
        <v>4</v>
      </c>
      <c r="S164" s="24" t="s">
        <v>79</v>
      </c>
      <c r="T164" s="24" t="s">
        <v>35</v>
      </c>
      <c r="U164" s="24" t="s">
        <v>175</v>
      </c>
      <c r="V164" s="34">
        <v>9274808844</v>
      </c>
      <c r="W164" s="24" t="str">
        <f>VLOOKUP(C164,Product_Master!A:F,4,FALSE)</f>
        <v>TechHub</v>
      </c>
      <c r="X164" s="34">
        <f>VLOOKUP(C164,Product_Master!A:F,6,FALSE)</f>
        <v>6</v>
      </c>
      <c r="Y164" s="24" t="str">
        <f>VLOOKUP(B164,Custumer_Master!A:D,3,FALSE)</f>
        <v>Gold</v>
      </c>
      <c r="Z164" s="30">
        <f>EDATE(E164,X164)</f>
        <v>46098</v>
      </c>
      <c r="AA164" s="29" t="str">
        <f>VLOOKUP(B164,Custumer_Master!A:K,11,)</f>
        <v>January</v>
      </c>
      <c r="AB164" s="24" t="s">
        <v>2108</v>
      </c>
      <c r="AC164" s="138" t="str">
        <f>PROPER(LEFT(TRIM(F164), 3)) &amp; RIGHT(TRIM(B164), 3) &amp; PROPER(LEFT(TRIM(I164), 2))</f>
        <v>Ani004Pu</v>
      </c>
      <c r="AD164" s="154">
        <f t="shared" ca="1" si="7"/>
        <v>24</v>
      </c>
      <c r="AE164" s="154">
        <f>IFERROR(IF(OR(E164="", D164="", LOWER(TRIM(E164))="pending", LOWER(TRIM(D164))="pending"), "Pending", E164 - D164), "Pending")</f>
        <v>2</v>
      </c>
      <c r="AF164" s="138" t="str">
        <f>IFERROR(IF(OR(E164="", D164="","Pending","Pending"), "Pending", IF((E164 - D164) &lt;= 5, "On Time", "Delayed")), "Pending")</f>
        <v>On Time</v>
      </c>
      <c r="AG164" s="24" t="str">
        <f t="shared" si="8"/>
        <v>Completed</v>
      </c>
    </row>
    <row r="165" spans="1:33">
      <c r="A165" s="24" t="s">
        <v>863</v>
      </c>
      <c r="B165" s="24" t="s">
        <v>327</v>
      </c>
      <c r="C165" s="24" t="s">
        <v>118</v>
      </c>
      <c r="D165" s="30">
        <v>45965</v>
      </c>
      <c r="E165" s="30" t="s">
        <v>865</v>
      </c>
      <c r="F165" s="24" t="str">
        <f>VLOOKUP(B165,Custumer_Master!A:D,2,FALSE)</f>
        <v>Amit Sharma</v>
      </c>
      <c r="G165" s="24" t="str">
        <f>VLOOKUP($B165,Custumer_Master!$A:$J,6,FALSE)</f>
        <v>Male</v>
      </c>
      <c r="H165" s="30" t="str">
        <f>VLOOKUP($B165,Custumer_Master!$A:$J,7,FALSE)</f>
        <v>09/08/1991</v>
      </c>
      <c r="I165" s="24" t="str">
        <f>VLOOKUP($B165,Custumer_Master!$A:$J,9,FALSE)</f>
        <v>Pune</v>
      </c>
      <c r="J165" s="24" t="str">
        <f>VLOOKUP($B165,Custumer_Master!$A:$J,10,FALSE)</f>
        <v>West</v>
      </c>
      <c r="K165" s="24" t="str">
        <f>VLOOKUP(B165,Custumer_Master!A:D,4,FALSE)</f>
        <v>RJ</v>
      </c>
      <c r="L165" s="24" t="str">
        <f>PROPER(TRIM(VLOOKUP('Final Data'!C165,Product_Master!A:F,3,FALSE)))</f>
        <v>Stationery</v>
      </c>
      <c r="M165" s="24" t="s">
        <v>123</v>
      </c>
      <c r="N165" s="34">
        <v>7</v>
      </c>
      <c r="O165" s="192">
        <f>VLOOKUP(C165,Product_Master!A:F,5,FALSE)</f>
        <v>45</v>
      </c>
      <c r="P165" s="33">
        <v>0</v>
      </c>
      <c r="Q165" s="34">
        <f t="shared" si="6"/>
        <v>315</v>
      </c>
      <c r="R165" s="34">
        <v>2</v>
      </c>
      <c r="S165" s="24" t="s">
        <v>2149</v>
      </c>
      <c r="T165" s="24" t="s">
        <v>151</v>
      </c>
      <c r="U165" s="24" t="s">
        <v>332</v>
      </c>
      <c r="V165" s="34">
        <v>9798996063</v>
      </c>
      <c r="W165" s="24" t="str">
        <f>VLOOKUP(C165,Product_Master!A:F,4,FALSE)</f>
        <v>ABC Corp</v>
      </c>
      <c r="X165" s="34">
        <f>VLOOKUP(C165,Product_Master!A:F,6,FALSE)</f>
        <v>12</v>
      </c>
      <c r="Y165" s="24" t="str">
        <f>VLOOKUP(B165,Custumer_Master!A:D,3,FALSE)</f>
        <v>Silver</v>
      </c>
      <c r="Z165" s="30">
        <f>EDATE(E165,X165)</f>
        <v>46339</v>
      </c>
      <c r="AA165" s="29" t="str">
        <f>VLOOKUP(B165,Custumer_Master!A:K,11,)</f>
        <v>August</v>
      </c>
      <c r="AB165" s="24" t="s">
        <v>2160</v>
      </c>
      <c r="AC165" s="138" t="str">
        <f>PROPER(LEFT(TRIM(F165), 3)) &amp; RIGHT(TRIM(B165), 3) &amp; PROPER(LEFT(TRIM(I165), 2))</f>
        <v>Ami001Pu</v>
      </c>
      <c r="AD165" s="154">
        <f t="shared" ca="1" si="7"/>
        <v>34</v>
      </c>
      <c r="AE165" s="154">
        <f>IFERROR(IF(OR(E165="", D165="", LOWER(TRIM(E165))="pending", LOWER(TRIM(D165))="pending"), "Pending", E165 - D165), "Pending")</f>
        <v>9</v>
      </c>
      <c r="AF165" s="138" t="str">
        <f>IFERROR(IF(OR(E165="", D165="","Pending","Pending"), "Pending", IF((E165 - D165) &lt;= 5, "On Time", "Delayed")), "Pending")</f>
        <v>Delayed</v>
      </c>
      <c r="AG165" s="24" t="str">
        <f t="shared" si="8"/>
        <v>Completed</v>
      </c>
    </row>
    <row r="166" spans="1:33">
      <c r="A166" s="24" t="s">
        <v>868</v>
      </c>
      <c r="B166" s="24" t="s">
        <v>168</v>
      </c>
      <c r="C166" s="24" t="s">
        <v>24</v>
      </c>
      <c r="D166" s="30">
        <v>45660</v>
      </c>
      <c r="E166" s="30" t="s">
        <v>513</v>
      </c>
      <c r="F166" s="24" t="str">
        <f>VLOOKUP(B166,Custumer_Master!A:D,2,FALSE)</f>
        <v>Anita Gupta</v>
      </c>
      <c r="G166" s="24" t="str">
        <f>VLOOKUP($B166,Custumer_Master!$A:$J,6,FALSE)</f>
        <v>Female</v>
      </c>
      <c r="H166" s="30" t="str">
        <f>VLOOKUP($B166,Custumer_Master!$A:$J,7,FALSE)</f>
        <v>16/01/2002</v>
      </c>
      <c r="I166" s="24" t="str">
        <f>VLOOKUP($B166,Custumer_Master!$A:$J,9,FALSE)</f>
        <v>Pune</v>
      </c>
      <c r="J166" s="24" t="str">
        <f>VLOOKUP($B166,Custumer_Master!$A:$J,10,FALSE)</f>
        <v>West</v>
      </c>
      <c r="K166" s="24" t="str">
        <f>VLOOKUP(B166,Custumer_Master!A:D,4,FALSE)</f>
        <v>WB</v>
      </c>
      <c r="L166" s="24" t="str">
        <f>PROPER(TRIM(VLOOKUP('Final Data'!C166,Product_Master!A:F,3,FALSE)))</f>
        <v>Home Appliances</v>
      </c>
      <c r="M166" s="24" t="s">
        <v>33</v>
      </c>
      <c r="N166" s="34">
        <v>14</v>
      </c>
      <c r="O166" s="192">
        <f>VLOOKUP(C166,Product_Master!A:F,5,FALSE)</f>
        <v>1650</v>
      </c>
      <c r="P166" s="33">
        <v>0</v>
      </c>
      <c r="Q166" s="34">
        <f t="shared" si="6"/>
        <v>23100</v>
      </c>
      <c r="R166" s="34">
        <v>2</v>
      </c>
      <c r="S166" s="24" t="s">
        <v>2149</v>
      </c>
      <c r="T166" s="24" t="s">
        <v>35</v>
      </c>
      <c r="U166" s="24" t="s">
        <v>175</v>
      </c>
      <c r="V166" s="34">
        <v>9145200936</v>
      </c>
      <c r="W166" s="24" t="str">
        <f>VLOOKUP(C166,Product_Master!A:F,4,FALSE)</f>
        <v>Global Trade</v>
      </c>
      <c r="X166" s="34">
        <f>VLOOKUP(C166,Product_Master!A:F,6,FALSE)</f>
        <v>24</v>
      </c>
      <c r="Y166" s="24" t="str">
        <f>VLOOKUP(B166,Custumer_Master!A:D,3,FALSE)</f>
        <v>Gold</v>
      </c>
      <c r="Z166" s="30">
        <f>EDATE(E166,X166)</f>
        <v>46394</v>
      </c>
      <c r="AA166" s="29" t="str">
        <f>VLOOKUP(B166,Custumer_Master!A:K,11,)</f>
        <v>January</v>
      </c>
      <c r="AB166" s="24" t="s">
        <v>2160</v>
      </c>
      <c r="AC166" s="138" t="str">
        <f>PROPER(LEFT(TRIM(F166), 3)) &amp; RIGHT(TRIM(B166), 3) &amp; PROPER(LEFT(TRIM(I166), 2))</f>
        <v>Ani004Pu</v>
      </c>
      <c r="AD166" s="154">
        <f t="shared" ca="1" si="7"/>
        <v>24</v>
      </c>
      <c r="AE166" s="154">
        <f>IFERROR(IF(OR(E166="", D166="", LOWER(TRIM(E166))="pending", LOWER(TRIM(D166))="pending"), "Pending", E166 - D166), "Pending")</f>
        <v>4</v>
      </c>
      <c r="AF166" s="138" t="str">
        <f>IFERROR(IF(OR(E166="", D166="","Pending","Pending"), "Pending", IF((E166 - D166) &lt;= 5, "On Time", "Delayed")), "Pending")</f>
        <v>On Time</v>
      </c>
      <c r="AG166" s="24" t="str">
        <f t="shared" si="8"/>
        <v>Completed</v>
      </c>
    </row>
    <row r="167" spans="1:33">
      <c r="A167" s="24" t="s">
        <v>871</v>
      </c>
      <c r="B167" s="24" t="s">
        <v>168</v>
      </c>
      <c r="C167" s="24" t="s">
        <v>92</v>
      </c>
      <c r="D167" s="30">
        <v>45827</v>
      </c>
      <c r="E167" s="30" t="s">
        <v>488</v>
      </c>
      <c r="F167" s="24" t="str">
        <f>VLOOKUP(B167,Custumer_Master!A:D,2,FALSE)</f>
        <v>Anita Gupta</v>
      </c>
      <c r="G167" s="24" t="str">
        <f>VLOOKUP($B167,Custumer_Master!$A:$J,6,FALSE)</f>
        <v>Female</v>
      </c>
      <c r="H167" s="30" t="str">
        <f>VLOOKUP($B167,Custumer_Master!$A:$J,7,FALSE)</f>
        <v>16/01/2002</v>
      </c>
      <c r="I167" s="24" t="str">
        <f>VLOOKUP($B167,Custumer_Master!$A:$J,9,FALSE)</f>
        <v>Pune</v>
      </c>
      <c r="J167" s="24" t="str">
        <f>VLOOKUP($B167,Custumer_Master!$A:$J,10,FALSE)</f>
        <v>West</v>
      </c>
      <c r="K167" s="24" t="str">
        <f>VLOOKUP(B167,Custumer_Master!A:D,4,FALSE)</f>
        <v>WB</v>
      </c>
      <c r="L167" s="24" t="str">
        <f>PROPER(TRIM(VLOOKUP('Final Data'!C167,Product_Master!A:F,3,FALSE)))</f>
        <v>Home Appliances</v>
      </c>
      <c r="M167" s="24" t="s">
        <v>97</v>
      </c>
      <c r="N167" s="34">
        <v>15</v>
      </c>
      <c r="O167" s="192">
        <f>VLOOKUP(C167,Product_Master!A:F,5,FALSE)</f>
        <v>2625</v>
      </c>
      <c r="P167" s="33">
        <v>0.15</v>
      </c>
      <c r="Q167" s="34">
        <f t="shared" si="6"/>
        <v>33468.75</v>
      </c>
      <c r="R167" s="34">
        <v>2</v>
      </c>
      <c r="S167" s="24" t="s">
        <v>2149</v>
      </c>
      <c r="T167" s="24" t="s">
        <v>61</v>
      </c>
      <c r="U167" s="24" t="s">
        <v>175</v>
      </c>
      <c r="V167" s="34">
        <v>9697654418</v>
      </c>
      <c r="W167" s="24" t="str">
        <f>VLOOKUP(C167,Product_Master!A:F,4,FALSE)</f>
        <v>Global Trade</v>
      </c>
      <c r="X167" s="34">
        <f>VLOOKUP(C167,Product_Master!A:F,6,FALSE)</f>
        <v>6</v>
      </c>
      <c r="Y167" s="24" t="str">
        <f>VLOOKUP(B167,Custumer_Master!A:D,3,FALSE)</f>
        <v>Gold</v>
      </c>
      <c r="Z167" s="30">
        <f>EDATE(E167,X167)</f>
        <v>46018</v>
      </c>
      <c r="AA167" s="29" t="str">
        <f>VLOOKUP(B167,Custumer_Master!A:K,11,)</f>
        <v>January</v>
      </c>
      <c r="AB167" s="24" t="s">
        <v>2160</v>
      </c>
      <c r="AC167" s="138" t="str">
        <f>PROPER(LEFT(TRIM(F167), 3)) &amp; RIGHT(TRIM(B167), 3) &amp; PROPER(LEFT(TRIM(I167), 2))</f>
        <v>Ani004Pu</v>
      </c>
      <c r="AD167" s="154">
        <f t="shared" ca="1" si="7"/>
        <v>24</v>
      </c>
      <c r="AE167" s="154">
        <f>IFERROR(IF(OR(E167="", D167="", LOWER(TRIM(E167))="pending", LOWER(TRIM(D167))="pending"), "Pending", E167 - D167), "Pending")</f>
        <v>8</v>
      </c>
      <c r="AF167" s="138" t="str">
        <f>IFERROR(IF(OR(E167="", D167="","Pending","Pending"), "Pending", IF((E167 - D167) &lt;= 5, "On Time", "Delayed")), "Pending")</f>
        <v>Delayed</v>
      </c>
      <c r="AG167" s="24" t="str">
        <f t="shared" si="8"/>
        <v>Completed</v>
      </c>
    </row>
    <row r="168" spans="1:33">
      <c r="A168" s="24" t="s">
        <v>875</v>
      </c>
      <c r="B168" s="24" t="s">
        <v>127</v>
      </c>
      <c r="C168" s="24" t="s">
        <v>92</v>
      </c>
      <c r="D168" s="30">
        <v>45742</v>
      </c>
      <c r="E168" s="30" t="s">
        <v>877</v>
      </c>
      <c r="F168" s="24" t="str">
        <f>VLOOKUP(B168,Custumer_Master!A:D,2,FALSE)</f>
        <v>Rohit Singh</v>
      </c>
      <c r="G168" s="24" t="str">
        <f>VLOOKUP($B168,Custumer_Master!$A:$J,6,FALSE)</f>
        <v>Male</v>
      </c>
      <c r="H168" s="30" t="str">
        <f>VLOOKUP($B168,Custumer_Master!$A:$J,7,FALSE)</f>
        <v>10/05/1982</v>
      </c>
      <c r="I168" s="24" t="str">
        <f>VLOOKUP($B168,Custumer_Master!$A:$J,9,FALSE)</f>
        <v>Delhi</v>
      </c>
      <c r="J168" s="24" t="str">
        <f>VLOOKUP($B168,Custumer_Master!$A:$J,10,FALSE)</f>
        <v>North</v>
      </c>
      <c r="K168" s="24" t="str">
        <f>VLOOKUP(B168,Custumer_Master!A:D,4,FALSE)</f>
        <v>DL</v>
      </c>
      <c r="L168" s="24" t="str">
        <f>PROPER(TRIM(VLOOKUP('Final Data'!C168,Product_Master!A:F,3,FALSE)))</f>
        <v>Home Appliances</v>
      </c>
      <c r="M168" s="24" t="s">
        <v>97</v>
      </c>
      <c r="N168" s="34">
        <v>19</v>
      </c>
      <c r="O168" s="192">
        <f>VLOOKUP(C168,Product_Master!A:F,5,FALSE)</f>
        <v>2625</v>
      </c>
      <c r="P168" s="33">
        <v>0.05</v>
      </c>
      <c r="Q168" s="34">
        <f t="shared" si="6"/>
        <v>47381.25</v>
      </c>
      <c r="R168" s="34">
        <v>2</v>
      </c>
      <c r="S168" s="24" t="s">
        <v>34</v>
      </c>
      <c r="T168" s="24" t="s">
        <v>115</v>
      </c>
      <c r="U168" s="24" t="s">
        <v>132</v>
      </c>
      <c r="V168" s="34">
        <v>9457923119</v>
      </c>
      <c r="W168" s="24" t="str">
        <f>VLOOKUP(C168,Product_Master!A:F,4,FALSE)</f>
        <v>Global Trade</v>
      </c>
      <c r="X168" s="34">
        <f>VLOOKUP(C168,Product_Master!A:F,6,FALSE)</f>
        <v>6</v>
      </c>
      <c r="Y168" s="24" t="str">
        <f>VLOOKUP(B168,Custumer_Master!A:D,3,FALSE)</f>
        <v>Gold</v>
      </c>
      <c r="Z168" s="30">
        <f>EDATE(E168,X168)</f>
        <v>45936</v>
      </c>
      <c r="AA168" s="29" t="str">
        <f>VLOOKUP(B168,Custumer_Master!A:K,11,)</f>
        <v>May</v>
      </c>
      <c r="AB168" s="24" t="s">
        <v>2160</v>
      </c>
      <c r="AC168" s="138" t="str">
        <f>PROPER(LEFT(TRIM(F168), 3)) &amp; RIGHT(TRIM(B168), 3) &amp; PROPER(LEFT(TRIM(I168), 2))</f>
        <v>Roh003De</v>
      </c>
      <c r="AD168" s="154">
        <f t="shared" ca="1" si="7"/>
        <v>44</v>
      </c>
      <c r="AE168" s="154">
        <f>IFERROR(IF(OR(E168="", D168="", LOWER(TRIM(E168))="pending", LOWER(TRIM(D168))="pending"), "Pending", E168 - D168), "Pending")</f>
        <v>11</v>
      </c>
      <c r="AF168" s="138" t="str">
        <f>IFERROR(IF(OR(E168="", D168="","Pending","Pending"), "Pending", IF((E168 - D168) &lt;= 5, "On Time", "Delayed")), "Pending")</f>
        <v>Delayed</v>
      </c>
      <c r="AG168" s="24" t="str">
        <f t="shared" si="8"/>
        <v>Completed</v>
      </c>
    </row>
    <row r="169" spans="1:33">
      <c r="A169" s="24" t="s">
        <v>880</v>
      </c>
      <c r="B169" s="24" t="s">
        <v>327</v>
      </c>
      <c r="C169" s="24" t="s">
        <v>54</v>
      </c>
      <c r="D169" s="30">
        <v>45844</v>
      </c>
      <c r="E169" s="30" t="s">
        <v>640</v>
      </c>
      <c r="F169" s="24" t="str">
        <f>VLOOKUP(B169,Custumer_Master!A:D,2,FALSE)</f>
        <v>Amit Sharma</v>
      </c>
      <c r="G169" s="24" t="str">
        <f>VLOOKUP($B169,Custumer_Master!$A:$J,6,FALSE)</f>
        <v>Male</v>
      </c>
      <c r="H169" s="30" t="str">
        <f>VLOOKUP($B169,Custumer_Master!$A:$J,7,FALSE)</f>
        <v>09/08/1991</v>
      </c>
      <c r="I169" s="24" t="str">
        <f>VLOOKUP($B169,Custumer_Master!$A:$J,9,FALSE)</f>
        <v>Pune</v>
      </c>
      <c r="J169" s="24" t="str">
        <f>VLOOKUP($B169,Custumer_Master!$A:$J,10,FALSE)</f>
        <v>West</v>
      </c>
      <c r="K169" s="24" t="str">
        <f>VLOOKUP(B169,Custumer_Master!A:D,4,FALSE)</f>
        <v>RJ</v>
      </c>
      <c r="L169" s="24" t="str">
        <f>PROPER(TRIM(VLOOKUP('Final Data'!C169,Product_Master!A:F,3,FALSE)))</f>
        <v>Electronics</v>
      </c>
      <c r="M169" s="24" t="s">
        <v>60</v>
      </c>
      <c r="N169" s="34">
        <v>12</v>
      </c>
      <c r="O169" s="192">
        <f>VLOOKUP(C169,Product_Master!A:F,5,FALSE)</f>
        <v>41250</v>
      </c>
      <c r="P169" s="33">
        <v>0.05</v>
      </c>
      <c r="Q169" s="34">
        <f t="shared" si="6"/>
        <v>470250</v>
      </c>
      <c r="R169" s="34">
        <v>4</v>
      </c>
      <c r="S169" s="24" t="s">
        <v>79</v>
      </c>
      <c r="T169" s="24" t="s">
        <v>61</v>
      </c>
      <c r="U169" s="24" t="s">
        <v>332</v>
      </c>
      <c r="V169" s="34">
        <v>9236111271</v>
      </c>
      <c r="W169" s="24" t="str">
        <f>VLOOKUP(C169,Product_Master!A:F,4,FALSE)</f>
        <v>TechHub</v>
      </c>
      <c r="X169" s="34">
        <f>VLOOKUP(C169,Product_Master!A:F,6,FALSE)</f>
        <v>12</v>
      </c>
      <c r="Y169" s="24" t="str">
        <f>VLOOKUP(B169,Custumer_Master!A:D,3,FALSE)</f>
        <v>Silver</v>
      </c>
      <c r="Z169" s="30">
        <f>EDATE(E169,X169)</f>
        <v>46213</v>
      </c>
      <c r="AA169" s="29" t="str">
        <f>VLOOKUP(B169,Custumer_Master!A:K,11,)</f>
        <v>August</v>
      </c>
      <c r="AB169" s="24" t="s">
        <v>2110</v>
      </c>
      <c r="AC169" s="138" t="str">
        <f>PROPER(LEFT(TRIM(F169), 3)) &amp; RIGHT(TRIM(B169), 3) &amp; PROPER(LEFT(TRIM(I169), 2))</f>
        <v>Ami001Pu</v>
      </c>
      <c r="AD169" s="154">
        <f t="shared" ca="1" si="7"/>
        <v>34</v>
      </c>
      <c r="AE169" s="154">
        <f>IFERROR(IF(OR(E169="", D169="", LOWER(TRIM(E169))="pending", LOWER(TRIM(D169))="pending"), "Pending", E169 - D169), "Pending")</f>
        <v>4</v>
      </c>
      <c r="AF169" s="138" t="str">
        <f>IFERROR(IF(OR(E169="", D169="","Pending","Pending"), "Pending", IF((E169 - D169) &lt;= 5, "On Time", "Delayed")), "Pending")</f>
        <v>On Time</v>
      </c>
      <c r="AG169" s="24" t="str">
        <f t="shared" si="8"/>
        <v>Completed</v>
      </c>
    </row>
    <row r="170" spans="1:33">
      <c r="A170" s="24" t="s">
        <v>884</v>
      </c>
      <c r="B170" s="24" t="s">
        <v>53</v>
      </c>
      <c r="C170" s="24" t="s">
        <v>72</v>
      </c>
      <c r="D170" s="30">
        <v>46040</v>
      </c>
      <c r="E170" s="30" t="s">
        <v>483</v>
      </c>
      <c r="F170" s="24" t="str">
        <f>VLOOKUP(B170,Custumer_Master!A:D,2,FALSE)</f>
        <v>Pooja Shah</v>
      </c>
      <c r="G170" s="24" t="str">
        <f>VLOOKUP($B170,Custumer_Master!$A:$J,6,FALSE)</f>
        <v>Female</v>
      </c>
      <c r="H170" s="30" t="str">
        <f>VLOOKUP($B170,Custumer_Master!$A:$J,7,FALSE)</f>
        <v>16/09/1994</v>
      </c>
      <c r="I170" s="24" t="str">
        <f>VLOOKUP($B170,Custumer_Master!$A:$J,9,FALSE)</f>
        <v>Bengaluru</v>
      </c>
      <c r="J170" s="24" t="str">
        <f>VLOOKUP($B170,Custumer_Master!$A:$J,10,FALSE)</f>
        <v>South</v>
      </c>
      <c r="K170" s="24" t="str">
        <f>VLOOKUP(B170,Custumer_Master!A:D,4,FALSE)</f>
        <v>WB</v>
      </c>
      <c r="L170" s="24" t="str">
        <f>PROPER(TRIM(VLOOKUP('Final Data'!C170,Product_Master!A:F,3,FALSE)))</f>
        <v>Electronics</v>
      </c>
      <c r="M170" s="24" t="s">
        <v>78</v>
      </c>
      <c r="N170" s="34">
        <v>6</v>
      </c>
      <c r="O170" s="192">
        <f>VLOOKUP(C170,Product_Master!A:F,5,FALSE)</f>
        <v>900</v>
      </c>
      <c r="P170" s="33">
        <v>0.1</v>
      </c>
      <c r="Q170" s="34">
        <f t="shared" si="6"/>
        <v>4860</v>
      </c>
      <c r="R170" s="34">
        <v>5</v>
      </c>
      <c r="S170" s="24" t="s">
        <v>2148</v>
      </c>
      <c r="T170" s="24" t="s">
        <v>115</v>
      </c>
      <c r="U170" s="24" t="s">
        <v>62</v>
      </c>
      <c r="V170" s="34">
        <v>9402569141</v>
      </c>
      <c r="W170" s="24" t="str">
        <f>VLOOKUP(C170,Product_Master!A:F,4,FALSE)</f>
        <v>TechHub</v>
      </c>
      <c r="X170" s="34">
        <f>VLOOKUP(C170,Product_Master!A:F,6,FALSE)</f>
        <v>6</v>
      </c>
      <c r="Y170" s="24" t="str">
        <f>VLOOKUP(B170,Custumer_Master!A:D,3,FALSE)</f>
        <v>Silver</v>
      </c>
      <c r="Z170" s="30">
        <f>EDATE(E170,X170)</f>
        <v>46229</v>
      </c>
      <c r="AA170" s="29" t="str">
        <f>VLOOKUP(B170,Custumer_Master!A:K,11,)</f>
        <v>September</v>
      </c>
      <c r="AB170" s="24" t="s">
        <v>2108</v>
      </c>
      <c r="AC170" s="138" t="str">
        <f>PROPER(LEFT(TRIM(F170), 3)) &amp; RIGHT(TRIM(B170), 3) &amp; PROPER(LEFT(TRIM(I170), 2))</f>
        <v>Poo010Be</v>
      </c>
      <c r="AD170" s="154">
        <f t="shared" ca="1" si="7"/>
        <v>31</v>
      </c>
      <c r="AE170" s="154">
        <f>IFERROR(IF(OR(E170="", D170="", LOWER(TRIM(E170))="pending", LOWER(TRIM(D170))="pending"), "Pending", E170 - D170), "Pending")</f>
        <v>8</v>
      </c>
      <c r="AF170" s="138" t="str">
        <f>IFERROR(IF(OR(E170="", D170="","Pending","Pending"), "Pending", IF((E170 - D170) &lt;= 5, "On Time", "Delayed")), "Pending")</f>
        <v>Delayed</v>
      </c>
      <c r="AG170" s="24" t="str">
        <f t="shared" si="8"/>
        <v>Completed</v>
      </c>
    </row>
    <row r="171" spans="1:33">
      <c r="A171" s="24" t="s">
        <v>887</v>
      </c>
      <c r="B171" s="24" t="s">
        <v>251</v>
      </c>
      <c r="C171" s="24" t="s">
        <v>169</v>
      </c>
      <c r="D171" s="30">
        <v>45919</v>
      </c>
      <c r="E171" s="30" t="s">
        <v>247</v>
      </c>
      <c r="F171" s="24" t="str">
        <f>VLOOKUP(B171,Custumer_Master!A:D,2,FALSE)</f>
        <v>Sneha Joshi</v>
      </c>
      <c r="G171" s="24" t="str">
        <f>VLOOKUP($B171,Custumer_Master!$A:$J,6,FALSE)</f>
        <v>Female</v>
      </c>
      <c r="H171" s="30" t="str">
        <f>VLOOKUP($B171,Custumer_Master!$A:$J,7,FALSE)</f>
        <v>04/04/1981</v>
      </c>
      <c r="I171" s="24" t="str">
        <f>VLOOKUP($B171,Custumer_Master!$A:$J,9,FALSE)</f>
        <v>Pune</v>
      </c>
      <c r="J171" s="24" t="str">
        <f>VLOOKUP($B171,Custumer_Master!$A:$J,10,FALSE)</f>
        <v>West</v>
      </c>
      <c r="K171" s="24" t="str">
        <f>VLOOKUP(B171,Custumer_Master!A:D,4,FALSE)</f>
        <v>WB</v>
      </c>
      <c r="L171" s="24" t="str">
        <f>PROPER(TRIM(VLOOKUP('Final Data'!C171,Product_Master!A:F,3,FALSE)))</f>
        <v>Home Appliances</v>
      </c>
      <c r="M171" s="24" t="s">
        <v>174</v>
      </c>
      <c r="N171" s="34">
        <v>1</v>
      </c>
      <c r="O171" s="192">
        <f>VLOOKUP(C171,Product_Master!A:F,5,FALSE)</f>
        <v>6375</v>
      </c>
      <c r="P171" s="33">
        <v>0</v>
      </c>
      <c r="Q171" s="34">
        <f t="shared" si="6"/>
        <v>6375</v>
      </c>
      <c r="R171" s="34">
        <v>1</v>
      </c>
      <c r="S171" s="24" t="s">
        <v>2149</v>
      </c>
      <c r="T171" s="24" t="s">
        <v>151</v>
      </c>
      <c r="U171" s="24" t="s">
        <v>256</v>
      </c>
      <c r="V171" s="34">
        <v>9138184056</v>
      </c>
      <c r="W171" s="24" t="str">
        <f>VLOOKUP(C171,Product_Master!A:F,4,FALSE)</f>
        <v>TechHub</v>
      </c>
      <c r="X171" s="34">
        <f>VLOOKUP(C171,Product_Master!A:F,6,FALSE)</f>
        <v>24</v>
      </c>
      <c r="Y171" s="24" t="str">
        <f>VLOOKUP(B171,Custumer_Master!A:D,3,FALSE)</f>
        <v>Gold</v>
      </c>
      <c r="Z171" s="30">
        <f>EDATE(E171,X171)</f>
        <v>46650</v>
      </c>
      <c r="AA171" s="29" t="str">
        <f>VLOOKUP(B171,Custumer_Master!A:K,11,)</f>
        <v>April</v>
      </c>
      <c r="AB171" s="24" t="s">
        <v>2160</v>
      </c>
      <c r="AC171" s="138" t="str">
        <f>PROPER(LEFT(TRIM(F171), 3)) &amp; RIGHT(TRIM(B171), 3) &amp; PROPER(LEFT(TRIM(I171), 2))</f>
        <v>Sne006Pu</v>
      </c>
      <c r="AD171" s="154">
        <f t="shared" ca="1" si="7"/>
        <v>45</v>
      </c>
      <c r="AE171" s="154">
        <f>IFERROR(IF(OR(E171="", D171="", LOWER(TRIM(E171))="pending", LOWER(TRIM(D171))="pending"), "Pending", E171 - D171), "Pending")</f>
        <v>1</v>
      </c>
      <c r="AF171" s="138" t="str">
        <f>IFERROR(IF(OR(E171="", D171="","Pending","Pending"), "Pending", IF((E171 - D171) &lt;= 5, "On Time", "Delayed")), "Pending")</f>
        <v>On Time</v>
      </c>
      <c r="AG171" s="24" t="str">
        <f t="shared" si="8"/>
        <v>Completed</v>
      </c>
    </row>
    <row r="172" spans="1:33">
      <c r="A172" s="24" t="s">
        <v>890</v>
      </c>
      <c r="B172" s="24" t="s">
        <v>127</v>
      </c>
      <c r="C172" s="24" t="s">
        <v>54</v>
      </c>
      <c r="D172" s="30">
        <v>46113</v>
      </c>
      <c r="E172" s="30" t="s">
        <v>892</v>
      </c>
      <c r="F172" s="24" t="str">
        <f>VLOOKUP(B172,Custumer_Master!A:D,2,FALSE)</f>
        <v>Rohit Singh</v>
      </c>
      <c r="G172" s="24" t="str">
        <f>VLOOKUP($B172,Custumer_Master!$A:$J,6,FALSE)</f>
        <v>Male</v>
      </c>
      <c r="H172" s="30" t="str">
        <f>VLOOKUP($B172,Custumer_Master!$A:$J,7,FALSE)</f>
        <v>10/05/1982</v>
      </c>
      <c r="I172" s="24" t="str">
        <f>VLOOKUP($B172,Custumer_Master!$A:$J,9,FALSE)</f>
        <v>Delhi</v>
      </c>
      <c r="J172" s="24" t="str">
        <f>VLOOKUP($B172,Custumer_Master!$A:$J,10,FALSE)</f>
        <v>North</v>
      </c>
      <c r="K172" s="24" t="str">
        <f>VLOOKUP(B172,Custumer_Master!A:D,4,FALSE)</f>
        <v>DL</v>
      </c>
      <c r="L172" s="24" t="str">
        <f>PROPER(TRIM(VLOOKUP('Final Data'!C172,Product_Master!A:F,3,FALSE)))</f>
        <v>Electronics</v>
      </c>
      <c r="M172" s="24" t="s">
        <v>60</v>
      </c>
      <c r="N172" s="34">
        <v>20</v>
      </c>
      <c r="O172" s="192">
        <f>VLOOKUP(C172,Product_Master!A:F,5,FALSE)</f>
        <v>41250</v>
      </c>
      <c r="P172" s="33">
        <v>0.1</v>
      </c>
      <c r="Q172" s="34">
        <f t="shared" si="6"/>
        <v>742500</v>
      </c>
      <c r="R172" s="34">
        <v>5</v>
      </c>
      <c r="S172" s="24" t="s">
        <v>2148</v>
      </c>
      <c r="T172" s="24" t="s">
        <v>151</v>
      </c>
      <c r="U172" s="24" t="s">
        <v>132</v>
      </c>
      <c r="V172" s="34">
        <v>9609598700</v>
      </c>
      <c r="W172" s="24" t="str">
        <f>VLOOKUP(C172,Product_Master!A:F,4,FALSE)</f>
        <v>TechHub</v>
      </c>
      <c r="X172" s="34">
        <f>VLOOKUP(C172,Product_Master!A:F,6,FALSE)</f>
        <v>12</v>
      </c>
      <c r="Y172" s="24" t="str">
        <f>VLOOKUP(B172,Custumer_Master!A:D,3,FALSE)</f>
        <v>Gold</v>
      </c>
      <c r="Z172" s="30">
        <f>EDATE(E172,X172)</f>
        <v>46484</v>
      </c>
      <c r="AA172" s="29" t="str">
        <f>VLOOKUP(B172,Custumer_Master!A:K,11,)</f>
        <v>May</v>
      </c>
      <c r="AB172" s="24" t="s">
        <v>2110</v>
      </c>
      <c r="AC172" s="138" t="str">
        <f>PROPER(LEFT(TRIM(F172), 3)) &amp; RIGHT(TRIM(B172), 3) &amp; PROPER(LEFT(TRIM(I172), 2))</f>
        <v>Roh003De</v>
      </c>
      <c r="AD172" s="154">
        <f t="shared" ca="1" si="7"/>
        <v>44</v>
      </c>
      <c r="AE172" s="154">
        <f>IFERROR(IF(OR(E172="", D172="", LOWER(TRIM(E172))="pending", LOWER(TRIM(D172))="pending"), "Pending", E172 - D172), "Pending")</f>
        <v>6</v>
      </c>
      <c r="AF172" s="138" t="str">
        <f>IFERROR(IF(OR(E172="", D172="","Pending","Pending"), "Pending", IF((E172 - D172) &lt;= 5, "On Time", "Delayed")), "Pending")</f>
        <v>Delayed</v>
      </c>
      <c r="AG172" s="24" t="str">
        <f t="shared" si="8"/>
        <v>Completed</v>
      </c>
    </row>
    <row r="173" spans="1:33">
      <c r="A173" s="24" t="s">
        <v>895</v>
      </c>
      <c r="B173" s="24" t="s">
        <v>221</v>
      </c>
      <c r="C173" s="24" t="s">
        <v>72</v>
      </c>
      <c r="D173" s="30">
        <v>45958</v>
      </c>
      <c r="E173" s="30" t="s">
        <v>896</v>
      </c>
      <c r="F173" s="24" t="str">
        <f>VLOOKUP(B173,Custumer_Master!A:D,2,FALSE)</f>
        <v>Vikas Mehta</v>
      </c>
      <c r="G173" s="24" t="str">
        <f>VLOOKUP($B173,Custumer_Master!$A:$J,6,FALSE)</f>
        <v>Male</v>
      </c>
      <c r="H173" s="30" t="str">
        <f>VLOOKUP($B173,Custumer_Master!$A:$J,7,FALSE)</f>
        <v>03/08/1991</v>
      </c>
      <c r="I173" s="24" t="str">
        <f>VLOOKUP($B173,Custumer_Master!$A:$J,9,FALSE)</f>
        <v>Mumbai</v>
      </c>
      <c r="J173" s="24" t="str">
        <f>VLOOKUP($B173,Custumer_Master!$A:$J,10,FALSE)</f>
        <v>West</v>
      </c>
      <c r="K173" s="24" t="str">
        <f>VLOOKUP(B173,Custumer_Master!A:D,4,FALSE)</f>
        <v>DL</v>
      </c>
      <c r="L173" s="24" t="str">
        <f>PROPER(TRIM(VLOOKUP('Final Data'!C173,Product_Master!A:F,3,FALSE)))</f>
        <v>Electronics</v>
      </c>
      <c r="M173" s="24" t="s">
        <v>78</v>
      </c>
      <c r="N173" s="34">
        <v>8</v>
      </c>
      <c r="O173" s="192">
        <f>VLOOKUP(C173,Product_Master!A:F,5,FALSE)</f>
        <v>900</v>
      </c>
      <c r="P173" s="33">
        <v>0.15</v>
      </c>
      <c r="Q173" s="34">
        <f t="shared" si="6"/>
        <v>6120</v>
      </c>
      <c r="R173" s="34">
        <v>2</v>
      </c>
      <c r="S173" s="24" t="s">
        <v>2149</v>
      </c>
      <c r="T173" s="24" t="s">
        <v>115</v>
      </c>
      <c r="U173" s="24" t="s">
        <v>228</v>
      </c>
      <c r="V173" s="34">
        <v>9385894399</v>
      </c>
      <c r="W173" s="24" t="str">
        <f>VLOOKUP(C173,Product_Master!A:F,4,FALSE)</f>
        <v>TechHub</v>
      </c>
      <c r="X173" s="34">
        <f>VLOOKUP(C173,Product_Master!A:F,6,FALSE)</f>
        <v>6</v>
      </c>
      <c r="Y173" s="24" t="str">
        <f>VLOOKUP(B173,Custumer_Master!A:D,3,FALSE)</f>
        <v>Gold</v>
      </c>
      <c r="Z173" s="30">
        <f>EDATE(E173,X173)</f>
        <v>46141</v>
      </c>
      <c r="AA173" s="29" t="str">
        <f>VLOOKUP(B173,Custumer_Master!A:K,11,)</f>
        <v>August</v>
      </c>
      <c r="AB173" s="24" t="s">
        <v>2160</v>
      </c>
      <c r="AC173" s="138" t="str">
        <f>PROPER(LEFT(TRIM(F173), 3)) &amp; RIGHT(TRIM(B173), 3) &amp; PROPER(LEFT(TRIM(I173), 2))</f>
        <v>Vik005Mu</v>
      </c>
      <c r="AD173" s="154">
        <f t="shared" ca="1" si="7"/>
        <v>34</v>
      </c>
      <c r="AE173" s="154">
        <f>IFERROR(IF(OR(E173="", D173="", LOWER(TRIM(E173))="pending", LOWER(TRIM(D173))="pending"), "Pending", E173 - D173), "Pending")</f>
        <v>1</v>
      </c>
      <c r="AF173" s="138" t="str">
        <f>IFERROR(IF(OR(E173="", D173="","Pending","Pending"), "Pending", IF((E173 - D173) &lt;= 5, "On Time", "Delayed")), "Pending")</f>
        <v>On Time</v>
      </c>
      <c r="AG173" s="24" t="str">
        <f t="shared" si="8"/>
        <v>Completed</v>
      </c>
    </row>
    <row r="174" spans="1:33">
      <c r="A174" s="24" t="s">
        <v>899</v>
      </c>
      <c r="B174" s="24" t="s">
        <v>23</v>
      </c>
      <c r="C174" s="24" t="s">
        <v>92</v>
      </c>
      <c r="D174" s="30">
        <v>45694</v>
      </c>
      <c r="E174" s="30" t="s">
        <v>901</v>
      </c>
      <c r="F174" s="24" t="str">
        <f>VLOOKUP(B174,Custumer_Master!A:D,2,FALSE)</f>
        <v>Kavya Nair</v>
      </c>
      <c r="G174" s="24" t="str">
        <f>VLOOKUP($B174,Custumer_Master!$A:$J,6,FALSE)</f>
        <v>Female</v>
      </c>
      <c r="H174" s="30" t="str">
        <f>VLOOKUP($B174,Custumer_Master!$A:$J,7,FALSE)</f>
        <v>01/08/1976</v>
      </c>
      <c r="I174" s="24" t="str">
        <f>VLOOKUP($B174,Custumer_Master!$A:$J,9,FALSE)</f>
        <v>Hyderabad</v>
      </c>
      <c r="J174" s="24" t="str">
        <f>VLOOKUP($B174,Custumer_Master!$A:$J,10,FALSE)</f>
        <v>South</v>
      </c>
      <c r="K174" s="24" t="str">
        <f>VLOOKUP(B174,Custumer_Master!A:D,4,FALSE)</f>
        <v>WB</v>
      </c>
      <c r="L174" s="24" t="str">
        <f>PROPER(TRIM(VLOOKUP('Final Data'!C174,Product_Master!A:F,3,FALSE)))</f>
        <v>Home Appliances</v>
      </c>
      <c r="M174" s="24" t="s">
        <v>97</v>
      </c>
      <c r="N174" s="34">
        <v>19</v>
      </c>
      <c r="O174" s="192">
        <f>VLOOKUP(C174,Product_Master!A:F,5,FALSE)</f>
        <v>2625</v>
      </c>
      <c r="P174" s="33">
        <v>0.05</v>
      </c>
      <c r="Q174" s="34">
        <f t="shared" si="6"/>
        <v>47381.25</v>
      </c>
      <c r="R174" s="34">
        <v>4</v>
      </c>
      <c r="S174" s="24" t="s">
        <v>2149</v>
      </c>
      <c r="T174" s="24" t="s">
        <v>49</v>
      </c>
      <c r="U174" s="24" t="s">
        <v>50</v>
      </c>
      <c r="V174" s="34">
        <v>9329448011</v>
      </c>
      <c r="W174" s="24" t="str">
        <f>VLOOKUP(C174,Product_Master!A:F,4,FALSE)</f>
        <v>Global Trade</v>
      </c>
      <c r="X174" s="34">
        <f>VLOOKUP(C174,Product_Master!A:F,6,FALSE)</f>
        <v>6</v>
      </c>
      <c r="Y174" s="24" t="str">
        <f>VLOOKUP(B174,Custumer_Master!A:D,3,FALSE)</f>
        <v>Silver</v>
      </c>
      <c r="Z174" s="30">
        <f>EDATE(E174,X174)</f>
        <v>45886</v>
      </c>
      <c r="AA174" s="29" t="str">
        <f>VLOOKUP(B174,Custumer_Master!A:K,11,)</f>
        <v>August</v>
      </c>
      <c r="AB174" s="24" t="s">
        <v>2108</v>
      </c>
      <c r="AC174" s="138" t="str">
        <f>PROPER(LEFT(TRIM(F174), 3)) &amp; RIGHT(TRIM(B174), 3) &amp; PROPER(LEFT(TRIM(I174), 2))</f>
        <v>Kav008Hy</v>
      </c>
      <c r="AD174" s="154">
        <f t="shared" ca="1" si="7"/>
        <v>49</v>
      </c>
      <c r="AE174" s="154">
        <f>IFERROR(IF(OR(E174="", D174="", LOWER(TRIM(E174))="pending", LOWER(TRIM(D174))="pending"), "Pending", E174 - D174), "Pending")</f>
        <v>11</v>
      </c>
      <c r="AF174" s="138" t="str">
        <f>IFERROR(IF(OR(E174="", D174="","Pending","Pending"), "Pending", IF((E174 - D174) &lt;= 5, "On Time", "Delayed")), "Pending")</f>
        <v>Delayed</v>
      </c>
      <c r="AG174" s="24" t="str">
        <f t="shared" si="8"/>
        <v>Completed</v>
      </c>
    </row>
    <row r="175" spans="1:33">
      <c r="A175" s="24" t="s">
        <v>904</v>
      </c>
      <c r="B175" s="24" t="s">
        <v>221</v>
      </c>
      <c r="C175" s="24" t="s">
        <v>259</v>
      </c>
      <c r="D175" s="30">
        <v>45774</v>
      </c>
      <c r="E175" s="30" t="s">
        <v>606</v>
      </c>
      <c r="F175" s="24" t="str">
        <f>VLOOKUP(B175,Custumer_Master!A:D,2,FALSE)</f>
        <v>Vikas Mehta</v>
      </c>
      <c r="G175" s="24" t="str">
        <f>VLOOKUP($B175,Custumer_Master!$A:$J,6,FALSE)</f>
        <v>Male</v>
      </c>
      <c r="H175" s="30" t="str">
        <f>VLOOKUP($B175,Custumer_Master!$A:$J,7,FALSE)</f>
        <v>03/08/1991</v>
      </c>
      <c r="I175" s="24" t="str">
        <f>VLOOKUP($B175,Custumer_Master!$A:$J,9,FALSE)</f>
        <v>Mumbai</v>
      </c>
      <c r="J175" s="24" t="str">
        <f>VLOOKUP($B175,Custumer_Master!$A:$J,10,FALSE)</f>
        <v>West</v>
      </c>
      <c r="K175" s="24" t="str">
        <f>VLOOKUP(B175,Custumer_Master!A:D,4,FALSE)</f>
        <v>DL</v>
      </c>
      <c r="L175" s="24" t="str">
        <f>PROPER(TRIM(VLOOKUP('Final Data'!C175,Product_Master!A:F,3,FALSE)))</f>
        <v>Stationery</v>
      </c>
      <c r="M175" s="24" t="s">
        <v>263</v>
      </c>
      <c r="N175" s="34">
        <v>6</v>
      </c>
      <c r="O175" s="192">
        <f>VLOOKUP(C175,Product_Master!A:F,5,FALSE)</f>
        <v>33.75</v>
      </c>
      <c r="P175" s="33">
        <v>0.2</v>
      </c>
      <c r="Q175" s="34">
        <f t="shared" si="6"/>
        <v>162</v>
      </c>
      <c r="R175" s="34">
        <v>1</v>
      </c>
      <c r="S175" s="24" t="s">
        <v>79</v>
      </c>
      <c r="T175" s="24" t="s">
        <v>49</v>
      </c>
      <c r="U175" s="24" t="s">
        <v>228</v>
      </c>
      <c r="V175" s="34">
        <v>9889544104</v>
      </c>
      <c r="W175" s="24" t="str">
        <f>VLOOKUP(C175,Product_Master!A:F,4,FALSE)</f>
        <v>TechHub</v>
      </c>
      <c r="X175" s="34">
        <f>VLOOKUP(C175,Product_Master!A:F,6,FALSE)</f>
        <v>12</v>
      </c>
      <c r="Y175" s="24" t="str">
        <f>VLOOKUP(B175,Custumer_Master!A:D,3,FALSE)</f>
        <v>Gold</v>
      </c>
      <c r="Z175" s="30">
        <f>EDATE(E175,X175)</f>
        <v>46141</v>
      </c>
      <c r="AA175" s="29" t="str">
        <f>VLOOKUP(B175,Custumer_Master!A:K,11,)</f>
        <v>August</v>
      </c>
      <c r="AB175" s="24" t="s">
        <v>2160</v>
      </c>
      <c r="AC175" s="138" t="str">
        <f>PROPER(LEFT(TRIM(F175), 3)) &amp; RIGHT(TRIM(B175), 3) &amp; PROPER(LEFT(TRIM(I175), 2))</f>
        <v>Vik005Mu</v>
      </c>
      <c r="AD175" s="154">
        <f t="shared" ca="1" si="7"/>
        <v>34</v>
      </c>
      <c r="AE175" s="154">
        <f>IFERROR(IF(OR(E175="", D175="", LOWER(TRIM(E175))="pending", LOWER(TRIM(D175))="pending"), "Pending", E175 - D175), "Pending")</f>
        <v>2</v>
      </c>
      <c r="AF175" s="138" t="str">
        <f>IFERROR(IF(OR(E175="", D175="","Pending","Pending"), "Pending", IF((E175 - D175) &lt;= 5, "On Time", "Delayed")), "Pending")</f>
        <v>On Time</v>
      </c>
      <c r="AG175" s="24" t="str">
        <f t="shared" si="8"/>
        <v>Completed</v>
      </c>
    </row>
    <row r="176" spans="1:33">
      <c r="A176" s="24" t="s">
        <v>909</v>
      </c>
      <c r="B176" s="24" t="s">
        <v>251</v>
      </c>
      <c r="C176" s="24" t="s">
        <v>259</v>
      </c>
      <c r="D176" s="30">
        <v>45730</v>
      </c>
      <c r="E176" s="30" t="s">
        <v>119</v>
      </c>
      <c r="F176" s="24" t="str">
        <f>VLOOKUP(B176,Custumer_Master!A:D,2,FALSE)</f>
        <v>Sneha Joshi</v>
      </c>
      <c r="G176" s="24" t="str">
        <f>VLOOKUP($B176,Custumer_Master!$A:$J,6,FALSE)</f>
        <v>Female</v>
      </c>
      <c r="H176" s="30" t="str">
        <f>VLOOKUP($B176,Custumer_Master!$A:$J,7,FALSE)</f>
        <v>04/04/1981</v>
      </c>
      <c r="I176" s="24" t="str">
        <f>VLOOKUP($B176,Custumer_Master!$A:$J,9,FALSE)</f>
        <v>Pune</v>
      </c>
      <c r="J176" s="24" t="str">
        <f>VLOOKUP($B176,Custumer_Master!$A:$J,10,FALSE)</f>
        <v>West</v>
      </c>
      <c r="K176" s="24" t="str">
        <f>VLOOKUP(B176,Custumer_Master!A:D,4,FALSE)</f>
        <v>WB</v>
      </c>
      <c r="L176" s="24" t="str">
        <f>PROPER(TRIM(VLOOKUP('Final Data'!C176,Product_Master!A:F,3,FALSE)))</f>
        <v>Stationery</v>
      </c>
      <c r="M176" s="24" t="s">
        <v>263</v>
      </c>
      <c r="N176" s="34">
        <v>17</v>
      </c>
      <c r="O176" s="192">
        <f>VLOOKUP(C176,Product_Master!A:F,5,FALSE)</f>
        <v>33.75</v>
      </c>
      <c r="P176" s="33">
        <v>0.15</v>
      </c>
      <c r="Q176" s="34">
        <f t="shared" si="6"/>
        <v>487.6875</v>
      </c>
      <c r="R176" s="34">
        <v>5</v>
      </c>
      <c r="S176" s="24" t="s">
        <v>34</v>
      </c>
      <c r="T176" s="24" t="s">
        <v>115</v>
      </c>
      <c r="U176" s="24" t="s">
        <v>256</v>
      </c>
      <c r="V176" s="34">
        <v>9101861045</v>
      </c>
      <c r="W176" s="24" t="str">
        <f>VLOOKUP(C176,Product_Master!A:F,4,FALSE)</f>
        <v>TechHub</v>
      </c>
      <c r="X176" s="34">
        <f>VLOOKUP(C176,Product_Master!A:F,6,FALSE)</f>
        <v>12</v>
      </c>
      <c r="Y176" s="24" t="str">
        <f>VLOOKUP(B176,Custumer_Master!A:D,3,FALSE)</f>
        <v>Gold</v>
      </c>
      <c r="Z176" s="30">
        <f>EDATE(E176,X176)</f>
        <v>46106</v>
      </c>
      <c r="AA176" s="29" t="str">
        <f>VLOOKUP(B176,Custumer_Master!A:K,11,)</f>
        <v>April</v>
      </c>
      <c r="AB176" s="24" t="s">
        <v>2108</v>
      </c>
      <c r="AC176" s="138" t="str">
        <f>PROPER(LEFT(TRIM(F176), 3)) &amp; RIGHT(TRIM(B176), 3) &amp; PROPER(LEFT(TRIM(I176), 2))</f>
        <v>Sne006Pu</v>
      </c>
      <c r="AD176" s="154">
        <f t="shared" ca="1" si="7"/>
        <v>45</v>
      </c>
      <c r="AE176" s="154">
        <f>IFERROR(IF(OR(E176="", D176="", LOWER(TRIM(E176))="pending", LOWER(TRIM(D176))="pending"), "Pending", E176 - D176), "Pending")</f>
        <v>11</v>
      </c>
      <c r="AF176" s="138" t="str">
        <f>IFERROR(IF(OR(E176="", D176="","Pending","Pending"), "Pending", IF((E176 - D176) &lt;= 5, "On Time", "Delayed")), "Pending")</f>
        <v>Delayed</v>
      </c>
      <c r="AG176" s="24" t="str">
        <f t="shared" si="8"/>
        <v>Completed</v>
      </c>
    </row>
    <row r="177" spans="1:33">
      <c r="A177" s="24" t="s">
        <v>913</v>
      </c>
      <c r="B177" s="24" t="s">
        <v>23</v>
      </c>
      <c r="C177" s="24" t="s">
        <v>222</v>
      </c>
      <c r="D177" s="30">
        <v>45842</v>
      </c>
      <c r="E177" s="30" t="s">
        <v>914</v>
      </c>
      <c r="F177" s="24" t="str">
        <f>VLOOKUP(B177,Custumer_Master!A:D,2,FALSE)</f>
        <v>Kavya Nair</v>
      </c>
      <c r="G177" s="24" t="str">
        <f>VLOOKUP($B177,Custumer_Master!$A:$J,6,FALSE)</f>
        <v>Female</v>
      </c>
      <c r="H177" s="30" t="str">
        <f>VLOOKUP($B177,Custumer_Master!$A:$J,7,FALSE)</f>
        <v>01/08/1976</v>
      </c>
      <c r="I177" s="24" t="str">
        <f>VLOOKUP($B177,Custumer_Master!$A:$J,9,FALSE)</f>
        <v>Hyderabad</v>
      </c>
      <c r="J177" s="24" t="str">
        <f>VLOOKUP($B177,Custumer_Master!$A:$J,10,FALSE)</f>
        <v>South</v>
      </c>
      <c r="K177" s="24" t="str">
        <f>VLOOKUP(B177,Custumer_Master!A:D,4,FALSE)</f>
        <v>WB</v>
      </c>
      <c r="L177" s="24" t="str">
        <f>PROPER(TRIM(VLOOKUP('Final Data'!C177,Product_Master!A:F,3,FALSE)))</f>
        <v>Stationery</v>
      </c>
      <c r="M177" s="24" t="s">
        <v>227</v>
      </c>
      <c r="N177" s="34">
        <v>19</v>
      </c>
      <c r="O177" s="192">
        <f>VLOOKUP(C177,Product_Master!A:F,5,FALSE)</f>
        <v>15</v>
      </c>
      <c r="P177" s="33">
        <v>0.05</v>
      </c>
      <c r="Q177" s="34">
        <f t="shared" si="6"/>
        <v>270.75</v>
      </c>
      <c r="R177" s="34">
        <v>4</v>
      </c>
      <c r="S177" s="24" t="s">
        <v>34</v>
      </c>
      <c r="T177" s="24" t="s">
        <v>35</v>
      </c>
      <c r="U177" s="24" t="s">
        <v>50</v>
      </c>
      <c r="V177" s="34">
        <v>9364712105</v>
      </c>
      <c r="W177" s="24" t="str">
        <f>VLOOKUP(C177,Product_Master!A:F,4,FALSE)</f>
        <v>Prime Supplies</v>
      </c>
      <c r="X177" s="34">
        <f>VLOOKUP(C177,Product_Master!A:F,6,FALSE)</f>
        <v>12</v>
      </c>
      <c r="Y177" s="24" t="str">
        <f>VLOOKUP(B177,Custumer_Master!A:D,3,FALSE)</f>
        <v>Silver</v>
      </c>
      <c r="Z177" s="30">
        <f>EDATE(E177,X177)</f>
        <v>46219</v>
      </c>
      <c r="AA177" s="29" t="str">
        <f>VLOOKUP(B177,Custumer_Master!A:K,11,)</f>
        <v>August</v>
      </c>
      <c r="AB177" s="24" t="s">
        <v>2108</v>
      </c>
      <c r="AC177" s="138" t="str">
        <f>PROPER(LEFT(TRIM(F177), 3)) &amp; RIGHT(TRIM(B177), 3) &amp; PROPER(LEFT(TRIM(I177), 2))</f>
        <v>Kav008Hy</v>
      </c>
      <c r="AD177" s="154">
        <f t="shared" ca="1" si="7"/>
        <v>49</v>
      </c>
      <c r="AE177" s="154">
        <f>IFERROR(IF(OR(E177="", D177="", LOWER(TRIM(E177))="pending", LOWER(TRIM(D177))="pending"), "Pending", E177 - D177), "Pending")</f>
        <v>12</v>
      </c>
      <c r="AF177" s="138" t="str">
        <f>IFERROR(IF(OR(E177="", D177="","Pending","Pending"), "Pending", IF((E177 - D177) &lt;= 5, "On Time", "Delayed")), "Pending")</f>
        <v>Delayed</v>
      </c>
      <c r="AG177" s="24" t="str">
        <f t="shared" si="8"/>
        <v>Completed</v>
      </c>
    </row>
    <row r="178" spans="1:33">
      <c r="A178" s="24" t="s">
        <v>917</v>
      </c>
      <c r="B178" s="24" t="s">
        <v>251</v>
      </c>
      <c r="C178" s="24" t="s">
        <v>222</v>
      </c>
      <c r="D178" s="30">
        <v>45993</v>
      </c>
      <c r="E178" s="30" t="s">
        <v>352</v>
      </c>
      <c r="F178" s="24" t="str">
        <f>VLOOKUP(B178,Custumer_Master!A:D,2,FALSE)</f>
        <v>Sneha Joshi</v>
      </c>
      <c r="G178" s="24" t="str">
        <f>VLOOKUP($B178,Custumer_Master!$A:$J,6,FALSE)</f>
        <v>Female</v>
      </c>
      <c r="H178" s="30" t="str">
        <f>VLOOKUP($B178,Custumer_Master!$A:$J,7,FALSE)</f>
        <v>04/04/1981</v>
      </c>
      <c r="I178" s="24" t="str">
        <f>VLOOKUP($B178,Custumer_Master!$A:$J,9,FALSE)</f>
        <v>Pune</v>
      </c>
      <c r="J178" s="24" t="str">
        <f>VLOOKUP($B178,Custumer_Master!$A:$J,10,FALSE)</f>
        <v>West</v>
      </c>
      <c r="K178" s="24" t="str">
        <f>VLOOKUP(B178,Custumer_Master!A:D,4,FALSE)</f>
        <v>WB</v>
      </c>
      <c r="L178" s="24" t="str">
        <f>PROPER(TRIM(VLOOKUP('Final Data'!C178,Product_Master!A:F,3,FALSE)))</f>
        <v>Stationery</v>
      </c>
      <c r="M178" s="24" t="s">
        <v>227</v>
      </c>
      <c r="N178" s="34">
        <v>11</v>
      </c>
      <c r="O178" s="192">
        <f>VLOOKUP(C178,Product_Master!A:F,5,FALSE)</f>
        <v>15</v>
      </c>
      <c r="P178" s="33">
        <v>0</v>
      </c>
      <c r="Q178" s="34">
        <f t="shared" si="6"/>
        <v>165</v>
      </c>
      <c r="R178" s="34">
        <v>3</v>
      </c>
      <c r="S178" s="24" t="s">
        <v>2148</v>
      </c>
      <c r="T178" s="24" t="s">
        <v>49</v>
      </c>
      <c r="U178" s="24" t="s">
        <v>256</v>
      </c>
      <c r="V178" s="34">
        <v>9950206376</v>
      </c>
      <c r="W178" s="24" t="str">
        <f>VLOOKUP(C178,Product_Master!A:F,4,FALSE)</f>
        <v>Prime Supplies</v>
      </c>
      <c r="X178" s="34">
        <f>VLOOKUP(C178,Product_Master!A:F,6,FALSE)</f>
        <v>12</v>
      </c>
      <c r="Y178" s="24" t="str">
        <f>VLOOKUP(B178,Custumer_Master!A:D,3,FALSE)</f>
        <v>Gold</v>
      </c>
      <c r="Z178" s="30">
        <f>EDATE(E178,X178)</f>
        <v>46359</v>
      </c>
      <c r="AA178" s="29" t="str">
        <f>VLOOKUP(B178,Custumer_Master!A:K,11,)</f>
        <v>April</v>
      </c>
      <c r="AB178" s="24" t="s">
        <v>2108</v>
      </c>
      <c r="AC178" s="138" t="str">
        <f>PROPER(LEFT(TRIM(F178), 3)) &amp; RIGHT(TRIM(B178), 3) &amp; PROPER(LEFT(TRIM(I178), 2))</f>
        <v>Sne006Pu</v>
      </c>
      <c r="AD178" s="154">
        <f t="shared" ca="1" si="7"/>
        <v>45</v>
      </c>
      <c r="AE178" s="154">
        <f>IFERROR(IF(OR(E178="", D178="", LOWER(TRIM(E178))="pending", LOWER(TRIM(D178))="pending"), "Pending", E178 - D178), "Pending")</f>
        <v>1</v>
      </c>
      <c r="AF178" s="138" t="str">
        <f>IFERROR(IF(OR(E178="", D178="","Pending","Pending"), "Pending", IF((E178 - D178) &lt;= 5, "On Time", "Delayed")), "Pending")</f>
        <v>On Time</v>
      </c>
      <c r="AG178" s="24" t="str">
        <f t="shared" si="8"/>
        <v>Completed</v>
      </c>
    </row>
    <row r="179" spans="1:33">
      <c r="A179" s="24" t="s">
        <v>922</v>
      </c>
      <c r="B179" s="24" t="s">
        <v>168</v>
      </c>
      <c r="C179" s="24" t="s">
        <v>118</v>
      </c>
      <c r="D179" s="30">
        <v>46067</v>
      </c>
      <c r="E179" s="30" t="s">
        <v>923</v>
      </c>
      <c r="F179" s="24" t="str">
        <f>VLOOKUP(B179,Custumer_Master!A:D,2,FALSE)</f>
        <v>Anita Gupta</v>
      </c>
      <c r="G179" s="24" t="str">
        <f>VLOOKUP($B179,Custumer_Master!$A:$J,6,FALSE)</f>
        <v>Female</v>
      </c>
      <c r="H179" s="30" t="str">
        <f>VLOOKUP($B179,Custumer_Master!$A:$J,7,FALSE)</f>
        <v>16/01/2002</v>
      </c>
      <c r="I179" s="24" t="str">
        <f>VLOOKUP($B179,Custumer_Master!$A:$J,9,FALSE)</f>
        <v>Pune</v>
      </c>
      <c r="J179" s="24" t="str">
        <f>VLOOKUP($B179,Custumer_Master!$A:$J,10,FALSE)</f>
        <v>West</v>
      </c>
      <c r="K179" s="24" t="str">
        <f>VLOOKUP(B179,Custumer_Master!A:D,4,FALSE)</f>
        <v>WB</v>
      </c>
      <c r="L179" s="24" t="str">
        <f>PROPER(TRIM(VLOOKUP('Final Data'!C179,Product_Master!A:F,3,FALSE)))</f>
        <v>Stationery</v>
      </c>
      <c r="M179" s="24" t="s">
        <v>123</v>
      </c>
      <c r="N179" s="34">
        <v>12</v>
      </c>
      <c r="O179" s="192">
        <f>VLOOKUP(C179,Product_Master!A:F,5,FALSE)</f>
        <v>45</v>
      </c>
      <c r="P179" s="33">
        <v>0</v>
      </c>
      <c r="Q179" s="34">
        <f t="shared" si="6"/>
        <v>540</v>
      </c>
      <c r="R179" s="34">
        <v>2</v>
      </c>
      <c r="S179" s="24" t="s">
        <v>2148</v>
      </c>
      <c r="T179" s="24" t="s">
        <v>49</v>
      </c>
      <c r="U179" s="24" t="s">
        <v>175</v>
      </c>
      <c r="V179" s="34">
        <v>9235822094</v>
      </c>
      <c r="W179" s="24" t="str">
        <f>VLOOKUP(C179,Product_Master!A:F,4,FALSE)</f>
        <v>ABC Corp</v>
      </c>
      <c r="X179" s="34">
        <f>VLOOKUP(C179,Product_Master!A:F,6,FALSE)</f>
        <v>12</v>
      </c>
      <c r="Y179" s="24" t="str">
        <f>VLOOKUP(B179,Custumer_Master!A:D,3,FALSE)</f>
        <v>Gold</v>
      </c>
      <c r="Z179" s="30">
        <f>EDATE(E179,X179)</f>
        <v>46439</v>
      </c>
      <c r="AA179" s="29" t="str">
        <f>VLOOKUP(B179,Custumer_Master!A:K,11,)</f>
        <v>January</v>
      </c>
      <c r="AB179" s="24" t="s">
        <v>2160</v>
      </c>
      <c r="AC179" s="138" t="str">
        <f>PROPER(LEFT(TRIM(F179), 3)) &amp; RIGHT(TRIM(B179), 3) &amp; PROPER(LEFT(TRIM(I179), 2))</f>
        <v>Ani004Pu</v>
      </c>
      <c r="AD179" s="154">
        <f t="shared" ca="1" si="7"/>
        <v>24</v>
      </c>
      <c r="AE179" s="154">
        <f>IFERROR(IF(OR(E179="", D179="", LOWER(TRIM(E179))="pending", LOWER(TRIM(D179))="pending"), "Pending", E179 - D179), "Pending")</f>
        <v>7</v>
      </c>
      <c r="AF179" s="138" t="str">
        <f>IFERROR(IF(OR(E179="", D179="","Pending","Pending"), "Pending", IF((E179 - D179) &lt;= 5, "On Time", "Delayed")), "Pending")</f>
        <v>Delayed</v>
      </c>
      <c r="AG179" s="24" t="str">
        <f t="shared" si="8"/>
        <v>Completed</v>
      </c>
    </row>
    <row r="180" spans="1:33">
      <c r="A180" s="24" t="s">
        <v>926</v>
      </c>
      <c r="B180" s="24" t="s">
        <v>221</v>
      </c>
      <c r="C180" s="24" t="s">
        <v>259</v>
      </c>
      <c r="D180" s="30">
        <v>45970</v>
      </c>
      <c r="E180" s="30" t="s">
        <v>865</v>
      </c>
      <c r="F180" s="24" t="str">
        <f>VLOOKUP(B180,Custumer_Master!A:D,2,FALSE)</f>
        <v>Vikas Mehta</v>
      </c>
      <c r="G180" s="24" t="str">
        <f>VLOOKUP($B180,Custumer_Master!$A:$J,6,FALSE)</f>
        <v>Male</v>
      </c>
      <c r="H180" s="30" t="str">
        <f>VLOOKUP($B180,Custumer_Master!$A:$J,7,FALSE)</f>
        <v>03/08/1991</v>
      </c>
      <c r="I180" s="24" t="str">
        <f>VLOOKUP($B180,Custumer_Master!$A:$J,9,FALSE)</f>
        <v>Mumbai</v>
      </c>
      <c r="J180" s="24" t="str">
        <f>VLOOKUP($B180,Custumer_Master!$A:$J,10,FALSE)</f>
        <v>West</v>
      </c>
      <c r="K180" s="24" t="str">
        <f>VLOOKUP(B180,Custumer_Master!A:D,4,FALSE)</f>
        <v>DL</v>
      </c>
      <c r="L180" s="24" t="str">
        <f>PROPER(TRIM(VLOOKUP('Final Data'!C180,Product_Master!A:F,3,FALSE)))</f>
        <v>Stationery</v>
      </c>
      <c r="M180" s="24" t="s">
        <v>263</v>
      </c>
      <c r="N180" s="34">
        <v>14</v>
      </c>
      <c r="O180" s="192">
        <f>VLOOKUP(C180,Product_Master!A:F,5,FALSE)</f>
        <v>33.75</v>
      </c>
      <c r="P180" s="33">
        <v>0.15</v>
      </c>
      <c r="Q180" s="34">
        <f t="shared" si="6"/>
        <v>401.625</v>
      </c>
      <c r="R180" s="34">
        <v>5</v>
      </c>
      <c r="S180" s="24" t="s">
        <v>2149</v>
      </c>
      <c r="T180" s="24" t="s">
        <v>115</v>
      </c>
      <c r="U180" s="24" t="s">
        <v>228</v>
      </c>
      <c r="V180" s="34">
        <v>9311021344</v>
      </c>
      <c r="W180" s="24" t="str">
        <f>VLOOKUP(C180,Product_Master!A:F,4,FALSE)</f>
        <v>TechHub</v>
      </c>
      <c r="X180" s="34">
        <f>VLOOKUP(C180,Product_Master!A:F,6,FALSE)</f>
        <v>12</v>
      </c>
      <c r="Y180" s="24" t="str">
        <f>VLOOKUP(B180,Custumer_Master!A:D,3,FALSE)</f>
        <v>Gold</v>
      </c>
      <c r="Z180" s="30">
        <f>EDATE(E180,X180)</f>
        <v>46339</v>
      </c>
      <c r="AA180" s="29" t="str">
        <f>VLOOKUP(B180,Custumer_Master!A:K,11,)</f>
        <v>August</v>
      </c>
      <c r="AB180" s="24" t="s">
        <v>2108</v>
      </c>
      <c r="AC180" s="138" t="str">
        <f>PROPER(LEFT(TRIM(F180), 3)) &amp; RIGHT(TRIM(B180), 3) &amp; PROPER(LEFT(TRIM(I180), 2))</f>
        <v>Vik005Mu</v>
      </c>
      <c r="AD180" s="154">
        <f t="shared" ca="1" si="7"/>
        <v>34</v>
      </c>
      <c r="AE180" s="154">
        <f>IFERROR(IF(OR(E180="", D180="", LOWER(TRIM(E180))="pending", LOWER(TRIM(D180))="pending"), "Pending", E180 - D180), "Pending")</f>
        <v>4</v>
      </c>
      <c r="AF180" s="138" t="str">
        <f>IFERROR(IF(OR(E180="", D180="","Pending","Pending"), "Pending", IF((E180 - D180) &lt;= 5, "On Time", "Delayed")), "Pending")</f>
        <v>On Time</v>
      </c>
      <c r="AG180" s="24" t="str">
        <f t="shared" si="8"/>
        <v>Completed</v>
      </c>
    </row>
    <row r="181" spans="1:33">
      <c r="A181" s="24" t="s">
        <v>931</v>
      </c>
      <c r="B181" s="24" t="s">
        <v>23</v>
      </c>
      <c r="C181" s="24" t="s">
        <v>184</v>
      </c>
      <c r="D181" s="30">
        <v>45695</v>
      </c>
      <c r="E181" s="30" t="s">
        <v>303</v>
      </c>
      <c r="F181" s="24" t="str">
        <f>VLOOKUP(B181,Custumer_Master!A:D,2,FALSE)</f>
        <v>Kavya Nair</v>
      </c>
      <c r="G181" s="24" t="str">
        <f>VLOOKUP($B181,Custumer_Master!$A:$J,6,FALSE)</f>
        <v>Female</v>
      </c>
      <c r="H181" s="30" t="str">
        <f>VLOOKUP($B181,Custumer_Master!$A:$J,7,FALSE)</f>
        <v>01/08/1976</v>
      </c>
      <c r="I181" s="24" t="str">
        <f>VLOOKUP($B181,Custumer_Master!$A:$J,9,FALSE)</f>
        <v>Hyderabad</v>
      </c>
      <c r="J181" s="24" t="str">
        <f>VLOOKUP($B181,Custumer_Master!$A:$J,10,FALSE)</f>
        <v>South</v>
      </c>
      <c r="K181" s="24" t="str">
        <f>VLOOKUP(B181,Custumer_Master!A:D,4,FALSE)</f>
        <v>WB</v>
      </c>
      <c r="L181" s="24" t="str">
        <f>PROPER(TRIM(VLOOKUP('Final Data'!C181,Product_Master!A:F,3,FALSE)))</f>
        <v>Electronics</v>
      </c>
      <c r="M181" s="24" t="s">
        <v>189</v>
      </c>
      <c r="N181" s="34">
        <v>15</v>
      </c>
      <c r="O181" s="192">
        <f>VLOOKUP(C181,Product_Master!A:F,5,FALSE)</f>
        <v>525</v>
      </c>
      <c r="P181" s="33">
        <v>0.1</v>
      </c>
      <c r="Q181" s="34">
        <f t="shared" si="6"/>
        <v>7087.5</v>
      </c>
      <c r="R181" s="34">
        <v>3</v>
      </c>
      <c r="S181" s="24" t="s">
        <v>2148</v>
      </c>
      <c r="T181" s="24" t="s">
        <v>49</v>
      </c>
      <c r="U181" s="24" t="s">
        <v>50</v>
      </c>
      <c r="V181" s="34">
        <v>9891358505</v>
      </c>
      <c r="W181" s="24" t="str">
        <f>VLOOKUP(C181,Product_Master!A:F,4,FALSE)</f>
        <v>TechHub</v>
      </c>
      <c r="X181" s="34">
        <f>VLOOKUP(C181,Product_Master!A:F,6,FALSE)</f>
        <v>24</v>
      </c>
      <c r="Y181" s="24" t="str">
        <f>VLOOKUP(B181,Custumer_Master!A:D,3,FALSE)</f>
        <v>Silver</v>
      </c>
      <c r="Z181" s="30">
        <f>EDATE(E181,X181)</f>
        <v>46437</v>
      </c>
      <c r="AA181" s="29" t="str">
        <f>VLOOKUP(B181,Custumer_Master!A:K,11,)</f>
        <v>August</v>
      </c>
      <c r="AB181" s="24" t="s">
        <v>2108</v>
      </c>
      <c r="AC181" s="138" t="str">
        <f>PROPER(LEFT(TRIM(F181), 3)) &amp; RIGHT(TRIM(B181), 3) &amp; PROPER(LEFT(TRIM(I181), 2))</f>
        <v>Kav008Hy</v>
      </c>
      <c r="AD181" s="154">
        <f t="shared" ca="1" si="7"/>
        <v>49</v>
      </c>
      <c r="AE181" s="154">
        <f>IFERROR(IF(OR(E181="", D181="", LOWER(TRIM(E181))="pending", LOWER(TRIM(D181))="pending"), "Pending", E181 - D181), "Pending")</f>
        <v>12</v>
      </c>
      <c r="AF181" s="138" t="str">
        <f>IFERROR(IF(OR(E181="", D181="","Pending","Pending"), "Pending", IF((E181 - D181) &lt;= 5, "On Time", "Delayed")), "Pending")</f>
        <v>Delayed</v>
      </c>
      <c r="AG181" s="24" t="str">
        <f t="shared" si="8"/>
        <v>Completed</v>
      </c>
    </row>
    <row r="182" spans="1:33">
      <c r="A182" s="24" t="s">
        <v>935</v>
      </c>
      <c r="B182" s="24" t="s">
        <v>100</v>
      </c>
      <c r="C182" s="24" t="s">
        <v>169</v>
      </c>
      <c r="D182" s="30">
        <v>45803</v>
      </c>
      <c r="E182" s="30" t="s">
        <v>683</v>
      </c>
      <c r="F182" s="24" t="str">
        <f>VLOOKUP(B182,Custumer_Master!A:D,2,FALSE)</f>
        <v>Priya Patel</v>
      </c>
      <c r="G182" s="24" t="str">
        <f>VLOOKUP($B182,Custumer_Master!$A:$J,6,FALSE)</f>
        <v>Female</v>
      </c>
      <c r="H182" s="30" t="str">
        <f>VLOOKUP($B182,Custumer_Master!$A:$J,7,FALSE)</f>
        <v>07/03/1995</v>
      </c>
      <c r="I182" s="24" t="str">
        <f>VLOOKUP($B182,Custumer_Master!$A:$J,9,FALSE)</f>
        <v>Mumbai</v>
      </c>
      <c r="J182" s="24" t="str">
        <f>VLOOKUP($B182,Custumer_Master!$A:$J,10,FALSE)</f>
        <v>West</v>
      </c>
      <c r="K182" s="24" t="str">
        <f>VLOOKUP(B182,Custumer_Master!A:D,4,FALSE)</f>
        <v>WB</v>
      </c>
      <c r="L182" s="24" t="str">
        <f>PROPER(TRIM(VLOOKUP('Final Data'!C182,Product_Master!A:F,3,FALSE)))</f>
        <v>Home Appliances</v>
      </c>
      <c r="M182" s="24" t="s">
        <v>174</v>
      </c>
      <c r="N182" s="34">
        <v>19</v>
      </c>
      <c r="O182" s="192">
        <f>VLOOKUP(C182,Product_Master!A:F,5,FALSE)</f>
        <v>6375</v>
      </c>
      <c r="P182" s="33">
        <v>0.15</v>
      </c>
      <c r="Q182" s="34">
        <f t="shared" si="6"/>
        <v>102956.25</v>
      </c>
      <c r="R182" s="34">
        <v>2</v>
      </c>
      <c r="S182" s="24" t="s">
        <v>34</v>
      </c>
      <c r="T182" s="24" t="s">
        <v>35</v>
      </c>
      <c r="U182" s="24" t="s">
        <v>144</v>
      </c>
      <c r="V182" s="34">
        <v>9910085332</v>
      </c>
      <c r="W182" s="24" t="str">
        <f>VLOOKUP(C182,Product_Master!A:F,4,FALSE)</f>
        <v>TechHub</v>
      </c>
      <c r="X182" s="34">
        <f>VLOOKUP(C182,Product_Master!A:F,6,FALSE)</f>
        <v>24</v>
      </c>
      <c r="Y182" s="24" t="str">
        <f>VLOOKUP(B182,Custumer_Master!A:D,3,FALSE)</f>
        <v>Platinum</v>
      </c>
      <c r="Z182" s="30">
        <f>EDATE(E182,X182)</f>
        <v>46537</v>
      </c>
      <c r="AA182" s="29" t="str">
        <f>VLOOKUP(B182,Custumer_Master!A:K,11,)</f>
        <v>March</v>
      </c>
      <c r="AB182" s="24" t="s">
        <v>2160</v>
      </c>
      <c r="AC182" s="138" t="str">
        <f>PROPER(LEFT(TRIM(F182), 3)) &amp; RIGHT(TRIM(B182), 3) &amp; PROPER(LEFT(TRIM(I182), 2))</f>
        <v>Pri002Mu</v>
      </c>
      <c r="AD182" s="154">
        <f t="shared" ca="1" si="7"/>
        <v>31</v>
      </c>
      <c r="AE182" s="154">
        <f>IFERROR(IF(OR(E182="", D182="", LOWER(TRIM(E182))="pending", LOWER(TRIM(D182))="pending"), "Pending", E182 - D182), "Pending")</f>
        <v>4</v>
      </c>
      <c r="AF182" s="138" t="str">
        <f>IFERROR(IF(OR(E182="", D182="","Pending","Pending"), "Pending", IF((E182 - D182) &lt;= 5, "On Time", "Delayed")), "Pending")</f>
        <v>On Time</v>
      </c>
      <c r="AG182" s="24" t="str">
        <f t="shared" si="8"/>
        <v>Completed</v>
      </c>
    </row>
    <row r="183" spans="1:33">
      <c r="A183" s="24" t="s">
        <v>939</v>
      </c>
      <c r="B183" s="24" t="s">
        <v>251</v>
      </c>
      <c r="C183" s="24" t="s">
        <v>118</v>
      </c>
      <c r="D183" s="30">
        <v>45934</v>
      </c>
      <c r="E183" s="30" t="s">
        <v>941</v>
      </c>
      <c r="F183" s="24" t="str">
        <f>VLOOKUP(B183,Custumer_Master!A:D,2,FALSE)</f>
        <v>Sneha Joshi</v>
      </c>
      <c r="G183" s="24" t="str">
        <f>VLOOKUP($B183,Custumer_Master!$A:$J,6,FALSE)</f>
        <v>Female</v>
      </c>
      <c r="H183" s="30" t="str">
        <f>VLOOKUP($B183,Custumer_Master!$A:$J,7,FALSE)</f>
        <v>04/04/1981</v>
      </c>
      <c r="I183" s="24" t="str">
        <f>VLOOKUP($B183,Custumer_Master!$A:$J,9,FALSE)</f>
        <v>Pune</v>
      </c>
      <c r="J183" s="24" t="str">
        <f>VLOOKUP($B183,Custumer_Master!$A:$J,10,FALSE)</f>
        <v>West</v>
      </c>
      <c r="K183" s="24" t="str">
        <f>VLOOKUP(B183,Custumer_Master!A:D,4,FALSE)</f>
        <v>WB</v>
      </c>
      <c r="L183" s="24" t="str">
        <f>PROPER(TRIM(VLOOKUP('Final Data'!C183,Product_Master!A:F,3,FALSE)))</f>
        <v>Stationery</v>
      </c>
      <c r="M183" s="24" t="s">
        <v>123</v>
      </c>
      <c r="N183" s="34">
        <v>19</v>
      </c>
      <c r="O183" s="192">
        <f>VLOOKUP(C183,Product_Master!A:F,5,FALSE)</f>
        <v>45</v>
      </c>
      <c r="P183" s="33">
        <v>0.2</v>
      </c>
      <c r="Q183" s="34">
        <f t="shared" si="6"/>
        <v>684</v>
      </c>
      <c r="R183" s="34">
        <v>4</v>
      </c>
      <c r="S183" s="24" t="s">
        <v>79</v>
      </c>
      <c r="T183" s="24" t="s">
        <v>49</v>
      </c>
      <c r="U183" s="24" t="s">
        <v>256</v>
      </c>
      <c r="V183" s="34">
        <v>9756908023</v>
      </c>
      <c r="W183" s="24" t="str">
        <f>VLOOKUP(C183,Product_Master!A:F,4,FALSE)</f>
        <v>ABC Corp</v>
      </c>
      <c r="X183" s="34">
        <f>VLOOKUP(C183,Product_Master!A:F,6,FALSE)</f>
        <v>12</v>
      </c>
      <c r="Y183" s="24" t="str">
        <f>VLOOKUP(B183,Custumer_Master!A:D,3,FALSE)</f>
        <v>Gold</v>
      </c>
      <c r="Z183" s="30">
        <f>EDATE(E183,X183)</f>
        <v>46301</v>
      </c>
      <c r="AA183" s="29" t="str">
        <f>VLOOKUP(B183,Custumer_Master!A:K,11,)</f>
        <v>April</v>
      </c>
      <c r="AB183" s="24" t="s">
        <v>2108</v>
      </c>
      <c r="AC183" s="138" t="str">
        <f>PROPER(LEFT(TRIM(F183), 3)) &amp; RIGHT(TRIM(B183), 3) &amp; PROPER(LEFT(TRIM(I183), 2))</f>
        <v>Sne006Pu</v>
      </c>
      <c r="AD183" s="154">
        <f t="shared" ca="1" si="7"/>
        <v>45</v>
      </c>
      <c r="AE183" s="154">
        <f>IFERROR(IF(OR(E183="", D183="", LOWER(TRIM(E183))="pending", LOWER(TRIM(D183))="pending"), "Pending", E183 - D183), "Pending")</f>
        <v>2</v>
      </c>
      <c r="AF183" s="138" t="str">
        <f>IFERROR(IF(OR(E183="", D183="","Pending","Pending"), "Pending", IF((E183 - D183) &lt;= 5, "On Time", "Delayed")), "Pending")</f>
        <v>On Time</v>
      </c>
      <c r="AG183" s="24" t="str">
        <f t="shared" si="8"/>
        <v>Completed</v>
      </c>
    </row>
    <row r="184" spans="1:33">
      <c r="A184" s="24" t="s">
        <v>943</v>
      </c>
      <c r="B184" s="24" t="s">
        <v>100</v>
      </c>
      <c r="C184" s="24" t="s">
        <v>259</v>
      </c>
      <c r="D184" s="30">
        <v>45792</v>
      </c>
      <c r="E184" s="30" t="s">
        <v>936</v>
      </c>
      <c r="F184" s="24" t="str">
        <f>VLOOKUP(B184,Custumer_Master!A:D,2,FALSE)</f>
        <v>Priya Patel</v>
      </c>
      <c r="G184" s="24" t="str">
        <f>VLOOKUP($B184,Custumer_Master!$A:$J,6,FALSE)</f>
        <v>Female</v>
      </c>
      <c r="H184" s="30" t="str">
        <f>VLOOKUP($B184,Custumer_Master!$A:$J,7,FALSE)</f>
        <v>07/03/1995</v>
      </c>
      <c r="I184" s="24" t="str">
        <f>VLOOKUP($B184,Custumer_Master!$A:$J,9,FALSE)</f>
        <v>Mumbai</v>
      </c>
      <c r="J184" s="24" t="str">
        <f>VLOOKUP($B184,Custumer_Master!$A:$J,10,FALSE)</f>
        <v>West</v>
      </c>
      <c r="K184" s="24" t="str">
        <f>VLOOKUP(B184,Custumer_Master!A:D,4,FALSE)</f>
        <v>WB</v>
      </c>
      <c r="L184" s="24" t="str">
        <f>PROPER(TRIM(VLOOKUP('Final Data'!C184,Product_Master!A:F,3,FALSE)))</f>
        <v>Stationery</v>
      </c>
      <c r="M184" s="24" t="s">
        <v>263</v>
      </c>
      <c r="N184" s="34">
        <v>10</v>
      </c>
      <c r="O184" s="192">
        <f>VLOOKUP(C184,Product_Master!A:F,5,FALSE)</f>
        <v>33.75</v>
      </c>
      <c r="P184" s="33">
        <v>0.15</v>
      </c>
      <c r="Q184" s="34">
        <f t="shared" si="6"/>
        <v>286.875</v>
      </c>
      <c r="R184" s="34">
        <v>4</v>
      </c>
      <c r="S184" s="24" t="s">
        <v>34</v>
      </c>
      <c r="T184" s="24" t="s">
        <v>151</v>
      </c>
      <c r="U184" s="24" t="s">
        <v>144</v>
      </c>
      <c r="V184" s="34">
        <v>9645913247</v>
      </c>
      <c r="W184" s="24" t="str">
        <f>VLOOKUP(C184,Product_Master!A:F,4,FALSE)</f>
        <v>TechHub</v>
      </c>
      <c r="X184" s="34">
        <f>VLOOKUP(C184,Product_Master!A:F,6,FALSE)</f>
        <v>12</v>
      </c>
      <c r="Y184" s="24" t="str">
        <f>VLOOKUP(B184,Custumer_Master!A:D,3,FALSE)</f>
        <v>Platinum</v>
      </c>
      <c r="Z184" s="30">
        <f>EDATE(E184,X184)</f>
        <v>46168</v>
      </c>
      <c r="AA184" s="29" t="str">
        <f>VLOOKUP(B184,Custumer_Master!A:K,11,)</f>
        <v>March</v>
      </c>
      <c r="AB184" s="24" t="s">
        <v>2108</v>
      </c>
      <c r="AC184" s="138" t="str">
        <f>PROPER(LEFT(TRIM(F184), 3)) &amp; RIGHT(TRIM(B184), 3) &amp; PROPER(LEFT(TRIM(I184), 2))</f>
        <v>Pri002Mu</v>
      </c>
      <c r="AD184" s="154">
        <f t="shared" ca="1" si="7"/>
        <v>31</v>
      </c>
      <c r="AE184" s="154">
        <f>IFERROR(IF(OR(E184="", D184="", LOWER(TRIM(E184))="pending", LOWER(TRIM(D184))="pending"), "Pending", E184 - D184), "Pending")</f>
        <v>11</v>
      </c>
      <c r="AF184" s="138" t="str">
        <f>IFERROR(IF(OR(E184="", D184="","Pending","Pending"), "Pending", IF((E184 - D184) &lt;= 5, "On Time", "Delayed")), "Pending")</f>
        <v>Delayed</v>
      </c>
      <c r="AG184" s="24" t="str">
        <f t="shared" si="8"/>
        <v>Completed</v>
      </c>
    </row>
    <row r="185" spans="1:33">
      <c r="A185" s="24" t="s">
        <v>947</v>
      </c>
      <c r="B185" s="24" t="s">
        <v>71</v>
      </c>
      <c r="C185" s="24" t="s">
        <v>24</v>
      </c>
      <c r="D185" s="30">
        <v>45822</v>
      </c>
      <c r="E185" s="30" t="s">
        <v>949</v>
      </c>
      <c r="F185" s="24" t="str">
        <f>VLOOKUP(B185,Custumer_Master!A:D,2,FALSE)</f>
        <v>Mohit Verma</v>
      </c>
      <c r="G185" s="24" t="str">
        <f>VLOOKUP($B185,Custumer_Master!$A:$J,6,FALSE)</f>
        <v>Male</v>
      </c>
      <c r="H185" s="30" t="str">
        <f>VLOOKUP($B185,Custumer_Master!$A:$J,7,FALSE)</f>
        <v>13/04/1976</v>
      </c>
      <c r="I185" s="24" t="str">
        <f>VLOOKUP($B185,Custumer_Master!$A:$J,9,FALSE)</f>
        <v>Delhi</v>
      </c>
      <c r="J185" s="24" t="str">
        <f>VLOOKUP($B185,Custumer_Master!$A:$J,10,FALSE)</f>
        <v>North</v>
      </c>
      <c r="K185" s="24" t="str">
        <f>VLOOKUP(B185,Custumer_Master!A:D,4,FALSE)</f>
        <v>KA</v>
      </c>
      <c r="L185" s="24" t="str">
        <f>PROPER(TRIM(VLOOKUP('Final Data'!C185,Product_Master!A:F,3,FALSE)))</f>
        <v>Home Appliances</v>
      </c>
      <c r="M185" s="24" t="s">
        <v>33</v>
      </c>
      <c r="N185" s="34">
        <v>7</v>
      </c>
      <c r="O185" s="192">
        <f>VLOOKUP(C185,Product_Master!A:F,5,FALSE)</f>
        <v>1650</v>
      </c>
      <c r="P185" s="33">
        <v>0.2</v>
      </c>
      <c r="Q185" s="34">
        <f t="shared" si="6"/>
        <v>9240</v>
      </c>
      <c r="R185" s="34">
        <v>5</v>
      </c>
      <c r="S185" s="24" t="s">
        <v>2149</v>
      </c>
      <c r="T185" s="24" t="s">
        <v>49</v>
      </c>
      <c r="U185" s="24" t="s">
        <v>80</v>
      </c>
      <c r="V185" s="34">
        <v>9806914795</v>
      </c>
      <c r="W185" s="24" t="str">
        <f>VLOOKUP(C185,Product_Master!A:F,4,FALSE)</f>
        <v>Global Trade</v>
      </c>
      <c r="X185" s="34">
        <f>VLOOKUP(C185,Product_Master!A:F,6,FALSE)</f>
        <v>24</v>
      </c>
      <c r="Y185" s="24" t="str">
        <f>VLOOKUP(B185,Custumer_Master!A:D,3,FALSE)</f>
        <v>Platinum</v>
      </c>
      <c r="Z185" s="30">
        <f>EDATE(E185,X185)</f>
        <v>46561</v>
      </c>
      <c r="AA185" s="29" t="str">
        <f>VLOOKUP(B185,Custumer_Master!A:K,11,)</f>
        <v>April</v>
      </c>
      <c r="AB185" s="24" t="s">
        <v>2108</v>
      </c>
      <c r="AC185" s="138" t="str">
        <f>PROPER(LEFT(TRIM(F185), 3)) &amp; RIGHT(TRIM(B185), 3) &amp; PROPER(LEFT(TRIM(I185), 2))</f>
        <v>Moh009De</v>
      </c>
      <c r="AD185" s="154">
        <f t="shared" ca="1" si="7"/>
        <v>50</v>
      </c>
      <c r="AE185" s="154">
        <f>IFERROR(IF(OR(E185="", D185="", LOWER(TRIM(E185))="pending", LOWER(TRIM(D185))="pending"), "Pending", E185 - D185), "Pending")</f>
        <v>9</v>
      </c>
      <c r="AF185" s="138" t="str">
        <f>IFERROR(IF(OR(E185="", D185="","Pending","Pending"), "Pending", IF((E185 - D185) &lt;= 5, "On Time", "Delayed")), "Pending")</f>
        <v>Delayed</v>
      </c>
      <c r="AG185" s="24" t="str">
        <f t="shared" si="8"/>
        <v>Completed</v>
      </c>
    </row>
    <row r="186" spans="1:33">
      <c r="A186" s="24" t="s">
        <v>952</v>
      </c>
      <c r="B186" s="24" t="s">
        <v>100</v>
      </c>
      <c r="C186" s="24" t="s">
        <v>169</v>
      </c>
      <c r="D186" s="30">
        <v>45769</v>
      </c>
      <c r="E186" s="30" t="s">
        <v>42</v>
      </c>
      <c r="F186" s="24" t="str">
        <f>VLOOKUP(B186,Custumer_Master!A:D,2,FALSE)</f>
        <v>Priya Patel</v>
      </c>
      <c r="G186" s="24" t="str">
        <f>VLOOKUP($B186,Custumer_Master!$A:$J,6,FALSE)</f>
        <v>Female</v>
      </c>
      <c r="H186" s="30" t="str">
        <f>VLOOKUP($B186,Custumer_Master!$A:$J,7,FALSE)</f>
        <v>07/03/1995</v>
      </c>
      <c r="I186" s="24" t="str">
        <f>VLOOKUP($B186,Custumer_Master!$A:$J,9,FALSE)</f>
        <v>Mumbai</v>
      </c>
      <c r="J186" s="24" t="str">
        <f>VLOOKUP($B186,Custumer_Master!$A:$J,10,FALSE)</f>
        <v>West</v>
      </c>
      <c r="K186" s="24" t="str">
        <f>VLOOKUP(B186,Custumer_Master!A:D,4,FALSE)</f>
        <v>WB</v>
      </c>
      <c r="L186" s="24" t="str">
        <f>PROPER(TRIM(VLOOKUP('Final Data'!C186,Product_Master!A:F,3,FALSE)))</f>
        <v>Home Appliances</v>
      </c>
      <c r="M186" s="24" t="s">
        <v>174</v>
      </c>
      <c r="N186" s="34">
        <v>20</v>
      </c>
      <c r="O186" s="192">
        <f>VLOOKUP(C186,Product_Master!A:F,5,FALSE)</f>
        <v>6375</v>
      </c>
      <c r="P186" s="33">
        <v>0.2</v>
      </c>
      <c r="Q186" s="34">
        <f t="shared" si="6"/>
        <v>102000</v>
      </c>
      <c r="R186" s="34">
        <v>4</v>
      </c>
      <c r="S186" s="24" t="s">
        <v>2148</v>
      </c>
      <c r="T186" s="24" t="s">
        <v>35</v>
      </c>
      <c r="U186" s="24" t="s">
        <v>144</v>
      </c>
      <c r="V186" s="34">
        <v>9276222829</v>
      </c>
      <c r="W186" s="24" t="str">
        <f>VLOOKUP(C186,Product_Master!A:F,4,FALSE)</f>
        <v>TechHub</v>
      </c>
      <c r="X186" s="34">
        <f>VLOOKUP(C186,Product_Master!A:F,6,FALSE)</f>
        <v>24</v>
      </c>
      <c r="Y186" s="24" t="str">
        <f>VLOOKUP(B186,Custumer_Master!A:D,3,FALSE)</f>
        <v>Platinum</v>
      </c>
      <c r="Z186" s="30">
        <f>EDATE(E186,X186)</f>
        <v>46511</v>
      </c>
      <c r="AA186" s="29" t="str">
        <f>VLOOKUP(B186,Custumer_Master!A:K,11,)</f>
        <v>March</v>
      </c>
      <c r="AB186" s="24" t="s">
        <v>2112</v>
      </c>
      <c r="AC186" s="138" t="str">
        <f>PROPER(LEFT(TRIM(F186), 3)) &amp; RIGHT(TRIM(B186), 3) &amp; PROPER(LEFT(TRIM(I186), 2))</f>
        <v>Pri002Mu</v>
      </c>
      <c r="AD186" s="154">
        <f t="shared" ca="1" si="7"/>
        <v>31</v>
      </c>
      <c r="AE186" s="154">
        <f>IFERROR(IF(OR(E186="", D186="", LOWER(TRIM(E186))="pending", LOWER(TRIM(D186))="pending"), "Pending", E186 - D186), "Pending")</f>
        <v>12</v>
      </c>
      <c r="AF186" s="138" t="str">
        <f>IFERROR(IF(OR(E186="", D186="","Pending","Pending"), "Pending", IF((E186 - D186) &lt;= 5, "On Time", "Delayed")), "Pending")</f>
        <v>Delayed</v>
      </c>
      <c r="AG186" s="24" t="str">
        <f t="shared" si="8"/>
        <v>Completed</v>
      </c>
    </row>
    <row r="187" spans="1:33">
      <c r="A187" s="24" t="s">
        <v>956</v>
      </c>
      <c r="B187" s="24" t="s">
        <v>251</v>
      </c>
      <c r="C187" s="24" t="s">
        <v>24</v>
      </c>
      <c r="D187" s="30">
        <v>45679</v>
      </c>
      <c r="E187" s="30" t="s">
        <v>957</v>
      </c>
      <c r="F187" s="24" t="str">
        <f>VLOOKUP(B187,Custumer_Master!A:D,2,FALSE)</f>
        <v>Sneha Joshi</v>
      </c>
      <c r="G187" s="24" t="str">
        <f>VLOOKUP($B187,Custumer_Master!$A:$J,6,FALSE)</f>
        <v>Female</v>
      </c>
      <c r="H187" s="30" t="str">
        <f>VLOOKUP($B187,Custumer_Master!$A:$J,7,FALSE)</f>
        <v>04/04/1981</v>
      </c>
      <c r="I187" s="24" t="str">
        <f>VLOOKUP($B187,Custumer_Master!$A:$J,9,FALSE)</f>
        <v>Pune</v>
      </c>
      <c r="J187" s="24" t="str">
        <f>VLOOKUP($B187,Custumer_Master!$A:$J,10,FALSE)</f>
        <v>West</v>
      </c>
      <c r="K187" s="24" t="str">
        <f>VLOOKUP(B187,Custumer_Master!A:D,4,FALSE)</f>
        <v>WB</v>
      </c>
      <c r="L187" s="24" t="str">
        <f>PROPER(TRIM(VLOOKUP('Final Data'!C187,Product_Master!A:F,3,FALSE)))</f>
        <v>Home Appliances</v>
      </c>
      <c r="M187" s="24" t="s">
        <v>33</v>
      </c>
      <c r="N187" s="34">
        <v>10</v>
      </c>
      <c r="O187" s="192">
        <f>VLOOKUP(C187,Product_Master!A:F,5,FALSE)</f>
        <v>1650</v>
      </c>
      <c r="P187" s="33">
        <v>0.05</v>
      </c>
      <c r="Q187" s="34">
        <f t="shared" si="6"/>
        <v>15675</v>
      </c>
      <c r="R187" s="34">
        <v>2</v>
      </c>
      <c r="S187" s="24" t="s">
        <v>2148</v>
      </c>
      <c r="T187" s="24" t="s">
        <v>49</v>
      </c>
      <c r="U187" s="24" t="s">
        <v>256</v>
      </c>
      <c r="V187" s="34">
        <v>9533835528</v>
      </c>
      <c r="W187" s="24" t="str">
        <f>VLOOKUP(C187,Product_Master!A:F,4,FALSE)</f>
        <v>Global Trade</v>
      </c>
      <c r="X187" s="34">
        <f>VLOOKUP(C187,Product_Master!A:F,6,FALSE)</f>
        <v>24</v>
      </c>
      <c r="Y187" s="24" t="str">
        <f>VLOOKUP(B187,Custumer_Master!A:D,3,FALSE)</f>
        <v>Gold</v>
      </c>
      <c r="Z187" s="30">
        <f>EDATE(E187,X187)</f>
        <v>46411</v>
      </c>
      <c r="AA187" s="29" t="str">
        <f>VLOOKUP(B187,Custumer_Master!A:K,11,)</f>
        <v>April</v>
      </c>
      <c r="AB187" s="24" t="s">
        <v>2160</v>
      </c>
      <c r="AC187" s="138" t="str">
        <f>PROPER(LEFT(TRIM(F187), 3)) &amp; RIGHT(TRIM(B187), 3) &amp; PROPER(LEFT(TRIM(I187), 2))</f>
        <v>Sne006Pu</v>
      </c>
      <c r="AD187" s="154">
        <f t="shared" ca="1" si="7"/>
        <v>45</v>
      </c>
      <c r="AE187" s="154">
        <f>IFERROR(IF(OR(E187="", D187="", LOWER(TRIM(E187))="pending", LOWER(TRIM(D187))="pending"), "Pending", E187 - D187), "Pending")</f>
        <v>2</v>
      </c>
      <c r="AF187" s="138" t="str">
        <f>IFERROR(IF(OR(E187="", D187="","Pending","Pending"), "Pending", IF((E187 - D187) &lt;= 5, "On Time", "Delayed")), "Pending")</f>
        <v>On Time</v>
      </c>
      <c r="AG187" s="24" t="str">
        <f t="shared" si="8"/>
        <v>Completed</v>
      </c>
    </row>
    <row r="188" spans="1:33">
      <c r="A188" s="24" t="s">
        <v>960</v>
      </c>
      <c r="B188" s="24" t="s">
        <v>127</v>
      </c>
      <c r="C188" s="24" t="s">
        <v>118</v>
      </c>
      <c r="D188" s="30">
        <v>46007</v>
      </c>
      <c r="E188" s="30" t="s">
        <v>961</v>
      </c>
      <c r="F188" s="24" t="str">
        <f>VLOOKUP(B188,Custumer_Master!A:D,2,FALSE)</f>
        <v>Rohit Singh</v>
      </c>
      <c r="G188" s="24" t="str">
        <f>VLOOKUP($B188,Custumer_Master!$A:$J,6,FALSE)</f>
        <v>Male</v>
      </c>
      <c r="H188" s="30" t="str">
        <f>VLOOKUP($B188,Custumer_Master!$A:$J,7,FALSE)</f>
        <v>10/05/1982</v>
      </c>
      <c r="I188" s="24" t="str">
        <f>VLOOKUP($B188,Custumer_Master!$A:$J,9,FALSE)</f>
        <v>Delhi</v>
      </c>
      <c r="J188" s="24" t="str">
        <f>VLOOKUP($B188,Custumer_Master!$A:$J,10,FALSE)</f>
        <v>North</v>
      </c>
      <c r="K188" s="24" t="str">
        <f>VLOOKUP(B188,Custumer_Master!A:D,4,FALSE)</f>
        <v>DL</v>
      </c>
      <c r="L188" s="24" t="str">
        <f>PROPER(TRIM(VLOOKUP('Final Data'!C188,Product_Master!A:F,3,FALSE)))</f>
        <v>Stationery</v>
      </c>
      <c r="M188" s="24" t="s">
        <v>123</v>
      </c>
      <c r="N188" s="34">
        <v>15</v>
      </c>
      <c r="O188" s="192">
        <f>VLOOKUP(C188,Product_Master!A:F,5,FALSE)</f>
        <v>45</v>
      </c>
      <c r="P188" s="33">
        <v>0.2</v>
      </c>
      <c r="Q188" s="34">
        <f t="shared" si="6"/>
        <v>540</v>
      </c>
      <c r="R188" s="34">
        <v>1</v>
      </c>
      <c r="S188" s="24" t="s">
        <v>79</v>
      </c>
      <c r="T188" s="24" t="s">
        <v>35</v>
      </c>
      <c r="U188" s="24" t="s">
        <v>132</v>
      </c>
      <c r="V188" s="34">
        <v>9654885820</v>
      </c>
      <c r="W188" s="24" t="str">
        <f>VLOOKUP(C188,Product_Master!A:F,4,FALSE)</f>
        <v>ABC Corp</v>
      </c>
      <c r="X188" s="34">
        <f>VLOOKUP(C188,Product_Master!A:F,6,FALSE)</f>
        <v>12</v>
      </c>
      <c r="Y188" s="24" t="str">
        <f>VLOOKUP(B188,Custumer_Master!A:D,3,FALSE)</f>
        <v>Gold</v>
      </c>
      <c r="Z188" s="30">
        <f>EDATE(E188,X188)</f>
        <v>46382</v>
      </c>
      <c r="AA188" s="29" t="str">
        <f>VLOOKUP(B188,Custumer_Master!A:K,11,)</f>
        <v>May</v>
      </c>
      <c r="AB188" s="24" t="s">
        <v>2160</v>
      </c>
      <c r="AC188" s="138" t="str">
        <f>PROPER(LEFT(TRIM(F188), 3)) &amp; RIGHT(TRIM(B188), 3) &amp; PROPER(LEFT(TRIM(I188), 2))</f>
        <v>Roh003De</v>
      </c>
      <c r="AD188" s="154">
        <f t="shared" ca="1" si="7"/>
        <v>44</v>
      </c>
      <c r="AE188" s="154">
        <f>IFERROR(IF(OR(E188="", D188="", LOWER(TRIM(E188))="pending", LOWER(TRIM(D188))="pending"), "Pending", E188 - D188), "Pending")</f>
        <v>10</v>
      </c>
      <c r="AF188" s="138" t="str">
        <f>IFERROR(IF(OR(E188="", D188="","Pending","Pending"), "Pending", IF((E188 - D188) &lt;= 5, "On Time", "Delayed")), "Pending")</f>
        <v>Delayed</v>
      </c>
      <c r="AG188" s="24" t="str">
        <f t="shared" si="8"/>
        <v>Completed</v>
      </c>
    </row>
    <row r="189" spans="1:33">
      <c r="A189" s="24" t="s">
        <v>964</v>
      </c>
      <c r="B189" s="24" t="s">
        <v>221</v>
      </c>
      <c r="C189" s="24" t="s">
        <v>92</v>
      </c>
      <c r="D189" s="30">
        <v>45832</v>
      </c>
      <c r="E189" s="30" t="s">
        <v>965</v>
      </c>
      <c r="F189" s="24" t="str">
        <f>VLOOKUP(B189,Custumer_Master!A:D,2,FALSE)</f>
        <v>Vikas Mehta</v>
      </c>
      <c r="G189" s="24" t="str">
        <f>VLOOKUP($B189,Custumer_Master!$A:$J,6,FALSE)</f>
        <v>Male</v>
      </c>
      <c r="H189" s="30" t="str">
        <f>VLOOKUP($B189,Custumer_Master!$A:$J,7,FALSE)</f>
        <v>03/08/1991</v>
      </c>
      <c r="I189" s="24" t="str">
        <f>VLOOKUP($B189,Custumer_Master!$A:$J,9,FALSE)</f>
        <v>Mumbai</v>
      </c>
      <c r="J189" s="24" t="str">
        <f>VLOOKUP($B189,Custumer_Master!$A:$J,10,FALSE)</f>
        <v>West</v>
      </c>
      <c r="K189" s="24" t="str">
        <f>VLOOKUP(B189,Custumer_Master!A:D,4,FALSE)</f>
        <v>DL</v>
      </c>
      <c r="L189" s="24" t="str">
        <f>PROPER(TRIM(VLOOKUP('Final Data'!C189,Product_Master!A:F,3,FALSE)))</f>
        <v>Home Appliances</v>
      </c>
      <c r="M189" s="24" t="s">
        <v>97</v>
      </c>
      <c r="N189" s="34">
        <v>18</v>
      </c>
      <c r="O189" s="192">
        <f>VLOOKUP(C189,Product_Master!A:F,5,FALSE)</f>
        <v>2625</v>
      </c>
      <c r="P189" s="33">
        <v>0.05</v>
      </c>
      <c r="Q189" s="34">
        <f t="shared" si="6"/>
        <v>44887.5</v>
      </c>
      <c r="R189" s="34">
        <v>1</v>
      </c>
      <c r="S189" s="24" t="s">
        <v>79</v>
      </c>
      <c r="T189" s="24" t="s">
        <v>49</v>
      </c>
      <c r="U189" s="24" t="s">
        <v>228</v>
      </c>
      <c r="V189" s="34">
        <v>9456029544</v>
      </c>
      <c r="W189" s="24" t="str">
        <f>VLOOKUP(C189,Product_Master!A:F,4,FALSE)</f>
        <v>Global Trade</v>
      </c>
      <c r="X189" s="34">
        <f>VLOOKUP(C189,Product_Master!A:F,6,FALSE)</f>
        <v>6</v>
      </c>
      <c r="Y189" s="24" t="str">
        <f>VLOOKUP(B189,Custumer_Master!A:D,3,FALSE)</f>
        <v>Gold</v>
      </c>
      <c r="Z189" s="30">
        <f>EDATE(E189,X189)</f>
        <v>46019</v>
      </c>
      <c r="AA189" s="29" t="str">
        <f>VLOOKUP(B189,Custumer_Master!A:K,11,)</f>
        <v>August</v>
      </c>
      <c r="AB189" s="24" t="s">
        <v>2160</v>
      </c>
      <c r="AC189" s="138" t="str">
        <f>PROPER(LEFT(TRIM(F189), 3)) &amp; RIGHT(TRIM(B189), 3) &amp; PROPER(LEFT(TRIM(I189), 2))</f>
        <v>Vik005Mu</v>
      </c>
      <c r="AD189" s="154">
        <f t="shared" ca="1" si="7"/>
        <v>34</v>
      </c>
      <c r="AE189" s="154">
        <f>IFERROR(IF(OR(E189="", D189="", LOWER(TRIM(E189))="pending", LOWER(TRIM(D189))="pending"), "Pending", E189 - D189), "Pending")</f>
        <v>4</v>
      </c>
      <c r="AF189" s="138" t="str">
        <f>IFERROR(IF(OR(E189="", D189="","Pending","Pending"), "Pending", IF((E189 - D189) &lt;= 5, "On Time", "Delayed")), "Pending")</f>
        <v>On Time</v>
      </c>
      <c r="AG189" s="24" t="str">
        <f t="shared" si="8"/>
        <v>Completed</v>
      </c>
    </row>
    <row r="190" spans="1:33">
      <c r="A190" s="24" t="s">
        <v>968</v>
      </c>
      <c r="B190" s="24" t="s">
        <v>327</v>
      </c>
      <c r="C190" s="24" t="s">
        <v>40</v>
      </c>
      <c r="D190" s="30">
        <v>46154</v>
      </c>
      <c r="E190" s="30" t="s">
        <v>970</v>
      </c>
      <c r="F190" s="24" t="str">
        <f>VLOOKUP(B190,Custumer_Master!A:D,2,FALSE)</f>
        <v>Amit Sharma</v>
      </c>
      <c r="G190" s="24" t="str">
        <f>VLOOKUP($B190,Custumer_Master!$A:$J,6,FALSE)</f>
        <v>Male</v>
      </c>
      <c r="H190" s="30" t="str">
        <f>VLOOKUP($B190,Custumer_Master!$A:$J,7,FALSE)</f>
        <v>09/08/1991</v>
      </c>
      <c r="I190" s="24" t="str">
        <f>VLOOKUP($B190,Custumer_Master!$A:$J,9,FALSE)</f>
        <v>Pune</v>
      </c>
      <c r="J190" s="24" t="str">
        <f>VLOOKUP($B190,Custumer_Master!$A:$J,10,FALSE)</f>
        <v>West</v>
      </c>
      <c r="K190" s="24" t="str">
        <f>VLOOKUP(B190,Custumer_Master!A:D,4,FALSE)</f>
        <v>RJ</v>
      </c>
      <c r="L190" s="24" t="str">
        <f>PROPER(TRIM(VLOOKUP('Final Data'!C190,Product_Master!A:F,3,FALSE)))</f>
        <v>Electronics</v>
      </c>
      <c r="M190" s="24" t="s">
        <v>47</v>
      </c>
      <c r="N190" s="34">
        <v>6</v>
      </c>
      <c r="O190" s="192">
        <f>VLOOKUP(C190,Product_Master!A:F,5,FALSE)</f>
        <v>9000</v>
      </c>
      <c r="P190" s="33">
        <v>0.05</v>
      </c>
      <c r="Q190" s="34">
        <f t="shared" si="6"/>
        <v>51300</v>
      </c>
      <c r="R190" s="34">
        <v>1</v>
      </c>
      <c r="S190" s="24" t="s">
        <v>2148</v>
      </c>
      <c r="T190" s="24" t="s">
        <v>49</v>
      </c>
      <c r="U190" s="24" t="s">
        <v>332</v>
      </c>
      <c r="V190" s="34">
        <v>9914571493</v>
      </c>
      <c r="W190" s="24" t="str">
        <f>VLOOKUP(C190,Product_Master!A:F,4,FALSE)</f>
        <v>Global Trade</v>
      </c>
      <c r="X190" s="34">
        <f>VLOOKUP(C190,Product_Master!A:F,6,FALSE)</f>
        <v>24</v>
      </c>
      <c r="Y190" s="24" t="str">
        <f>VLOOKUP(B190,Custumer_Master!A:D,3,FALSE)</f>
        <v>Silver</v>
      </c>
      <c r="Z190" s="30">
        <f>EDATE(E190,X190)</f>
        <v>46895</v>
      </c>
      <c r="AA190" s="29" t="str">
        <f>VLOOKUP(B190,Custumer_Master!A:K,11,)</f>
        <v>August</v>
      </c>
      <c r="AB190" s="24" t="s">
        <v>2160</v>
      </c>
      <c r="AC190" s="138" t="str">
        <f>PROPER(LEFT(TRIM(F190), 3)) &amp; RIGHT(TRIM(B190), 3) &amp; PROPER(LEFT(TRIM(I190), 2))</f>
        <v>Ami001Pu</v>
      </c>
      <c r="AD190" s="154">
        <f t="shared" ca="1" si="7"/>
        <v>34</v>
      </c>
      <c r="AE190" s="154">
        <f>IFERROR(IF(OR(E190="", D190="", LOWER(TRIM(E190))="pending", LOWER(TRIM(D190))="pending"), "Pending", E190 - D190), "Pending")</f>
        <v>10</v>
      </c>
      <c r="AF190" s="138" t="str">
        <f>IFERROR(IF(OR(E190="", D190="","Pending","Pending"), "Pending", IF((E190 - D190) &lt;= 5, "On Time", "Delayed")), "Pending")</f>
        <v>Delayed</v>
      </c>
      <c r="AG190" s="24" t="str">
        <f t="shared" si="8"/>
        <v>Completed</v>
      </c>
    </row>
    <row r="191" spans="1:33">
      <c r="A191" s="24" t="s">
        <v>973</v>
      </c>
      <c r="B191" s="24" t="s">
        <v>327</v>
      </c>
      <c r="C191" s="24" t="s">
        <v>222</v>
      </c>
      <c r="D191" s="30">
        <v>46067</v>
      </c>
      <c r="E191" s="30" t="s">
        <v>479</v>
      </c>
      <c r="F191" s="24" t="str">
        <f>VLOOKUP(B191,Custumer_Master!A:D,2,FALSE)</f>
        <v>Amit Sharma</v>
      </c>
      <c r="G191" s="24" t="str">
        <f>VLOOKUP($B191,Custumer_Master!$A:$J,6,FALSE)</f>
        <v>Male</v>
      </c>
      <c r="H191" s="30" t="str">
        <f>VLOOKUP($B191,Custumer_Master!$A:$J,7,FALSE)</f>
        <v>09/08/1991</v>
      </c>
      <c r="I191" s="24" t="str">
        <f>VLOOKUP($B191,Custumer_Master!$A:$J,9,FALSE)</f>
        <v>Pune</v>
      </c>
      <c r="J191" s="24" t="str">
        <f>VLOOKUP($B191,Custumer_Master!$A:$J,10,FALSE)</f>
        <v>West</v>
      </c>
      <c r="K191" s="24" t="str">
        <f>VLOOKUP(B191,Custumer_Master!A:D,4,FALSE)</f>
        <v>RJ</v>
      </c>
      <c r="L191" s="24" t="str">
        <f>PROPER(TRIM(VLOOKUP('Final Data'!C191,Product_Master!A:F,3,FALSE)))</f>
        <v>Stationery</v>
      </c>
      <c r="M191" s="24" t="s">
        <v>227</v>
      </c>
      <c r="N191" s="34">
        <v>19</v>
      </c>
      <c r="O191" s="192">
        <f>VLOOKUP(C191,Product_Master!A:F,5,FALSE)</f>
        <v>15</v>
      </c>
      <c r="P191" s="33">
        <v>0.1</v>
      </c>
      <c r="Q191" s="34">
        <f t="shared" si="6"/>
        <v>256.5</v>
      </c>
      <c r="R191" s="34">
        <v>2</v>
      </c>
      <c r="S191" s="24" t="s">
        <v>2148</v>
      </c>
      <c r="T191" s="24" t="s">
        <v>35</v>
      </c>
      <c r="U191" s="24" t="s">
        <v>332</v>
      </c>
      <c r="V191" s="34">
        <v>9270726986</v>
      </c>
      <c r="W191" s="24" t="str">
        <f>VLOOKUP(C191,Product_Master!A:F,4,FALSE)</f>
        <v>Prime Supplies</v>
      </c>
      <c r="X191" s="34">
        <f>VLOOKUP(C191,Product_Master!A:F,6,FALSE)</f>
        <v>12</v>
      </c>
      <c r="Y191" s="24" t="str">
        <f>VLOOKUP(B191,Custumer_Master!A:D,3,FALSE)</f>
        <v>Silver</v>
      </c>
      <c r="Z191" s="30">
        <f>EDATE(E191,X191)</f>
        <v>46434</v>
      </c>
      <c r="AA191" s="29" t="str">
        <f>VLOOKUP(B191,Custumer_Master!A:K,11,)</f>
        <v>August</v>
      </c>
      <c r="AB191" s="24" t="s">
        <v>2160</v>
      </c>
      <c r="AC191" s="138" t="str">
        <f>PROPER(LEFT(TRIM(F191), 3)) &amp; RIGHT(TRIM(B191), 3) &amp; PROPER(LEFT(TRIM(I191), 2))</f>
        <v>Ami001Pu</v>
      </c>
      <c r="AD191" s="154">
        <f t="shared" ca="1" si="7"/>
        <v>34</v>
      </c>
      <c r="AE191" s="154">
        <f>IFERROR(IF(OR(E191="", D191="", LOWER(TRIM(E191))="pending", LOWER(TRIM(D191))="pending"), "Pending", E191 - D191), "Pending")</f>
        <v>2</v>
      </c>
      <c r="AF191" s="138" t="str">
        <f>IFERROR(IF(OR(E191="", D191="","Pending","Pending"), "Pending", IF((E191 - D191) &lt;= 5, "On Time", "Delayed")), "Pending")</f>
        <v>On Time</v>
      </c>
      <c r="AG191" s="24" t="str">
        <f t="shared" si="8"/>
        <v>Completed</v>
      </c>
    </row>
    <row r="192" spans="1:33">
      <c r="A192" s="24" t="s">
        <v>976</v>
      </c>
      <c r="B192" s="24" t="s">
        <v>221</v>
      </c>
      <c r="C192" s="24" t="s">
        <v>24</v>
      </c>
      <c r="D192" s="30">
        <v>46155</v>
      </c>
      <c r="E192" s="30" t="s">
        <v>427</v>
      </c>
      <c r="F192" s="24" t="str">
        <f>VLOOKUP(B192,Custumer_Master!A:D,2,FALSE)</f>
        <v>Vikas Mehta</v>
      </c>
      <c r="G192" s="24" t="str">
        <f>VLOOKUP($B192,Custumer_Master!$A:$J,6,FALSE)</f>
        <v>Male</v>
      </c>
      <c r="H192" s="30" t="str">
        <f>VLOOKUP($B192,Custumer_Master!$A:$J,7,FALSE)</f>
        <v>03/08/1991</v>
      </c>
      <c r="I192" s="24" t="str">
        <f>VLOOKUP($B192,Custumer_Master!$A:$J,9,FALSE)</f>
        <v>Mumbai</v>
      </c>
      <c r="J192" s="24" t="str">
        <f>VLOOKUP($B192,Custumer_Master!$A:$J,10,FALSE)</f>
        <v>West</v>
      </c>
      <c r="K192" s="24" t="str">
        <f>VLOOKUP(B192,Custumer_Master!A:D,4,FALSE)</f>
        <v>DL</v>
      </c>
      <c r="L192" s="24" t="str">
        <f>PROPER(TRIM(VLOOKUP('Final Data'!C192,Product_Master!A:F,3,FALSE)))</f>
        <v>Home Appliances</v>
      </c>
      <c r="M192" s="24" t="s">
        <v>33</v>
      </c>
      <c r="N192" s="34">
        <v>7</v>
      </c>
      <c r="O192" s="192">
        <f>VLOOKUP(C192,Product_Master!A:F,5,FALSE)</f>
        <v>1650</v>
      </c>
      <c r="P192" s="33">
        <v>0</v>
      </c>
      <c r="Q192" s="34">
        <f t="shared" si="6"/>
        <v>11550</v>
      </c>
      <c r="R192" s="34">
        <v>1</v>
      </c>
      <c r="S192" s="24" t="s">
        <v>79</v>
      </c>
      <c r="T192" s="24" t="s">
        <v>115</v>
      </c>
      <c r="U192" s="24" t="s">
        <v>228</v>
      </c>
      <c r="V192" s="34">
        <v>9570080664</v>
      </c>
      <c r="W192" s="24" t="str">
        <f>VLOOKUP(C192,Product_Master!A:F,4,FALSE)</f>
        <v>Global Trade</v>
      </c>
      <c r="X192" s="34">
        <f>VLOOKUP(C192,Product_Master!A:F,6,FALSE)</f>
        <v>24</v>
      </c>
      <c r="Y192" s="24" t="str">
        <f>VLOOKUP(B192,Custumer_Master!A:D,3,FALSE)</f>
        <v>Gold</v>
      </c>
      <c r="Z192" s="30">
        <f>EDATE(E192,X192)</f>
        <v>46893</v>
      </c>
      <c r="AA192" s="29" t="str">
        <f>VLOOKUP(B192,Custumer_Master!A:K,11,)</f>
        <v>August</v>
      </c>
      <c r="AB192" s="24" t="s">
        <v>2160</v>
      </c>
      <c r="AC192" s="138" t="str">
        <f>PROPER(LEFT(TRIM(F192), 3)) &amp; RIGHT(TRIM(B192), 3) &amp; PROPER(LEFT(TRIM(I192), 2))</f>
        <v>Vik005Mu</v>
      </c>
      <c r="AD192" s="154">
        <f t="shared" ca="1" si="7"/>
        <v>34</v>
      </c>
      <c r="AE192" s="154">
        <f>IFERROR(IF(OR(E192="", D192="", LOWER(TRIM(E192))="pending", LOWER(TRIM(D192))="pending"), "Pending", E192 - D192), "Pending")</f>
        <v>7</v>
      </c>
      <c r="AF192" s="138" t="str">
        <f>IFERROR(IF(OR(E192="", D192="","Pending","Pending"), "Pending", IF((E192 - D192) &lt;= 5, "On Time", "Delayed")), "Pending")</f>
        <v>Delayed</v>
      </c>
      <c r="AG192" s="24" t="str">
        <f t="shared" si="8"/>
        <v>Completed</v>
      </c>
    </row>
    <row r="193" spans="1:33">
      <c r="A193" s="24" t="s">
        <v>979</v>
      </c>
      <c r="B193" s="24" t="s">
        <v>327</v>
      </c>
      <c r="C193" s="24" t="s">
        <v>40</v>
      </c>
      <c r="D193" s="30">
        <v>45977</v>
      </c>
      <c r="E193" s="30" t="s">
        <v>980</v>
      </c>
      <c r="F193" s="24" t="str">
        <f>VLOOKUP(B193,Custumer_Master!A:D,2,FALSE)</f>
        <v>Amit Sharma</v>
      </c>
      <c r="G193" s="24" t="str">
        <f>VLOOKUP($B193,Custumer_Master!$A:$J,6,FALSE)</f>
        <v>Male</v>
      </c>
      <c r="H193" s="30" t="str">
        <f>VLOOKUP($B193,Custumer_Master!$A:$J,7,FALSE)</f>
        <v>09/08/1991</v>
      </c>
      <c r="I193" s="24" t="str">
        <f>VLOOKUP($B193,Custumer_Master!$A:$J,9,FALSE)</f>
        <v>Pune</v>
      </c>
      <c r="J193" s="24" t="str">
        <f>VLOOKUP($B193,Custumer_Master!$A:$J,10,FALSE)</f>
        <v>West</v>
      </c>
      <c r="K193" s="24" t="str">
        <f>VLOOKUP(B193,Custumer_Master!A:D,4,FALSE)</f>
        <v>RJ</v>
      </c>
      <c r="L193" s="24" t="str">
        <f>PROPER(TRIM(VLOOKUP('Final Data'!C193,Product_Master!A:F,3,FALSE)))</f>
        <v>Electronics</v>
      </c>
      <c r="M193" s="24" t="s">
        <v>47</v>
      </c>
      <c r="N193" s="34">
        <v>3</v>
      </c>
      <c r="O193" s="192">
        <f>VLOOKUP(C193,Product_Master!A:F,5,FALSE)</f>
        <v>9000</v>
      </c>
      <c r="P193" s="33">
        <v>0.05</v>
      </c>
      <c r="Q193" s="34">
        <f t="shared" si="6"/>
        <v>25650</v>
      </c>
      <c r="R193" s="34">
        <v>3</v>
      </c>
      <c r="S193" s="24" t="s">
        <v>79</v>
      </c>
      <c r="T193" s="24" t="s">
        <v>61</v>
      </c>
      <c r="U193" s="24" t="s">
        <v>332</v>
      </c>
      <c r="V193" s="34">
        <v>9109009524</v>
      </c>
      <c r="W193" s="24" t="str">
        <f>VLOOKUP(C193,Product_Master!A:F,4,FALSE)</f>
        <v>Global Trade</v>
      </c>
      <c r="X193" s="34">
        <f>VLOOKUP(C193,Product_Master!A:F,6,FALSE)</f>
        <v>24</v>
      </c>
      <c r="Y193" s="24" t="str">
        <f>VLOOKUP(B193,Custumer_Master!A:D,3,FALSE)</f>
        <v>Silver</v>
      </c>
      <c r="Z193" s="30">
        <f>EDATE(E193,X193)</f>
        <v>46711</v>
      </c>
      <c r="AA193" s="29" t="str">
        <f>VLOOKUP(B193,Custumer_Master!A:K,11,)</f>
        <v>August</v>
      </c>
      <c r="AB193" s="24" t="s">
        <v>2108</v>
      </c>
      <c r="AC193" s="138" t="str">
        <f>PROPER(LEFT(TRIM(F193), 3)) &amp; RIGHT(TRIM(B193), 3) &amp; PROPER(LEFT(TRIM(I193), 2))</f>
        <v>Ami001Pu</v>
      </c>
      <c r="AD193" s="154">
        <f t="shared" ca="1" si="7"/>
        <v>34</v>
      </c>
      <c r="AE193" s="154">
        <f>IFERROR(IF(OR(E193="", D193="", LOWER(TRIM(E193))="pending", LOWER(TRIM(D193))="pending"), "Pending", E193 - D193), "Pending")</f>
        <v>4</v>
      </c>
      <c r="AF193" s="138" t="str">
        <f>IFERROR(IF(OR(E193="", D193="","Pending","Pending"), "Pending", IF((E193 - D193) &lt;= 5, "On Time", "Delayed")), "Pending")</f>
        <v>On Time</v>
      </c>
      <c r="AG193" s="24" t="str">
        <f t="shared" si="8"/>
        <v>Completed</v>
      </c>
    </row>
    <row r="194" spans="1:33">
      <c r="A194" s="24" t="s">
        <v>983</v>
      </c>
      <c r="B194" s="24" t="s">
        <v>168</v>
      </c>
      <c r="C194" s="24" t="s">
        <v>24</v>
      </c>
      <c r="D194" s="30">
        <v>45953</v>
      </c>
      <c r="E194" s="30" t="s">
        <v>864</v>
      </c>
      <c r="F194" s="24" t="str">
        <f>VLOOKUP(B194,Custumer_Master!A:D,2,FALSE)</f>
        <v>Anita Gupta</v>
      </c>
      <c r="G194" s="24" t="str">
        <f>VLOOKUP($B194,Custumer_Master!$A:$J,6,FALSE)</f>
        <v>Female</v>
      </c>
      <c r="H194" s="30" t="str">
        <f>VLOOKUP($B194,Custumer_Master!$A:$J,7,FALSE)</f>
        <v>16/01/2002</v>
      </c>
      <c r="I194" s="24" t="str">
        <f>VLOOKUP($B194,Custumer_Master!$A:$J,9,FALSE)</f>
        <v>Pune</v>
      </c>
      <c r="J194" s="24" t="str">
        <f>VLOOKUP($B194,Custumer_Master!$A:$J,10,FALSE)</f>
        <v>West</v>
      </c>
      <c r="K194" s="24" t="str">
        <f>VLOOKUP(B194,Custumer_Master!A:D,4,FALSE)</f>
        <v>WB</v>
      </c>
      <c r="L194" s="24" t="str">
        <f>PROPER(TRIM(VLOOKUP('Final Data'!C194,Product_Master!A:F,3,FALSE)))</f>
        <v>Home Appliances</v>
      </c>
      <c r="M194" s="24" t="s">
        <v>33</v>
      </c>
      <c r="N194" s="34">
        <v>16</v>
      </c>
      <c r="O194" s="192">
        <f>VLOOKUP(C194,Product_Master!A:F,5,FALSE)</f>
        <v>1650</v>
      </c>
      <c r="P194" s="33">
        <v>0</v>
      </c>
      <c r="Q194" s="34">
        <f t="shared" si="6"/>
        <v>26400</v>
      </c>
      <c r="R194" s="34">
        <v>5</v>
      </c>
      <c r="S194" s="24" t="s">
        <v>79</v>
      </c>
      <c r="T194" s="24" t="s">
        <v>35</v>
      </c>
      <c r="U194" s="24" t="s">
        <v>175</v>
      </c>
      <c r="V194" s="34">
        <v>9701276770</v>
      </c>
      <c r="W194" s="24" t="str">
        <f>VLOOKUP(C194,Product_Master!A:F,4,FALSE)</f>
        <v>Global Trade</v>
      </c>
      <c r="X194" s="34">
        <f>VLOOKUP(C194,Product_Master!A:F,6,FALSE)</f>
        <v>24</v>
      </c>
      <c r="Y194" s="24" t="str">
        <f>VLOOKUP(B194,Custumer_Master!A:D,3,FALSE)</f>
        <v>Gold</v>
      </c>
      <c r="Z194" s="30">
        <f>EDATE(E194,X194)</f>
        <v>46695</v>
      </c>
      <c r="AA194" s="29" t="str">
        <f>VLOOKUP(B194,Custumer_Master!A:K,11,)</f>
        <v>January</v>
      </c>
      <c r="AB194" s="24" t="s">
        <v>2108</v>
      </c>
      <c r="AC194" s="138" t="str">
        <f>PROPER(LEFT(TRIM(F194), 3)) &amp; RIGHT(TRIM(B194), 3) &amp; PROPER(LEFT(TRIM(I194), 2))</f>
        <v>Ani004Pu</v>
      </c>
      <c r="AD194" s="154">
        <f t="shared" ca="1" si="7"/>
        <v>24</v>
      </c>
      <c r="AE194" s="154">
        <f>IFERROR(IF(OR(E194="", D194="", LOWER(TRIM(E194))="pending", LOWER(TRIM(D194))="pending"), "Pending", E194 - D194), "Pending")</f>
        <v>12</v>
      </c>
      <c r="AF194" s="138" t="str">
        <f>IFERROR(IF(OR(E194="", D194="","Pending","Pending"), "Pending", IF((E194 - D194) &lt;= 5, "On Time", "Delayed")), "Pending")</f>
        <v>Delayed</v>
      </c>
      <c r="AG194" s="24" t="str">
        <f t="shared" si="8"/>
        <v>Completed</v>
      </c>
    </row>
    <row r="195" spans="1:33">
      <c r="A195" s="24" t="s">
        <v>986</v>
      </c>
      <c r="B195" s="24" t="s">
        <v>251</v>
      </c>
      <c r="C195" s="24" t="s">
        <v>24</v>
      </c>
      <c r="D195" s="30">
        <v>45704</v>
      </c>
      <c r="E195" s="30" t="s">
        <v>988</v>
      </c>
      <c r="F195" s="24" t="str">
        <f>VLOOKUP(B195,Custumer_Master!A:D,2,FALSE)</f>
        <v>Sneha Joshi</v>
      </c>
      <c r="G195" s="24" t="str">
        <f>VLOOKUP($B195,Custumer_Master!$A:$J,6,FALSE)</f>
        <v>Female</v>
      </c>
      <c r="H195" s="30" t="str">
        <f>VLOOKUP($B195,Custumer_Master!$A:$J,7,FALSE)</f>
        <v>04/04/1981</v>
      </c>
      <c r="I195" s="24" t="str">
        <f>VLOOKUP($B195,Custumer_Master!$A:$J,9,FALSE)</f>
        <v>Pune</v>
      </c>
      <c r="J195" s="24" t="str">
        <f>VLOOKUP($B195,Custumer_Master!$A:$J,10,FALSE)</f>
        <v>West</v>
      </c>
      <c r="K195" s="24" t="str">
        <f>VLOOKUP(B195,Custumer_Master!A:D,4,FALSE)</f>
        <v>WB</v>
      </c>
      <c r="L195" s="24" t="str">
        <f>PROPER(TRIM(VLOOKUP('Final Data'!C195,Product_Master!A:F,3,FALSE)))</f>
        <v>Home Appliances</v>
      </c>
      <c r="M195" s="24" t="s">
        <v>33</v>
      </c>
      <c r="N195" s="34">
        <v>8</v>
      </c>
      <c r="O195" s="192">
        <f>VLOOKUP(C195,Product_Master!A:F,5,FALSE)</f>
        <v>1650</v>
      </c>
      <c r="P195" s="33">
        <v>0.05</v>
      </c>
      <c r="Q195" s="34">
        <f t="shared" ref="Q195:Q258" si="9">(N195*O195)-(N195*O195)*P195</f>
        <v>12540</v>
      </c>
      <c r="R195" s="34">
        <v>2</v>
      </c>
      <c r="S195" s="24" t="s">
        <v>2149</v>
      </c>
      <c r="T195" s="24" t="s">
        <v>151</v>
      </c>
      <c r="U195" s="24" t="s">
        <v>256</v>
      </c>
      <c r="V195" s="34">
        <v>9298278507</v>
      </c>
      <c r="W195" s="24" t="str">
        <f>VLOOKUP(C195,Product_Master!A:F,4,FALSE)</f>
        <v>Global Trade</v>
      </c>
      <c r="X195" s="34">
        <f>VLOOKUP(C195,Product_Master!A:F,6,FALSE)</f>
        <v>24</v>
      </c>
      <c r="Y195" s="24" t="str">
        <f>VLOOKUP(B195,Custumer_Master!A:D,3,FALSE)</f>
        <v>Gold</v>
      </c>
      <c r="Z195" s="30">
        <f>EDATE(E195,X195)</f>
        <v>46436</v>
      </c>
      <c r="AA195" s="29" t="str">
        <f>VLOOKUP(B195,Custumer_Master!A:K,11,)</f>
        <v>April</v>
      </c>
      <c r="AB195" s="24" t="s">
        <v>2160</v>
      </c>
      <c r="AC195" s="138" t="str">
        <f>PROPER(LEFT(TRIM(F195), 3)) &amp; RIGHT(TRIM(B195), 3) &amp; PROPER(LEFT(TRIM(I195), 2))</f>
        <v>Sne006Pu</v>
      </c>
      <c r="AD195" s="154">
        <f t="shared" ref="AD195:AD258" ca="1" si="10">DATEDIF(H195, TODAY(), "Y")</f>
        <v>45</v>
      </c>
      <c r="AE195" s="154">
        <f>IFERROR(IF(OR(E195="", D195="", LOWER(TRIM(E195))="pending", LOWER(TRIM(D195))="pending"), "Pending", E195 - D195), "Pending")</f>
        <v>2</v>
      </c>
      <c r="AF195" s="138" t="str">
        <f>IFERROR(IF(OR(E195="", D195="","Pending","Pending"), "Pending", IF((E195 - D195) &lt;= 5, "On Time", "Delayed")), "Pending")</f>
        <v>On Time</v>
      </c>
      <c r="AG195" s="24" t="str">
        <f t="shared" ref="AG195:AG258" si="11">IF(AF195="Pending","Pending","Completed")</f>
        <v>Completed</v>
      </c>
    </row>
    <row r="196" spans="1:33">
      <c r="A196" s="24" t="s">
        <v>991</v>
      </c>
      <c r="B196" s="24" t="s">
        <v>251</v>
      </c>
      <c r="C196" s="24" t="s">
        <v>24</v>
      </c>
      <c r="D196" s="30">
        <v>46002</v>
      </c>
      <c r="E196" s="30" t="s">
        <v>454</v>
      </c>
      <c r="F196" s="24" t="str">
        <f>VLOOKUP(B196,Custumer_Master!A:D,2,FALSE)</f>
        <v>Sneha Joshi</v>
      </c>
      <c r="G196" s="24" t="str">
        <f>VLOOKUP($B196,Custumer_Master!$A:$J,6,FALSE)</f>
        <v>Female</v>
      </c>
      <c r="H196" s="30" t="str">
        <f>VLOOKUP($B196,Custumer_Master!$A:$J,7,FALSE)</f>
        <v>04/04/1981</v>
      </c>
      <c r="I196" s="24" t="str">
        <f>VLOOKUP($B196,Custumer_Master!$A:$J,9,FALSE)</f>
        <v>Pune</v>
      </c>
      <c r="J196" s="24" t="str">
        <f>VLOOKUP($B196,Custumer_Master!$A:$J,10,FALSE)</f>
        <v>West</v>
      </c>
      <c r="K196" s="24" t="str">
        <f>VLOOKUP(B196,Custumer_Master!A:D,4,FALSE)</f>
        <v>WB</v>
      </c>
      <c r="L196" s="24" t="str">
        <f>PROPER(TRIM(VLOOKUP('Final Data'!C196,Product_Master!A:F,3,FALSE)))</f>
        <v>Home Appliances</v>
      </c>
      <c r="M196" s="24" t="s">
        <v>33</v>
      </c>
      <c r="N196" s="34">
        <v>10</v>
      </c>
      <c r="O196" s="192">
        <f>VLOOKUP(C196,Product_Master!A:F,5,FALSE)</f>
        <v>1650</v>
      </c>
      <c r="P196" s="33">
        <v>0.1</v>
      </c>
      <c r="Q196" s="34">
        <f t="shared" si="9"/>
        <v>14850</v>
      </c>
      <c r="R196" s="34">
        <v>5</v>
      </c>
      <c r="S196" s="24" t="s">
        <v>2148</v>
      </c>
      <c r="T196" s="24" t="s">
        <v>115</v>
      </c>
      <c r="U196" s="24" t="s">
        <v>256</v>
      </c>
      <c r="V196" s="34">
        <v>9895908093</v>
      </c>
      <c r="W196" s="24" t="str">
        <f>VLOOKUP(C196,Product_Master!A:F,4,FALSE)</f>
        <v>Global Trade</v>
      </c>
      <c r="X196" s="34">
        <f>VLOOKUP(C196,Product_Master!A:F,6,FALSE)</f>
        <v>24</v>
      </c>
      <c r="Y196" s="24" t="str">
        <f>VLOOKUP(B196,Custumer_Master!A:D,3,FALSE)</f>
        <v>Gold</v>
      </c>
      <c r="Z196" s="30">
        <f>EDATE(E196,X196)</f>
        <v>46735</v>
      </c>
      <c r="AA196" s="29" t="str">
        <f>VLOOKUP(B196,Custumer_Master!A:K,11,)</f>
        <v>April</v>
      </c>
      <c r="AB196" s="24" t="s">
        <v>2108</v>
      </c>
      <c r="AC196" s="138" t="str">
        <f>PROPER(LEFT(TRIM(F196), 3)) &amp; RIGHT(TRIM(B196), 3) &amp; PROPER(LEFT(TRIM(I196), 2))</f>
        <v>Sne006Pu</v>
      </c>
      <c r="AD196" s="154">
        <f t="shared" ca="1" si="10"/>
        <v>45</v>
      </c>
      <c r="AE196" s="154">
        <f>IFERROR(IF(OR(E196="", D196="", LOWER(TRIM(E196))="pending", LOWER(TRIM(D196))="pending"), "Pending", E196 - D196), "Pending")</f>
        <v>3</v>
      </c>
      <c r="AF196" s="138" t="str">
        <f>IFERROR(IF(OR(E196="", D196="","Pending","Pending"), "Pending", IF((E196 - D196) &lt;= 5, "On Time", "Delayed")), "Pending")</f>
        <v>On Time</v>
      </c>
      <c r="AG196" s="24" t="str">
        <f t="shared" si="11"/>
        <v>Completed</v>
      </c>
    </row>
    <row r="197" spans="1:33">
      <c r="A197" s="24" t="s">
        <v>994</v>
      </c>
      <c r="B197" s="24" t="s">
        <v>83</v>
      </c>
      <c r="C197" s="24" t="s">
        <v>222</v>
      </c>
      <c r="D197" s="30">
        <v>45775</v>
      </c>
      <c r="E197" s="30" t="s">
        <v>596</v>
      </c>
      <c r="F197" s="24" t="str">
        <f>VLOOKUP(B197,Custumer_Master!A:D,2,FALSE)</f>
        <v>Arjun Rao</v>
      </c>
      <c r="G197" s="24" t="str">
        <f>VLOOKUP($B197,Custumer_Master!$A:$J,6,FALSE)</f>
        <v>Male</v>
      </c>
      <c r="H197" s="30" t="str">
        <f>VLOOKUP($B197,Custumer_Master!$A:$J,7,FALSE)</f>
        <v>07/02/1988</v>
      </c>
      <c r="I197" s="24" t="str">
        <f>VLOOKUP($B197,Custumer_Master!$A:$J,9,FALSE)</f>
        <v>Hyderabad</v>
      </c>
      <c r="J197" s="24" t="str">
        <f>VLOOKUP($B197,Custumer_Master!$A:$J,10,FALSE)</f>
        <v>South</v>
      </c>
      <c r="K197" s="24" t="str">
        <f>VLOOKUP(B197,Custumer_Master!A:D,4,FALSE)</f>
        <v>RJ</v>
      </c>
      <c r="L197" s="24" t="str">
        <f>PROPER(TRIM(VLOOKUP('Final Data'!C197,Product_Master!A:F,3,FALSE)))</f>
        <v>Stationery</v>
      </c>
      <c r="M197" s="24" t="s">
        <v>227</v>
      </c>
      <c r="N197" s="34">
        <v>7</v>
      </c>
      <c r="O197" s="192">
        <f>VLOOKUP(C197,Product_Master!A:F,5,FALSE)</f>
        <v>15</v>
      </c>
      <c r="P197" s="33">
        <v>0.1</v>
      </c>
      <c r="Q197" s="34">
        <f t="shared" si="9"/>
        <v>94.5</v>
      </c>
      <c r="R197" s="34">
        <v>4</v>
      </c>
      <c r="S197" s="24" t="s">
        <v>79</v>
      </c>
      <c r="T197" s="24" t="s">
        <v>61</v>
      </c>
      <c r="U197" s="24" t="s">
        <v>89</v>
      </c>
      <c r="V197" s="34">
        <v>9734108795</v>
      </c>
      <c r="W197" s="24" t="str">
        <f>VLOOKUP(C197,Product_Master!A:F,4,FALSE)</f>
        <v>Prime Supplies</v>
      </c>
      <c r="X197" s="34">
        <f>VLOOKUP(C197,Product_Master!A:F,6,FALSE)</f>
        <v>12</v>
      </c>
      <c r="Y197" s="24" t="str">
        <f>VLOOKUP(B197,Custumer_Master!A:D,3,FALSE)</f>
        <v>Silver</v>
      </c>
      <c r="Z197" s="30">
        <f>EDATE(E197,X197)</f>
        <v>46151</v>
      </c>
      <c r="AA197" s="29" t="str">
        <f>VLOOKUP(B197,Custumer_Master!A:K,11,)</f>
        <v>February</v>
      </c>
      <c r="AB197" s="24" t="s">
        <v>2108</v>
      </c>
      <c r="AC197" s="138" t="str">
        <f>PROPER(LEFT(TRIM(F197), 3)) &amp; RIGHT(TRIM(B197), 3) &amp; PROPER(LEFT(TRIM(I197), 2))</f>
        <v>Arj007Hy</v>
      </c>
      <c r="AD197" s="154">
        <f t="shared" ca="1" si="10"/>
        <v>38</v>
      </c>
      <c r="AE197" s="154">
        <f>IFERROR(IF(OR(E197="", D197="", LOWER(TRIM(E197))="pending", LOWER(TRIM(D197))="pending"), "Pending", E197 - D197), "Pending")</f>
        <v>11</v>
      </c>
      <c r="AF197" s="138" t="str">
        <f>IFERROR(IF(OR(E197="", D197="","Pending","Pending"), "Pending", IF((E197 - D197) &lt;= 5, "On Time", "Delayed")), "Pending")</f>
        <v>Delayed</v>
      </c>
      <c r="AG197" s="24" t="str">
        <f t="shared" si="11"/>
        <v>Completed</v>
      </c>
    </row>
    <row r="198" spans="1:33">
      <c r="A198" s="24" t="s">
        <v>997</v>
      </c>
      <c r="B198" s="24" t="s">
        <v>221</v>
      </c>
      <c r="C198" s="24" t="s">
        <v>169</v>
      </c>
      <c r="D198" s="30">
        <v>46033</v>
      </c>
      <c r="E198" s="30" t="s">
        <v>998</v>
      </c>
      <c r="F198" s="24" t="str">
        <f>VLOOKUP(B198,Custumer_Master!A:D,2,FALSE)</f>
        <v>Vikas Mehta</v>
      </c>
      <c r="G198" s="24" t="str">
        <f>VLOOKUP($B198,Custumer_Master!$A:$J,6,FALSE)</f>
        <v>Male</v>
      </c>
      <c r="H198" s="30" t="str">
        <f>VLOOKUP($B198,Custumer_Master!$A:$J,7,FALSE)</f>
        <v>03/08/1991</v>
      </c>
      <c r="I198" s="24" t="str">
        <f>VLOOKUP($B198,Custumer_Master!$A:$J,9,FALSE)</f>
        <v>Mumbai</v>
      </c>
      <c r="J198" s="24" t="str">
        <f>VLOOKUP($B198,Custumer_Master!$A:$J,10,FALSE)</f>
        <v>West</v>
      </c>
      <c r="K198" s="24" t="str">
        <f>VLOOKUP(B198,Custumer_Master!A:D,4,FALSE)</f>
        <v>DL</v>
      </c>
      <c r="L198" s="24" t="str">
        <f>PROPER(TRIM(VLOOKUP('Final Data'!C198,Product_Master!A:F,3,FALSE)))</f>
        <v>Home Appliances</v>
      </c>
      <c r="M198" s="24" t="s">
        <v>174</v>
      </c>
      <c r="N198" s="34">
        <v>19</v>
      </c>
      <c r="O198" s="192">
        <f>VLOOKUP(C198,Product_Master!A:F,5,FALSE)</f>
        <v>6375</v>
      </c>
      <c r="P198" s="33">
        <v>0.2</v>
      </c>
      <c r="Q198" s="34">
        <f t="shared" si="9"/>
        <v>96900</v>
      </c>
      <c r="R198" s="34">
        <v>3</v>
      </c>
      <c r="S198" s="24" t="s">
        <v>2148</v>
      </c>
      <c r="T198" s="24" t="s">
        <v>61</v>
      </c>
      <c r="U198" s="24" t="s">
        <v>228</v>
      </c>
      <c r="V198" s="34">
        <v>9799597413</v>
      </c>
      <c r="W198" s="24" t="str">
        <f>VLOOKUP(C198,Product_Master!A:F,4,FALSE)</f>
        <v>TechHub</v>
      </c>
      <c r="X198" s="34">
        <f>VLOOKUP(C198,Product_Master!A:F,6,FALSE)</f>
        <v>24</v>
      </c>
      <c r="Y198" s="24" t="str">
        <f>VLOOKUP(B198,Custumer_Master!A:D,3,FALSE)</f>
        <v>Gold</v>
      </c>
      <c r="Z198" s="30">
        <f>EDATE(E198,X198)</f>
        <v>46766</v>
      </c>
      <c r="AA198" s="29" t="str">
        <f>VLOOKUP(B198,Custumer_Master!A:K,11,)</f>
        <v>August</v>
      </c>
      <c r="AB198" s="24" t="s">
        <v>2112</v>
      </c>
      <c r="AC198" s="138" t="str">
        <f>PROPER(LEFT(TRIM(F198), 3)) &amp; RIGHT(TRIM(B198), 3) &amp; PROPER(LEFT(TRIM(I198), 2))</f>
        <v>Vik005Mu</v>
      </c>
      <c r="AD198" s="154">
        <f t="shared" ca="1" si="10"/>
        <v>34</v>
      </c>
      <c r="AE198" s="154">
        <f>IFERROR(IF(OR(E198="", D198="", LOWER(TRIM(E198))="pending", LOWER(TRIM(D198))="pending"), "Pending", E198 - D198), "Pending")</f>
        <v>3</v>
      </c>
      <c r="AF198" s="138" t="str">
        <f>IFERROR(IF(OR(E198="", D198="","Pending","Pending"), "Pending", IF((E198 - D198) &lt;= 5, "On Time", "Delayed")), "Pending")</f>
        <v>On Time</v>
      </c>
      <c r="AG198" s="24" t="str">
        <f t="shared" si="11"/>
        <v>Completed</v>
      </c>
    </row>
    <row r="199" spans="1:33">
      <c r="A199" s="24" t="s">
        <v>1001</v>
      </c>
      <c r="B199" s="24" t="s">
        <v>100</v>
      </c>
      <c r="C199" s="24" t="s">
        <v>118</v>
      </c>
      <c r="D199" s="30">
        <v>45717</v>
      </c>
      <c r="E199" s="30" t="s">
        <v>414</v>
      </c>
      <c r="F199" s="24" t="str">
        <f>VLOOKUP(B199,Custumer_Master!A:D,2,FALSE)</f>
        <v>Priya Patel</v>
      </c>
      <c r="G199" s="24" t="str">
        <f>VLOOKUP($B199,Custumer_Master!$A:$J,6,FALSE)</f>
        <v>Female</v>
      </c>
      <c r="H199" s="30" t="str">
        <f>VLOOKUP($B199,Custumer_Master!$A:$J,7,FALSE)</f>
        <v>07/03/1995</v>
      </c>
      <c r="I199" s="24" t="str">
        <f>VLOOKUP($B199,Custumer_Master!$A:$J,9,FALSE)</f>
        <v>Mumbai</v>
      </c>
      <c r="J199" s="24" t="str">
        <f>VLOOKUP($B199,Custumer_Master!$A:$J,10,FALSE)</f>
        <v>West</v>
      </c>
      <c r="K199" s="24" t="str">
        <f>VLOOKUP(B199,Custumer_Master!A:D,4,FALSE)</f>
        <v>WB</v>
      </c>
      <c r="L199" s="24" t="str">
        <f>PROPER(TRIM(VLOOKUP('Final Data'!C199,Product_Master!A:F,3,FALSE)))</f>
        <v>Stationery</v>
      </c>
      <c r="M199" s="24" t="s">
        <v>123</v>
      </c>
      <c r="N199" s="34">
        <v>16</v>
      </c>
      <c r="O199" s="192">
        <f>VLOOKUP(C199,Product_Master!A:F,5,FALSE)</f>
        <v>45</v>
      </c>
      <c r="P199" s="33">
        <v>0</v>
      </c>
      <c r="Q199" s="34">
        <f t="shared" si="9"/>
        <v>720</v>
      </c>
      <c r="R199" s="34">
        <v>2</v>
      </c>
      <c r="S199" s="24" t="s">
        <v>2148</v>
      </c>
      <c r="T199" s="24" t="s">
        <v>115</v>
      </c>
      <c r="U199" s="24" t="s">
        <v>144</v>
      </c>
      <c r="V199" s="34">
        <v>9688987266</v>
      </c>
      <c r="W199" s="24" t="str">
        <f>VLOOKUP(C199,Product_Master!A:F,4,FALSE)</f>
        <v>ABC Corp</v>
      </c>
      <c r="X199" s="34">
        <f>VLOOKUP(C199,Product_Master!A:F,6,FALSE)</f>
        <v>12</v>
      </c>
      <c r="Y199" s="24" t="str">
        <f>VLOOKUP(B199,Custumer_Master!A:D,3,FALSE)</f>
        <v>Platinum</v>
      </c>
      <c r="Z199" s="30">
        <f>EDATE(E199,X199)</f>
        <v>46087</v>
      </c>
      <c r="AA199" s="29" t="str">
        <f>VLOOKUP(B199,Custumer_Master!A:K,11,)</f>
        <v>March</v>
      </c>
      <c r="AB199" s="24" t="s">
        <v>2160</v>
      </c>
      <c r="AC199" s="138" t="str">
        <f>PROPER(LEFT(TRIM(F199), 3)) &amp; RIGHT(TRIM(B199), 3) &amp; PROPER(LEFT(TRIM(I199), 2))</f>
        <v>Pri002Mu</v>
      </c>
      <c r="AD199" s="154">
        <f t="shared" ca="1" si="10"/>
        <v>31</v>
      </c>
      <c r="AE199" s="154">
        <f>IFERROR(IF(OR(E199="", D199="", LOWER(TRIM(E199))="pending", LOWER(TRIM(D199))="pending"), "Pending", E199 - D199), "Pending")</f>
        <v>5</v>
      </c>
      <c r="AF199" s="138" t="str">
        <f>IFERROR(IF(OR(E199="", D199="","Pending","Pending"), "Pending", IF((E199 - D199) &lt;= 5, "On Time", "Delayed")), "Pending")</f>
        <v>On Time</v>
      </c>
      <c r="AG199" s="24" t="str">
        <f t="shared" si="11"/>
        <v>Completed</v>
      </c>
    </row>
    <row r="200" spans="1:33">
      <c r="A200" s="24" t="s">
        <v>1004</v>
      </c>
      <c r="B200" s="24" t="s">
        <v>221</v>
      </c>
      <c r="C200" s="24" t="s">
        <v>92</v>
      </c>
      <c r="D200" s="30">
        <v>46127</v>
      </c>
      <c r="E200" s="30" t="s">
        <v>731</v>
      </c>
      <c r="F200" s="24" t="str">
        <f>VLOOKUP(B200,Custumer_Master!A:D,2,FALSE)</f>
        <v>Vikas Mehta</v>
      </c>
      <c r="G200" s="24" t="str">
        <f>VLOOKUP($B200,Custumer_Master!$A:$J,6,FALSE)</f>
        <v>Male</v>
      </c>
      <c r="H200" s="30" t="str">
        <f>VLOOKUP($B200,Custumer_Master!$A:$J,7,FALSE)</f>
        <v>03/08/1991</v>
      </c>
      <c r="I200" s="24" t="str">
        <f>VLOOKUP($B200,Custumer_Master!$A:$J,9,FALSE)</f>
        <v>Mumbai</v>
      </c>
      <c r="J200" s="24" t="str">
        <f>VLOOKUP($B200,Custumer_Master!$A:$J,10,FALSE)</f>
        <v>West</v>
      </c>
      <c r="K200" s="24" t="str">
        <f>VLOOKUP(B200,Custumer_Master!A:D,4,FALSE)</f>
        <v>DL</v>
      </c>
      <c r="L200" s="24" t="str">
        <f>PROPER(TRIM(VLOOKUP('Final Data'!C200,Product_Master!A:F,3,FALSE)))</f>
        <v>Home Appliances</v>
      </c>
      <c r="M200" s="24" t="s">
        <v>97</v>
      </c>
      <c r="N200" s="34">
        <v>18</v>
      </c>
      <c r="O200" s="192">
        <f>VLOOKUP(C200,Product_Master!A:F,5,FALSE)</f>
        <v>2625</v>
      </c>
      <c r="P200" s="33">
        <v>0.05</v>
      </c>
      <c r="Q200" s="34">
        <f t="shared" si="9"/>
        <v>44887.5</v>
      </c>
      <c r="R200" s="34">
        <v>1</v>
      </c>
      <c r="S200" s="24" t="s">
        <v>2149</v>
      </c>
      <c r="T200" s="24" t="s">
        <v>115</v>
      </c>
      <c r="U200" s="24" t="s">
        <v>228</v>
      </c>
      <c r="V200" s="34">
        <v>9867169037</v>
      </c>
      <c r="W200" s="24" t="str">
        <f>VLOOKUP(C200,Product_Master!A:F,4,FALSE)</f>
        <v>Global Trade</v>
      </c>
      <c r="X200" s="34">
        <f>VLOOKUP(C200,Product_Master!A:F,6,FALSE)</f>
        <v>6</v>
      </c>
      <c r="Y200" s="24" t="str">
        <f>VLOOKUP(B200,Custumer_Master!A:D,3,FALSE)</f>
        <v>Gold</v>
      </c>
      <c r="Z200" s="30">
        <f>EDATE(E200,X200)</f>
        <v>46322</v>
      </c>
      <c r="AA200" s="29" t="str">
        <f>VLOOKUP(B200,Custumer_Master!A:K,11,)</f>
        <v>August</v>
      </c>
      <c r="AB200" s="24" t="s">
        <v>2160</v>
      </c>
      <c r="AC200" s="138" t="str">
        <f>PROPER(LEFT(TRIM(F200), 3)) &amp; RIGHT(TRIM(B200), 3) &amp; PROPER(LEFT(TRIM(I200), 2))</f>
        <v>Vik005Mu</v>
      </c>
      <c r="AD200" s="154">
        <f t="shared" ca="1" si="10"/>
        <v>34</v>
      </c>
      <c r="AE200" s="154">
        <f>IFERROR(IF(OR(E200="", D200="", LOWER(TRIM(E200))="pending", LOWER(TRIM(D200))="pending"), "Pending", E200 - D200), "Pending")</f>
        <v>12</v>
      </c>
      <c r="AF200" s="138" t="str">
        <f>IFERROR(IF(OR(E200="", D200="","Pending","Pending"), "Pending", IF((E200 - D200) &lt;= 5, "On Time", "Delayed")), "Pending")</f>
        <v>Delayed</v>
      </c>
      <c r="AG200" s="24" t="str">
        <f t="shared" si="11"/>
        <v>Completed</v>
      </c>
    </row>
    <row r="201" spans="1:33">
      <c r="A201" s="24" t="s">
        <v>1009</v>
      </c>
      <c r="B201" s="24" t="s">
        <v>100</v>
      </c>
      <c r="C201" s="24" t="s">
        <v>54</v>
      </c>
      <c r="D201" s="30">
        <v>45708</v>
      </c>
      <c r="E201" s="30" t="s">
        <v>431</v>
      </c>
      <c r="F201" s="24" t="str">
        <f>VLOOKUP(B201,Custumer_Master!A:D,2,FALSE)</f>
        <v>Priya Patel</v>
      </c>
      <c r="G201" s="24" t="str">
        <f>VLOOKUP($B201,Custumer_Master!$A:$J,6,FALSE)</f>
        <v>Female</v>
      </c>
      <c r="H201" s="30" t="str">
        <f>VLOOKUP($B201,Custumer_Master!$A:$J,7,FALSE)</f>
        <v>07/03/1995</v>
      </c>
      <c r="I201" s="24" t="str">
        <f>VLOOKUP($B201,Custumer_Master!$A:$J,9,FALSE)</f>
        <v>Mumbai</v>
      </c>
      <c r="J201" s="24" t="str">
        <f>VLOOKUP($B201,Custumer_Master!$A:$J,10,FALSE)</f>
        <v>West</v>
      </c>
      <c r="K201" s="24" t="str">
        <f>VLOOKUP(B201,Custumer_Master!A:D,4,FALSE)</f>
        <v>WB</v>
      </c>
      <c r="L201" s="24" t="str">
        <f>PROPER(TRIM(VLOOKUP('Final Data'!C201,Product_Master!A:F,3,FALSE)))</f>
        <v>Electronics</v>
      </c>
      <c r="M201" s="24" t="s">
        <v>60</v>
      </c>
      <c r="N201" s="34">
        <v>16</v>
      </c>
      <c r="O201" s="192">
        <f>VLOOKUP(C201,Product_Master!A:F,5,FALSE)</f>
        <v>41250</v>
      </c>
      <c r="P201" s="33">
        <v>0</v>
      </c>
      <c r="Q201" s="34">
        <f t="shared" si="9"/>
        <v>660000</v>
      </c>
      <c r="R201" s="34">
        <v>1</v>
      </c>
      <c r="S201" s="24" t="s">
        <v>79</v>
      </c>
      <c r="T201" s="24" t="s">
        <v>61</v>
      </c>
      <c r="U201" s="24" t="s">
        <v>144</v>
      </c>
      <c r="V201" s="34">
        <v>9485547425</v>
      </c>
      <c r="W201" s="24" t="str">
        <f>VLOOKUP(C201,Product_Master!A:F,4,FALSE)</f>
        <v>TechHub</v>
      </c>
      <c r="X201" s="34">
        <f>VLOOKUP(C201,Product_Master!A:F,6,FALSE)</f>
        <v>12</v>
      </c>
      <c r="Y201" s="24" t="str">
        <f>VLOOKUP(B201,Custumer_Master!A:D,3,FALSE)</f>
        <v>Platinum</v>
      </c>
      <c r="Z201" s="30">
        <f>EDATE(E201,X201)</f>
        <v>46082</v>
      </c>
      <c r="AA201" s="29" t="str">
        <f>VLOOKUP(B201,Custumer_Master!A:K,11,)</f>
        <v>March</v>
      </c>
      <c r="AB201" s="24" t="s">
        <v>2160</v>
      </c>
      <c r="AC201" s="138" t="str">
        <f>PROPER(LEFT(TRIM(F201), 3)) &amp; RIGHT(TRIM(B201), 3) &amp; PROPER(LEFT(TRIM(I201), 2))</f>
        <v>Pri002Mu</v>
      </c>
      <c r="AD201" s="154">
        <f t="shared" ca="1" si="10"/>
        <v>31</v>
      </c>
      <c r="AE201" s="154">
        <f>IFERROR(IF(OR(E201="", D201="", LOWER(TRIM(E201))="pending", LOWER(TRIM(D201))="pending"), "Pending", E201 - D201), "Pending")</f>
        <v>9</v>
      </c>
      <c r="AF201" s="138" t="str">
        <f>IFERROR(IF(OR(E201="", D201="","Pending","Pending"), "Pending", IF((E201 - D201) &lt;= 5, "On Time", "Delayed")), "Pending")</f>
        <v>Delayed</v>
      </c>
      <c r="AG201" s="24" t="str">
        <f t="shared" si="11"/>
        <v>Completed</v>
      </c>
    </row>
    <row r="202" spans="1:33">
      <c r="A202" s="24" t="s">
        <v>1013</v>
      </c>
      <c r="B202" s="24" t="s">
        <v>221</v>
      </c>
      <c r="C202" s="24" t="s">
        <v>72</v>
      </c>
      <c r="D202" s="30">
        <v>45694</v>
      </c>
      <c r="E202" s="30" t="s">
        <v>435</v>
      </c>
      <c r="F202" s="24" t="str">
        <f>VLOOKUP(B202,Custumer_Master!A:D,2,FALSE)</f>
        <v>Vikas Mehta</v>
      </c>
      <c r="G202" s="24" t="str">
        <f>VLOOKUP($B202,Custumer_Master!$A:$J,6,FALSE)</f>
        <v>Male</v>
      </c>
      <c r="H202" s="30" t="str">
        <f>VLOOKUP($B202,Custumer_Master!$A:$J,7,FALSE)</f>
        <v>03/08/1991</v>
      </c>
      <c r="I202" s="24" t="str">
        <f>VLOOKUP($B202,Custumer_Master!$A:$J,9,FALSE)</f>
        <v>Mumbai</v>
      </c>
      <c r="J202" s="24" t="str">
        <f>VLOOKUP($B202,Custumer_Master!$A:$J,10,FALSE)</f>
        <v>West</v>
      </c>
      <c r="K202" s="24" t="str">
        <f>VLOOKUP(B202,Custumer_Master!A:D,4,FALSE)</f>
        <v>DL</v>
      </c>
      <c r="L202" s="24" t="str">
        <f>PROPER(TRIM(VLOOKUP('Final Data'!C202,Product_Master!A:F,3,FALSE)))</f>
        <v>Electronics</v>
      </c>
      <c r="M202" s="24" t="s">
        <v>78</v>
      </c>
      <c r="N202" s="34">
        <v>18</v>
      </c>
      <c r="O202" s="192">
        <f>VLOOKUP(C202,Product_Master!A:F,5,FALSE)</f>
        <v>900</v>
      </c>
      <c r="P202" s="33">
        <v>0.15</v>
      </c>
      <c r="Q202" s="34">
        <f t="shared" si="9"/>
        <v>13770</v>
      </c>
      <c r="R202" s="34">
        <v>2</v>
      </c>
      <c r="S202" s="24" t="s">
        <v>2148</v>
      </c>
      <c r="T202" s="24" t="s">
        <v>35</v>
      </c>
      <c r="U202" s="24" t="s">
        <v>228</v>
      </c>
      <c r="V202" s="34">
        <v>9889733076</v>
      </c>
      <c r="W202" s="24" t="str">
        <f>VLOOKUP(C202,Product_Master!A:F,4,FALSE)</f>
        <v>TechHub</v>
      </c>
      <c r="X202" s="34">
        <f>VLOOKUP(C202,Product_Master!A:F,6,FALSE)</f>
        <v>6</v>
      </c>
      <c r="Y202" s="24" t="str">
        <f>VLOOKUP(B202,Custumer_Master!A:D,3,FALSE)</f>
        <v>Gold</v>
      </c>
      <c r="Z202" s="30">
        <f>EDATE(E202,X202)</f>
        <v>45878</v>
      </c>
      <c r="AA202" s="29" t="str">
        <f>VLOOKUP(B202,Custumer_Master!A:K,11,)</f>
        <v>August</v>
      </c>
      <c r="AB202" s="24" t="s">
        <v>2160</v>
      </c>
      <c r="AC202" s="138" t="str">
        <f>PROPER(LEFT(TRIM(F202), 3)) &amp; RIGHT(TRIM(B202), 3) &amp; PROPER(LEFT(TRIM(I202), 2))</f>
        <v>Vik005Mu</v>
      </c>
      <c r="AD202" s="154">
        <f t="shared" ca="1" si="10"/>
        <v>34</v>
      </c>
      <c r="AE202" s="154">
        <f>IFERROR(IF(OR(E202="", D202="", LOWER(TRIM(E202))="pending", LOWER(TRIM(D202))="pending"), "Pending", E202 - D202), "Pending")</f>
        <v>3</v>
      </c>
      <c r="AF202" s="138" t="str">
        <f>IFERROR(IF(OR(E202="", D202="","Pending","Pending"), "Pending", IF((E202 - D202) &lt;= 5, "On Time", "Delayed")), "Pending")</f>
        <v>On Time</v>
      </c>
      <c r="AG202" s="24" t="str">
        <f t="shared" si="11"/>
        <v>Completed</v>
      </c>
    </row>
    <row r="203" spans="1:33">
      <c r="A203" s="24" t="s">
        <v>1016</v>
      </c>
      <c r="B203" s="24" t="s">
        <v>71</v>
      </c>
      <c r="C203" s="24" t="s">
        <v>259</v>
      </c>
      <c r="D203" s="30">
        <v>45801</v>
      </c>
      <c r="E203" s="30" t="s">
        <v>1018</v>
      </c>
      <c r="F203" s="24" t="str">
        <f>VLOOKUP(B203,Custumer_Master!A:D,2,FALSE)</f>
        <v>Mohit Verma</v>
      </c>
      <c r="G203" s="24" t="str">
        <f>VLOOKUP($B203,Custumer_Master!$A:$J,6,FALSE)</f>
        <v>Male</v>
      </c>
      <c r="H203" s="30" t="str">
        <f>VLOOKUP($B203,Custumer_Master!$A:$J,7,FALSE)</f>
        <v>13/04/1976</v>
      </c>
      <c r="I203" s="24" t="str">
        <f>VLOOKUP($B203,Custumer_Master!$A:$J,9,FALSE)</f>
        <v>Delhi</v>
      </c>
      <c r="J203" s="24" t="str">
        <f>VLOOKUP($B203,Custumer_Master!$A:$J,10,FALSE)</f>
        <v>North</v>
      </c>
      <c r="K203" s="24" t="str">
        <f>VLOOKUP(B203,Custumer_Master!A:D,4,FALSE)</f>
        <v>KA</v>
      </c>
      <c r="L203" s="24" t="str">
        <f>PROPER(TRIM(VLOOKUP('Final Data'!C203,Product_Master!A:F,3,FALSE)))</f>
        <v>Stationery</v>
      </c>
      <c r="M203" s="24" t="s">
        <v>263</v>
      </c>
      <c r="N203" s="34">
        <v>2</v>
      </c>
      <c r="O203" s="192">
        <f>VLOOKUP(C203,Product_Master!A:F,5,FALSE)</f>
        <v>33.75</v>
      </c>
      <c r="P203" s="33">
        <v>0.15</v>
      </c>
      <c r="Q203" s="34">
        <f t="shared" si="9"/>
        <v>57.375</v>
      </c>
      <c r="R203" s="34">
        <v>5</v>
      </c>
      <c r="S203" s="24" t="s">
        <v>34</v>
      </c>
      <c r="T203" s="24" t="s">
        <v>61</v>
      </c>
      <c r="U203" s="24" t="s">
        <v>80</v>
      </c>
      <c r="V203" s="34">
        <v>9145434449</v>
      </c>
      <c r="W203" s="24" t="str">
        <f>VLOOKUP(C203,Product_Master!A:F,4,FALSE)</f>
        <v>TechHub</v>
      </c>
      <c r="X203" s="34">
        <f>VLOOKUP(C203,Product_Master!A:F,6,FALSE)</f>
        <v>12</v>
      </c>
      <c r="Y203" s="24" t="str">
        <f>VLOOKUP(B203,Custumer_Master!A:D,3,FALSE)</f>
        <v>Platinum</v>
      </c>
      <c r="Z203" s="30">
        <f>EDATE(E203,X203)</f>
        <v>46169</v>
      </c>
      <c r="AA203" s="29" t="str">
        <f>VLOOKUP(B203,Custumer_Master!A:K,11,)</f>
        <v>April</v>
      </c>
      <c r="AB203" s="24" t="s">
        <v>2108</v>
      </c>
      <c r="AC203" s="138" t="str">
        <f>PROPER(LEFT(TRIM(F203), 3)) &amp; RIGHT(TRIM(B203), 3) &amp; PROPER(LEFT(TRIM(I203), 2))</f>
        <v>Moh009De</v>
      </c>
      <c r="AD203" s="154">
        <f t="shared" ca="1" si="10"/>
        <v>50</v>
      </c>
      <c r="AE203" s="154">
        <f>IFERROR(IF(OR(E203="", D203="", LOWER(TRIM(E203))="pending", LOWER(TRIM(D203))="pending"), "Pending", E203 - D203), "Pending")</f>
        <v>3</v>
      </c>
      <c r="AF203" s="138" t="str">
        <f>IFERROR(IF(OR(E203="", D203="","Pending","Pending"), "Pending", IF((E203 - D203) &lt;= 5, "On Time", "Delayed")), "Pending")</f>
        <v>On Time</v>
      </c>
      <c r="AG203" s="24" t="str">
        <f t="shared" si="11"/>
        <v>Completed</v>
      </c>
    </row>
    <row r="204" spans="1:33">
      <c r="A204" s="24" t="s">
        <v>1021</v>
      </c>
      <c r="B204" s="24" t="s">
        <v>53</v>
      </c>
      <c r="C204" s="24" t="s">
        <v>169</v>
      </c>
      <c r="D204" s="30">
        <v>46028</v>
      </c>
      <c r="E204" s="30" t="s">
        <v>85</v>
      </c>
      <c r="F204" s="24" t="str">
        <f>VLOOKUP(B204,Custumer_Master!A:D,2,FALSE)</f>
        <v>Pooja Shah</v>
      </c>
      <c r="G204" s="24" t="str">
        <f>VLOOKUP($B204,Custumer_Master!$A:$J,6,FALSE)</f>
        <v>Female</v>
      </c>
      <c r="H204" s="30" t="str">
        <f>VLOOKUP($B204,Custumer_Master!$A:$J,7,FALSE)</f>
        <v>16/09/1994</v>
      </c>
      <c r="I204" s="24" t="str">
        <f>VLOOKUP($B204,Custumer_Master!$A:$J,9,FALSE)</f>
        <v>Bengaluru</v>
      </c>
      <c r="J204" s="24" t="str">
        <f>VLOOKUP($B204,Custumer_Master!$A:$J,10,FALSE)</f>
        <v>South</v>
      </c>
      <c r="K204" s="24" t="str">
        <f>VLOOKUP(B204,Custumer_Master!A:D,4,FALSE)</f>
        <v>WB</v>
      </c>
      <c r="L204" s="24" t="str">
        <f>PROPER(TRIM(VLOOKUP('Final Data'!C204,Product_Master!A:F,3,FALSE)))</f>
        <v>Home Appliances</v>
      </c>
      <c r="M204" s="24" t="s">
        <v>174</v>
      </c>
      <c r="N204" s="34">
        <v>20</v>
      </c>
      <c r="O204" s="192">
        <f>VLOOKUP(C204,Product_Master!A:F,5,FALSE)</f>
        <v>6375</v>
      </c>
      <c r="P204" s="33">
        <v>0</v>
      </c>
      <c r="Q204" s="34">
        <f t="shared" si="9"/>
        <v>127500</v>
      </c>
      <c r="R204" s="34">
        <v>4</v>
      </c>
      <c r="S204" s="24" t="s">
        <v>2148</v>
      </c>
      <c r="T204" s="24" t="s">
        <v>61</v>
      </c>
      <c r="U204" s="24" t="s">
        <v>62</v>
      </c>
      <c r="V204" s="34">
        <v>9598942148</v>
      </c>
      <c r="W204" s="24" t="str">
        <f>VLOOKUP(C204,Product_Master!A:F,4,FALSE)</f>
        <v>TechHub</v>
      </c>
      <c r="X204" s="34">
        <f>VLOOKUP(C204,Product_Master!A:F,6,FALSE)</f>
        <v>24</v>
      </c>
      <c r="Y204" s="24" t="str">
        <f>VLOOKUP(B204,Custumer_Master!A:D,3,FALSE)</f>
        <v>Silver</v>
      </c>
      <c r="Z204" s="30">
        <f>EDATE(E204,X204)</f>
        <v>46764</v>
      </c>
      <c r="AA204" s="29" t="str">
        <f>VLOOKUP(B204,Custumer_Master!A:K,11,)</f>
        <v>September</v>
      </c>
      <c r="AB204" s="24" t="s">
        <v>2110</v>
      </c>
      <c r="AC204" s="138" t="str">
        <f>PROPER(LEFT(TRIM(F204), 3)) &amp; RIGHT(TRIM(B204), 3) &amp; PROPER(LEFT(TRIM(I204), 2))</f>
        <v>Poo010Be</v>
      </c>
      <c r="AD204" s="154">
        <f t="shared" ca="1" si="10"/>
        <v>31</v>
      </c>
      <c r="AE204" s="154">
        <f>IFERROR(IF(OR(E204="", D204="", LOWER(TRIM(E204))="pending", LOWER(TRIM(D204))="pending"), "Pending", E204 - D204), "Pending")</f>
        <v>6</v>
      </c>
      <c r="AF204" s="138" t="str">
        <f>IFERROR(IF(OR(E204="", D204="","Pending","Pending"), "Pending", IF((E204 - D204) &lt;= 5, "On Time", "Delayed")), "Pending")</f>
        <v>Delayed</v>
      </c>
      <c r="AG204" s="24" t="str">
        <f t="shared" si="11"/>
        <v>Completed</v>
      </c>
    </row>
    <row r="205" spans="1:33">
      <c r="A205" s="24" t="s">
        <v>1024</v>
      </c>
      <c r="B205" s="24" t="s">
        <v>127</v>
      </c>
      <c r="C205" s="24" t="s">
        <v>92</v>
      </c>
      <c r="D205" s="30">
        <v>46089</v>
      </c>
      <c r="E205" s="30" t="s">
        <v>1025</v>
      </c>
      <c r="F205" s="24" t="str">
        <f>VLOOKUP(B205,Custumer_Master!A:D,2,FALSE)</f>
        <v>Rohit Singh</v>
      </c>
      <c r="G205" s="24" t="str">
        <f>VLOOKUP($B205,Custumer_Master!$A:$J,6,FALSE)</f>
        <v>Male</v>
      </c>
      <c r="H205" s="30" t="str">
        <f>VLOOKUP($B205,Custumer_Master!$A:$J,7,FALSE)</f>
        <v>10/05/1982</v>
      </c>
      <c r="I205" s="24" t="str">
        <f>VLOOKUP($B205,Custumer_Master!$A:$J,9,FALSE)</f>
        <v>Delhi</v>
      </c>
      <c r="J205" s="24" t="str">
        <f>VLOOKUP($B205,Custumer_Master!$A:$J,10,FALSE)</f>
        <v>North</v>
      </c>
      <c r="K205" s="24" t="str">
        <f>VLOOKUP(B205,Custumer_Master!A:D,4,FALSE)</f>
        <v>DL</v>
      </c>
      <c r="L205" s="24" t="str">
        <f>PROPER(TRIM(VLOOKUP('Final Data'!C205,Product_Master!A:F,3,FALSE)))</f>
        <v>Home Appliances</v>
      </c>
      <c r="M205" s="24" t="s">
        <v>97</v>
      </c>
      <c r="N205" s="34">
        <v>6</v>
      </c>
      <c r="O205" s="192">
        <f>VLOOKUP(C205,Product_Master!A:F,5,FALSE)</f>
        <v>2625</v>
      </c>
      <c r="P205" s="33">
        <v>0.05</v>
      </c>
      <c r="Q205" s="34">
        <f t="shared" si="9"/>
        <v>14962.5</v>
      </c>
      <c r="R205" s="34">
        <v>1</v>
      </c>
      <c r="S205" s="24" t="s">
        <v>34</v>
      </c>
      <c r="T205" s="24" t="s">
        <v>151</v>
      </c>
      <c r="U205" s="24" t="s">
        <v>132</v>
      </c>
      <c r="V205" s="34">
        <v>9599252705</v>
      </c>
      <c r="W205" s="24" t="str">
        <f>VLOOKUP(C205,Product_Master!A:F,4,FALSE)</f>
        <v>Global Trade</v>
      </c>
      <c r="X205" s="34">
        <f>VLOOKUP(C205,Product_Master!A:F,6,FALSE)</f>
        <v>6</v>
      </c>
      <c r="Y205" s="24" t="str">
        <f>VLOOKUP(B205,Custumer_Master!A:D,3,FALSE)</f>
        <v>Gold</v>
      </c>
      <c r="Z205" s="30">
        <f>EDATE(E205,X205)</f>
        <v>46274</v>
      </c>
      <c r="AA205" s="29" t="str">
        <f>VLOOKUP(B205,Custumer_Master!A:K,11,)</f>
        <v>May</v>
      </c>
      <c r="AB205" s="24" t="s">
        <v>2160</v>
      </c>
      <c r="AC205" s="138" t="str">
        <f>PROPER(LEFT(TRIM(F205), 3)) &amp; RIGHT(TRIM(B205), 3) &amp; PROPER(LEFT(TRIM(I205), 2))</f>
        <v>Roh003De</v>
      </c>
      <c r="AD205" s="154">
        <f t="shared" ca="1" si="10"/>
        <v>44</v>
      </c>
      <c r="AE205" s="154">
        <f>IFERROR(IF(OR(E205="", D205="", LOWER(TRIM(E205))="pending", LOWER(TRIM(D205))="pending"), "Pending", E205 - D205), "Pending")</f>
        <v>1</v>
      </c>
      <c r="AF205" s="138" t="str">
        <f>IFERROR(IF(OR(E205="", D205="","Pending","Pending"), "Pending", IF((E205 - D205) &lt;= 5, "On Time", "Delayed")), "Pending")</f>
        <v>On Time</v>
      </c>
      <c r="AG205" s="24" t="str">
        <f t="shared" si="11"/>
        <v>Completed</v>
      </c>
    </row>
    <row r="206" spans="1:33">
      <c r="A206" s="24" t="s">
        <v>1027</v>
      </c>
      <c r="B206" s="24" t="s">
        <v>168</v>
      </c>
      <c r="C206" s="24" t="s">
        <v>259</v>
      </c>
      <c r="D206" s="30">
        <v>45935</v>
      </c>
      <c r="E206" s="30" t="s">
        <v>281</v>
      </c>
      <c r="F206" s="24" t="str">
        <f>VLOOKUP(B206,Custumer_Master!A:D,2,FALSE)</f>
        <v>Anita Gupta</v>
      </c>
      <c r="G206" s="24" t="str">
        <f>VLOOKUP($B206,Custumer_Master!$A:$J,6,FALSE)</f>
        <v>Female</v>
      </c>
      <c r="H206" s="30" t="str">
        <f>VLOOKUP($B206,Custumer_Master!$A:$J,7,FALSE)</f>
        <v>16/01/2002</v>
      </c>
      <c r="I206" s="24" t="str">
        <f>VLOOKUP($B206,Custumer_Master!$A:$J,9,FALSE)</f>
        <v>Pune</v>
      </c>
      <c r="J206" s="24" t="str">
        <f>VLOOKUP($B206,Custumer_Master!$A:$J,10,FALSE)</f>
        <v>West</v>
      </c>
      <c r="K206" s="24" t="str">
        <f>VLOOKUP(B206,Custumer_Master!A:D,4,FALSE)</f>
        <v>WB</v>
      </c>
      <c r="L206" s="24" t="str">
        <f>PROPER(TRIM(VLOOKUP('Final Data'!C206,Product_Master!A:F,3,FALSE)))</f>
        <v>Stationery</v>
      </c>
      <c r="M206" s="24" t="s">
        <v>263</v>
      </c>
      <c r="N206" s="34">
        <v>8</v>
      </c>
      <c r="O206" s="192">
        <f>VLOOKUP(C206,Product_Master!A:F,5,FALSE)</f>
        <v>33.75</v>
      </c>
      <c r="P206" s="33">
        <v>0.05</v>
      </c>
      <c r="Q206" s="34">
        <f t="shared" si="9"/>
        <v>256.5</v>
      </c>
      <c r="R206" s="34">
        <v>2</v>
      </c>
      <c r="S206" s="24" t="s">
        <v>34</v>
      </c>
      <c r="T206" s="24" t="s">
        <v>49</v>
      </c>
      <c r="U206" s="24" t="s">
        <v>175</v>
      </c>
      <c r="V206" s="34">
        <v>9626843681</v>
      </c>
      <c r="W206" s="24" t="str">
        <f>VLOOKUP(C206,Product_Master!A:F,4,FALSE)</f>
        <v>TechHub</v>
      </c>
      <c r="X206" s="34">
        <f>VLOOKUP(C206,Product_Master!A:F,6,FALSE)</f>
        <v>12</v>
      </c>
      <c r="Y206" s="24" t="str">
        <f>VLOOKUP(B206,Custumer_Master!A:D,3,FALSE)</f>
        <v>Gold</v>
      </c>
      <c r="Z206" s="30">
        <f>EDATE(E206,X206)</f>
        <v>46304</v>
      </c>
      <c r="AA206" s="29" t="str">
        <f>VLOOKUP(B206,Custumer_Master!A:K,11,)</f>
        <v>January</v>
      </c>
      <c r="AB206" s="24" t="s">
        <v>2160</v>
      </c>
      <c r="AC206" s="138" t="str">
        <f>PROPER(LEFT(TRIM(F206), 3)) &amp; RIGHT(TRIM(B206), 3) &amp; PROPER(LEFT(TRIM(I206), 2))</f>
        <v>Ani004Pu</v>
      </c>
      <c r="AD206" s="154">
        <f t="shared" ca="1" si="10"/>
        <v>24</v>
      </c>
      <c r="AE206" s="154">
        <f>IFERROR(IF(OR(E206="", D206="", LOWER(TRIM(E206))="pending", LOWER(TRIM(D206))="pending"), "Pending", E206 - D206), "Pending")</f>
        <v>4</v>
      </c>
      <c r="AF206" s="138" t="str">
        <f>IFERROR(IF(OR(E206="", D206="","Pending","Pending"), "Pending", IF((E206 - D206) &lt;= 5, "On Time", "Delayed")), "Pending")</f>
        <v>On Time</v>
      </c>
      <c r="AG206" s="24" t="str">
        <f t="shared" si="11"/>
        <v>Completed</v>
      </c>
    </row>
    <row r="207" spans="1:33">
      <c r="A207" s="24" t="s">
        <v>1030</v>
      </c>
      <c r="B207" s="24" t="s">
        <v>327</v>
      </c>
      <c r="C207" s="24" t="s">
        <v>24</v>
      </c>
      <c r="D207" s="30">
        <v>45722</v>
      </c>
      <c r="E207" s="30" t="s">
        <v>1031</v>
      </c>
      <c r="F207" s="24" t="str">
        <f>VLOOKUP(B207,Custumer_Master!A:D,2,FALSE)</f>
        <v>Amit Sharma</v>
      </c>
      <c r="G207" s="24" t="str">
        <f>VLOOKUP($B207,Custumer_Master!$A:$J,6,FALSE)</f>
        <v>Male</v>
      </c>
      <c r="H207" s="30" t="str">
        <f>VLOOKUP($B207,Custumer_Master!$A:$J,7,FALSE)</f>
        <v>09/08/1991</v>
      </c>
      <c r="I207" s="24" t="str">
        <f>VLOOKUP($B207,Custumer_Master!$A:$J,9,FALSE)</f>
        <v>Pune</v>
      </c>
      <c r="J207" s="24" t="str">
        <f>VLOOKUP($B207,Custumer_Master!$A:$J,10,FALSE)</f>
        <v>West</v>
      </c>
      <c r="K207" s="24" t="str">
        <f>VLOOKUP(B207,Custumer_Master!A:D,4,FALSE)</f>
        <v>RJ</v>
      </c>
      <c r="L207" s="24" t="str">
        <f>PROPER(TRIM(VLOOKUP('Final Data'!C207,Product_Master!A:F,3,FALSE)))</f>
        <v>Home Appliances</v>
      </c>
      <c r="M207" s="24" t="s">
        <v>33</v>
      </c>
      <c r="N207" s="34">
        <v>18</v>
      </c>
      <c r="O207" s="192">
        <f>VLOOKUP(C207,Product_Master!A:F,5,FALSE)</f>
        <v>1650</v>
      </c>
      <c r="P207" s="33">
        <v>0.15</v>
      </c>
      <c r="Q207" s="34">
        <f t="shared" si="9"/>
        <v>25245</v>
      </c>
      <c r="R207" s="34">
        <v>4</v>
      </c>
      <c r="S207" s="24" t="s">
        <v>79</v>
      </c>
      <c r="T207" s="24" t="s">
        <v>61</v>
      </c>
      <c r="U207" s="24" t="s">
        <v>332</v>
      </c>
      <c r="V207" s="34">
        <v>9934933215</v>
      </c>
      <c r="W207" s="24" t="str">
        <f>VLOOKUP(C207,Product_Master!A:F,4,FALSE)</f>
        <v>Global Trade</v>
      </c>
      <c r="X207" s="34">
        <f>VLOOKUP(C207,Product_Master!A:F,6,FALSE)</f>
        <v>24</v>
      </c>
      <c r="Y207" s="24" t="str">
        <f>VLOOKUP(B207,Custumer_Master!A:D,3,FALSE)</f>
        <v>Silver</v>
      </c>
      <c r="Z207" s="30">
        <f>EDATE(E207,X207)</f>
        <v>46458</v>
      </c>
      <c r="AA207" s="29" t="str">
        <f>VLOOKUP(B207,Custumer_Master!A:K,11,)</f>
        <v>August</v>
      </c>
      <c r="AB207" s="24" t="s">
        <v>2108</v>
      </c>
      <c r="AC207" s="138" t="str">
        <f>PROPER(LEFT(TRIM(F207), 3)) &amp; RIGHT(TRIM(B207), 3) &amp; PROPER(LEFT(TRIM(I207), 2))</f>
        <v>Ami001Pu</v>
      </c>
      <c r="AD207" s="154">
        <f t="shared" ca="1" si="10"/>
        <v>34</v>
      </c>
      <c r="AE207" s="154">
        <f>IFERROR(IF(OR(E207="", D207="", LOWER(TRIM(E207))="pending", LOWER(TRIM(D207))="pending"), "Pending", E207 - D207), "Pending")</f>
        <v>6</v>
      </c>
      <c r="AF207" s="138" t="str">
        <f>IFERROR(IF(OR(E207="", D207="","Pending","Pending"), "Pending", IF((E207 - D207) &lt;= 5, "On Time", "Delayed")), "Pending")</f>
        <v>Delayed</v>
      </c>
      <c r="AG207" s="24" t="str">
        <f t="shared" si="11"/>
        <v>Completed</v>
      </c>
    </row>
    <row r="208" spans="1:33">
      <c r="A208" s="24" t="s">
        <v>1034</v>
      </c>
      <c r="B208" s="24" t="s">
        <v>221</v>
      </c>
      <c r="C208" s="24" t="s">
        <v>184</v>
      </c>
      <c r="D208" s="30">
        <v>46118</v>
      </c>
      <c r="E208" s="30" t="s">
        <v>1005</v>
      </c>
      <c r="F208" s="24" t="str">
        <f>VLOOKUP(B208,Custumer_Master!A:D,2,FALSE)</f>
        <v>Vikas Mehta</v>
      </c>
      <c r="G208" s="24" t="str">
        <f>VLOOKUP($B208,Custumer_Master!$A:$J,6,FALSE)</f>
        <v>Male</v>
      </c>
      <c r="H208" s="30" t="str">
        <f>VLOOKUP($B208,Custumer_Master!$A:$J,7,FALSE)</f>
        <v>03/08/1991</v>
      </c>
      <c r="I208" s="24" t="str">
        <f>VLOOKUP($B208,Custumer_Master!$A:$J,9,FALSE)</f>
        <v>Mumbai</v>
      </c>
      <c r="J208" s="24" t="str">
        <f>VLOOKUP($B208,Custumer_Master!$A:$J,10,FALSE)</f>
        <v>West</v>
      </c>
      <c r="K208" s="24" t="str">
        <f>VLOOKUP(B208,Custumer_Master!A:D,4,FALSE)</f>
        <v>DL</v>
      </c>
      <c r="L208" s="24" t="str">
        <f>PROPER(TRIM(VLOOKUP('Final Data'!C208,Product_Master!A:F,3,FALSE)))</f>
        <v>Electronics</v>
      </c>
      <c r="M208" s="24" t="s">
        <v>189</v>
      </c>
      <c r="N208" s="34">
        <v>18</v>
      </c>
      <c r="O208" s="192">
        <f>VLOOKUP(C208,Product_Master!A:F,5,FALSE)</f>
        <v>525</v>
      </c>
      <c r="P208" s="33">
        <v>0.15</v>
      </c>
      <c r="Q208" s="34">
        <f t="shared" si="9"/>
        <v>8032.5</v>
      </c>
      <c r="R208" s="34">
        <v>3</v>
      </c>
      <c r="S208" s="24" t="s">
        <v>79</v>
      </c>
      <c r="T208" s="24" t="s">
        <v>151</v>
      </c>
      <c r="U208" s="24" t="s">
        <v>228</v>
      </c>
      <c r="V208" s="34">
        <v>9508025585</v>
      </c>
      <c r="W208" s="24" t="str">
        <f>VLOOKUP(C208,Product_Master!A:F,4,FALSE)</f>
        <v>TechHub</v>
      </c>
      <c r="X208" s="34">
        <f>VLOOKUP(C208,Product_Master!A:F,6,FALSE)</f>
        <v>24</v>
      </c>
      <c r="Y208" s="24" t="str">
        <f>VLOOKUP(B208,Custumer_Master!A:D,3,FALSE)</f>
        <v>Gold</v>
      </c>
      <c r="Z208" s="30">
        <f>EDATE(E208,X208)</f>
        <v>46858</v>
      </c>
      <c r="AA208" s="29" t="str">
        <f>VLOOKUP(B208,Custumer_Master!A:K,11,)</f>
        <v>August</v>
      </c>
      <c r="AB208" s="24" t="s">
        <v>2108</v>
      </c>
      <c r="AC208" s="138" t="str">
        <f>PROPER(LEFT(TRIM(F208), 3)) &amp; RIGHT(TRIM(B208), 3) &amp; PROPER(LEFT(TRIM(I208), 2))</f>
        <v>Vik005Mu</v>
      </c>
      <c r="AD208" s="154">
        <f t="shared" ca="1" si="10"/>
        <v>34</v>
      </c>
      <c r="AE208" s="154">
        <f>IFERROR(IF(OR(E208="", D208="", LOWER(TRIM(E208))="pending", LOWER(TRIM(D208))="pending"), "Pending", E208 - D208), "Pending")</f>
        <v>9</v>
      </c>
      <c r="AF208" s="138" t="str">
        <f>IFERROR(IF(OR(E208="", D208="","Pending","Pending"), "Pending", IF((E208 - D208) &lt;= 5, "On Time", "Delayed")), "Pending")</f>
        <v>Delayed</v>
      </c>
      <c r="AG208" s="24" t="str">
        <f t="shared" si="11"/>
        <v>Completed</v>
      </c>
    </row>
    <row r="209" spans="1:33">
      <c r="A209" s="24" t="s">
        <v>1038</v>
      </c>
      <c r="B209" s="24" t="s">
        <v>327</v>
      </c>
      <c r="C209" s="24" t="s">
        <v>54</v>
      </c>
      <c r="D209" s="30">
        <v>46039</v>
      </c>
      <c r="E209" s="30" t="s">
        <v>1040</v>
      </c>
      <c r="F209" s="24" t="str">
        <f>VLOOKUP(B209,Custumer_Master!A:D,2,FALSE)</f>
        <v>Amit Sharma</v>
      </c>
      <c r="G209" s="24" t="str">
        <f>VLOOKUP($B209,Custumer_Master!$A:$J,6,FALSE)</f>
        <v>Male</v>
      </c>
      <c r="H209" s="30" t="str">
        <f>VLOOKUP($B209,Custumer_Master!$A:$J,7,FALSE)</f>
        <v>09/08/1991</v>
      </c>
      <c r="I209" s="24" t="str">
        <f>VLOOKUP($B209,Custumer_Master!$A:$J,9,FALSE)</f>
        <v>Pune</v>
      </c>
      <c r="J209" s="24" t="str">
        <f>VLOOKUP($B209,Custumer_Master!$A:$J,10,FALSE)</f>
        <v>West</v>
      </c>
      <c r="K209" s="24" t="str">
        <f>VLOOKUP(B209,Custumer_Master!A:D,4,FALSE)</f>
        <v>RJ</v>
      </c>
      <c r="L209" s="24" t="str">
        <f>PROPER(TRIM(VLOOKUP('Final Data'!C209,Product_Master!A:F,3,FALSE)))</f>
        <v>Electronics</v>
      </c>
      <c r="M209" s="24" t="s">
        <v>60</v>
      </c>
      <c r="N209" s="34">
        <v>12</v>
      </c>
      <c r="O209" s="192">
        <f>VLOOKUP(C209,Product_Master!A:F,5,FALSE)</f>
        <v>41250</v>
      </c>
      <c r="P209" s="33">
        <v>0</v>
      </c>
      <c r="Q209" s="34">
        <f t="shared" si="9"/>
        <v>495000</v>
      </c>
      <c r="R209" s="34">
        <v>2</v>
      </c>
      <c r="S209" s="24" t="s">
        <v>2149</v>
      </c>
      <c r="T209" s="24" t="s">
        <v>49</v>
      </c>
      <c r="U209" s="24" t="s">
        <v>332</v>
      </c>
      <c r="V209" s="34">
        <v>9364681052</v>
      </c>
      <c r="W209" s="24" t="str">
        <f>VLOOKUP(C209,Product_Master!A:F,4,FALSE)</f>
        <v>TechHub</v>
      </c>
      <c r="X209" s="34">
        <f>VLOOKUP(C209,Product_Master!A:F,6,FALSE)</f>
        <v>12</v>
      </c>
      <c r="Y209" s="24" t="str">
        <f>VLOOKUP(B209,Custumer_Master!A:D,3,FALSE)</f>
        <v>Silver</v>
      </c>
      <c r="Z209" s="30">
        <f>EDATE(E209,X209)</f>
        <v>46407</v>
      </c>
      <c r="AA209" s="29" t="str">
        <f>VLOOKUP(B209,Custumer_Master!A:K,11,)</f>
        <v>August</v>
      </c>
      <c r="AB209" s="24" t="s">
        <v>2160</v>
      </c>
      <c r="AC209" s="138" t="str">
        <f>PROPER(LEFT(TRIM(F209), 3)) &amp; RIGHT(TRIM(B209), 3) &amp; PROPER(LEFT(TRIM(I209), 2))</f>
        <v>Ami001Pu</v>
      </c>
      <c r="AD209" s="154">
        <f t="shared" ca="1" si="10"/>
        <v>34</v>
      </c>
      <c r="AE209" s="154">
        <f>IFERROR(IF(OR(E209="", D209="", LOWER(TRIM(E209))="pending", LOWER(TRIM(D209))="pending"), "Pending", E209 - D209), "Pending")</f>
        <v>3</v>
      </c>
      <c r="AF209" s="138" t="str">
        <f>IFERROR(IF(OR(E209="", D209="","Pending","Pending"), "Pending", IF((E209 - D209) &lt;= 5, "On Time", "Delayed")), "Pending")</f>
        <v>On Time</v>
      </c>
      <c r="AG209" s="24" t="str">
        <f t="shared" si="11"/>
        <v>Completed</v>
      </c>
    </row>
    <row r="210" spans="1:33">
      <c r="A210" s="24" t="s">
        <v>1043</v>
      </c>
      <c r="B210" s="24" t="s">
        <v>23</v>
      </c>
      <c r="C210" s="24" t="s">
        <v>40</v>
      </c>
      <c r="D210" s="30">
        <v>45976</v>
      </c>
      <c r="E210" s="30" t="s">
        <v>1044</v>
      </c>
      <c r="F210" s="24" t="str">
        <f>VLOOKUP(B210,Custumer_Master!A:D,2,FALSE)</f>
        <v>Kavya Nair</v>
      </c>
      <c r="G210" s="24" t="str">
        <f>VLOOKUP($B210,Custumer_Master!$A:$J,6,FALSE)</f>
        <v>Female</v>
      </c>
      <c r="H210" s="30" t="str">
        <f>VLOOKUP($B210,Custumer_Master!$A:$J,7,FALSE)</f>
        <v>01/08/1976</v>
      </c>
      <c r="I210" s="24" t="str">
        <f>VLOOKUP($B210,Custumer_Master!$A:$J,9,FALSE)</f>
        <v>Hyderabad</v>
      </c>
      <c r="J210" s="24" t="str">
        <f>VLOOKUP($B210,Custumer_Master!$A:$J,10,FALSE)</f>
        <v>South</v>
      </c>
      <c r="K210" s="24" t="str">
        <f>VLOOKUP(B210,Custumer_Master!A:D,4,FALSE)</f>
        <v>WB</v>
      </c>
      <c r="L210" s="24" t="str">
        <f>PROPER(TRIM(VLOOKUP('Final Data'!C210,Product_Master!A:F,3,FALSE)))</f>
        <v>Electronics</v>
      </c>
      <c r="M210" s="24" t="s">
        <v>47</v>
      </c>
      <c r="N210" s="34">
        <v>7</v>
      </c>
      <c r="O210" s="192">
        <f>VLOOKUP(C210,Product_Master!A:F,5,FALSE)</f>
        <v>9000</v>
      </c>
      <c r="P210" s="33">
        <v>0.05</v>
      </c>
      <c r="Q210" s="34">
        <f t="shared" si="9"/>
        <v>59850</v>
      </c>
      <c r="R210" s="34">
        <v>3</v>
      </c>
      <c r="S210" s="24" t="s">
        <v>79</v>
      </c>
      <c r="T210" s="24" t="s">
        <v>151</v>
      </c>
      <c r="U210" s="24" t="s">
        <v>50</v>
      </c>
      <c r="V210" s="34">
        <v>9117102884</v>
      </c>
      <c r="W210" s="24" t="str">
        <f>VLOOKUP(C210,Product_Master!A:F,4,FALSE)</f>
        <v>Global Trade</v>
      </c>
      <c r="X210" s="34">
        <f>VLOOKUP(C210,Product_Master!A:F,6,FALSE)</f>
        <v>24</v>
      </c>
      <c r="Y210" s="24" t="str">
        <f>VLOOKUP(B210,Custumer_Master!A:D,3,FALSE)</f>
        <v>Silver</v>
      </c>
      <c r="Z210" s="30">
        <f>EDATE(E210,X210)</f>
        <v>46715</v>
      </c>
      <c r="AA210" s="29" t="str">
        <f>VLOOKUP(B210,Custumer_Master!A:K,11,)</f>
        <v>August</v>
      </c>
      <c r="AB210" s="24" t="s">
        <v>2112</v>
      </c>
      <c r="AC210" s="138" t="str">
        <f>PROPER(LEFT(TRIM(F210), 3)) &amp; RIGHT(TRIM(B210), 3) &amp; PROPER(LEFT(TRIM(I210), 2))</f>
        <v>Kav008Hy</v>
      </c>
      <c r="AD210" s="154">
        <f t="shared" ca="1" si="10"/>
        <v>49</v>
      </c>
      <c r="AE210" s="154">
        <f>IFERROR(IF(OR(E210="", D210="", LOWER(TRIM(E210))="pending", LOWER(TRIM(D210))="pending"), "Pending", E210 - D210), "Pending")</f>
        <v>9</v>
      </c>
      <c r="AF210" s="138" t="str">
        <f>IFERROR(IF(OR(E210="", D210="","Pending","Pending"), "Pending", IF((E210 - D210) &lt;= 5, "On Time", "Delayed")), "Pending")</f>
        <v>Delayed</v>
      </c>
      <c r="AG210" s="24" t="str">
        <f t="shared" si="11"/>
        <v>Completed</v>
      </c>
    </row>
    <row r="211" spans="1:33">
      <c r="A211" s="24" t="s">
        <v>1047</v>
      </c>
      <c r="B211" s="24" t="s">
        <v>251</v>
      </c>
      <c r="C211" s="24" t="s">
        <v>40</v>
      </c>
      <c r="D211" s="30">
        <v>45921</v>
      </c>
      <c r="E211" s="30" t="s">
        <v>129</v>
      </c>
      <c r="F211" s="24" t="str">
        <f>VLOOKUP(B211,Custumer_Master!A:D,2,FALSE)</f>
        <v>Sneha Joshi</v>
      </c>
      <c r="G211" s="24" t="str">
        <f>VLOOKUP($B211,Custumer_Master!$A:$J,6,FALSE)</f>
        <v>Female</v>
      </c>
      <c r="H211" s="30" t="str">
        <f>VLOOKUP($B211,Custumer_Master!$A:$J,7,FALSE)</f>
        <v>04/04/1981</v>
      </c>
      <c r="I211" s="24" t="str">
        <f>VLOOKUP($B211,Custumer_Master!$A:$J,9,FALSE)</f>
        <v>Pune</v>
      </c>
      <c r="J211" s="24" t="str">
        <f>VLOOKUP($B211,Custumer_Master!$A:$J,10,FALSE)</f>
        <v>West</v>
      </c>
      <c r="K211" s="24" t="str">
        <f>VLOOKUP(B211,Custumer_Master!A:D,4,FALSE)</f>
        <v>WB</v>
      </c>
      <c r="L211" s="24" t="str">
        <f>PROPER(TRIM(VLOOKUP('Final Data'!C211,Product_Master!A:F,3,FALSE)))</f>
        <v>Electronics</v>
      </c>
      <c r="M211" s="24" t="s">
        <v>47</v>
      </c>
      <c r="N211" s="34">
        <v>8</v>
      </c>
      <c r="O211" s="192">
        <f>VLOOKUP(C211,Product_Master!A:F,5,FALSE)</f>
        <v>9000</v>
      </c>
      <c r="P211" s="33">
        <v>0.15</v>
      </c>
      <c r="Q211" s="34">
        <f t="shared" si="9"/>
        <v>61200</v>
      </c>
      <c r="R211" s="34">
        <v>4</v>
      </c>
      <c r="S211" s="24" t="s">
        <v>79</v>
      </c>
      <c r="T211" s="24" t="s">
        <v>49</v>
      </c>
      <c r="U211" s="24" t="s">
        <v>256</v>
      </c>
      <c r="V211" s="34">
        <v>9819453185</v>
      </c>
      <c r="W211" s="24" t="str">
        <f>VLOOKUP(C211,Product_Master!A:F,4,FALSE)</f>
        <v>Global Trade</v>
      </c>
      <c r="X211" s="34">
        <f>VLOOKUP(C211,Product_Master!A:F,6,FALSE)</f>
        <v>24</v>
      </c>
      <c r="Y211" s="24" t="str">
        <f>VLOOKUP(B211,Custumer_Master!A:D,3,FALSE)</f>
        <v>Gold</v>
      </c>
      <c r="Z211" s="30">
        <f>EDATE(E211,X211)</f>
        <v>46653</v>
      </c>
      <c r="AA211" s="29" t="str">
        <f>VLOOKUP(B211,Custumer_Master!A:K,11,)</f>
        <v>April</v>
      </c>
      <c r="AB211" s="24" t="s">
        <v>2112</v>
      </c>
      <c r="AC211" s="138" t="str">
        <f>PROPER(LEFT(TRIM(F211), 3)) &amp; RIGHT(TRIM(B211), 3) &amp; PROPER(LEFT(TRIM(I211), 2))</f>
        <v>Sne006Pu</v>
      </c>
      <c r="AD211" s="154">
        <f t="shared" ca="1" si="10"/>
        <v>45</v>
      </c>
      <c r="AE211" s="154">
        <f>IFERROR(IF(OR(E211="", D211="", LOWER(TRIM(E211))="pending", LOWER(TRIM(D211))="pending"), "Pending", E211 - D211), "Pending")</f>
        <v>2</v>
      </c>
      <c r="AF211" s="138" t="str">
        <f>IFERROR(IF(OR(E211="", D211="","Pending","Pending"), "Pending", IF((E211 - D211) &lt;= 5, "On Time", "Delayed")), "Pending")</f>
        <v>On Time</v>
      </c>
      <c r="AG211" s="24" t="str">
        <f t="shared" si="11"/>
        <v>Completed</v>
      </c>
    </row>
    <row r="212" spans="1:33">
      <c r="A212" s="24" t="s">
        <v>1051</v>
      </c>
      <c r="B212" s="24" t="s">
        <v>327</v>
      </c>
      <c r="C212" s="24" t="s">
        <v>92</v>
      </c>
      <c r="D212" s="30">
        <v>46009</v>
      </c>
      <c r="E212" s="30" t="s">
        <v>1052</v>
      </c>
      <c r="F212" s="24" t="str">
        <f>VLOOKUP(B212,Custumer_Master!A:D,2,FALSE)</f>
        <v>Amit Sharma</v>
      </c>
      <c r="G212" s="24" t="str">
        <f>VLOOKUP($B212,Custumer_Master!$A:$J,6,FALSE)</f>
        <v>Male</v>
      </c>
      <c r="H212" s="30" t="str">
        <f>VLOOKUP($B212,Custumer_Master!$A:$J,7,FALSE)</f>
        <v>09/08/1991</v>
      </c>
      <c r="I212" s="24" t="str">
        <f>VLOOKUP($B212,Custumer_Master!$A:$J,9,FALSE)</f>
        <v>Pune</v>
      </c>
      <c r="J212" s="24" t="str">
        <f>VLOOKUP($B212,Custumer_Master!$A:$J,10,FALSE)</f>
        <v>West</v>
      </c>
      <c r="K212" s="24" t="str">
        <f>VLOOKUP(B212,Custumer_Master!A:D,4,FALSE)</f>
        <v>RJ</v>
      </c>
      <c r="L212" s="24" t="str">
        <f>PROPER(TRIM(VLOOKUP('Final Data'!C212,Product_Master!A:F,3,FALSE)))</f>
        <v>Home Appliances</v>
      </c>
      <c r="M212" s="24" t="s">
        <v>97</v>
      </c>
      <c r="N212" s="34">
        <v>19</v>
      </c>
      <c r="O212" s="192">
        <f>VLOOKUP(C212,Product_Master!A:F,5,FALSE)</f>
        <v>2625</v>
      </c>
      <c r="P212" s="33">
        <v>0.05</v>
      </c>
      <c r="Q212" s="34">
        <f t="shared" si="9"/>
        <v>47381.25</v>
      </c>
      <c r="R212" s="34">
        <v>3</v>
      </c>
      <c r="S212" s="24" t="s">
        <v>79</v>
      </c>
      <c r="T212" s="24" t="s">
        <v>61</v>
      </c>
      <c r="U212" s="24" t="s">
        <v>332</v>
      </c>
      <c r="V212" s="34">
        <v>9511806701</v>
      </c>
      <c r="W212" s="24" t="str">
        <f>VLOOKUP(C212,Product_Master!A:F,4,FALSE)</f>
        <v>Global Trade</v>
      </c>
      <c r="X212" s="34">
        <f>VLOOKUP(C212,Product_Master!A:F,6,FALSE)</f>
        <v>6</v>
      </c>
      <c r="Y212" s="24" t="str">
        <f>VLOOKUP(B212,Custumer_Master!A:D,3,FALSE)</f>
        <v>Silver</v>
      </c>
      <c r="Z212" s="30">
        <f>EDATE(E212,X212)</f>
        <v>46200</v>
      </c>
      <c r="AA212" s="29" t="str">
        <f>VLOOKUP(B212,Custumer_Master!A:K,11,)</f>
        <v>August</v>
      </c>
      <c r="AB212" s="24" t="s">
        <v>2108</v>
      </c>
      <c r="AC212" s="138" t="str">
        <f>PROPER(LEFT(TRIM(F212), 3)) &amp; RIGHT(TRIM(B212), 3) &amp; PROPER(LEFT(TRIM(I212), 2))</f>
        <v>Ami001Pu</v>
      </c>
      <c r="AD212" s="154">
        <f t="shared" ca="1" si="10"/>
        <v>34</v>
      </c>
      <c r="AE212" s="154">
        <f>IFERROR(IF(OR(E212="", D212="", LOWER(TRIM(E212))="pending", LOWER(TRIM(D212))="pending"), "Pending", E212 - D212), "Pending")</f>
        <v>9</v>
      </c>
      <c r="AF212" s="138" t="str">
        <f>IFERROR(IF(OR(E212="", D212="","Pending","Pending"), "Pending", IF((E212 - D212) &lt;= 5, "On Time", "Delayed")), "Pending")</f>
        <v>Delayed</v>
      </c>
      <c r="AG212" s="24" t="str">
        <f t="shared" si="11"/>
        <v>Completed</v>
      </c>
    </row>
    <row r="213" spans="1:33">
      <c r="A213" s="24" t="s">
        <v>1055</v>
      </c>
      <c r="B213" s="24" t="s">
        <v>251</v>
      </c>
      <c r="C213" s="24" t="s">
        <v>259</v>
      </c>
      <c r="D213" s="30">
        <v>45694</v>
      </c>
      <c r="E213" s="30" t="s">
        <v>987</v>
      </c>
      <c r="F213" s="24" t="str">
        <f>VLOOKUP(B213,Custumer_Master!A:D,2,FALSE)</f>
        <v>Sneha Joshi</v>
      </c>
      <c r="G213" s="24" t="str">
        <f>VLOOKUP($B213,Custumer_Master!$A:$J,6,FALSE)</f>
        <v>Female</v>
      </c>
      <c r="H213" s="30" t="str">
        <f>VLOOKUP($B213,Custumer_Master!$A:$J,7,FALSE)</f>
        <v>04/04/1981</v>
      </c>
      <c r="I213" s="24" t="str">
        <f>VLOOKUP($B213,Custumer_Master!$A:$J,9,FALSE)</f>
        <v>Pune</v>
      </c>
      <c r="J213" s="24" t="str">
        <f>VLOOKUP($B213,Custumer_Master!$A:$J,10,FALSE)</f>
        <v>West</v>
      </c>
      <c r="K213" s="24" t="str">
        <f>VLOOKUP(B213,Custumer_Master!A:D,4,FALSE)</f>
        <v>WB</v>
      </c>
      <c r="L213" s="24" t="str">
        <f>PROPER(TRIM(VLOOKUP('Final Data'!C213,Product_Master!A:F,3,FALSE)))</f>
        <v>Stationery</v>
      </c>
      <c r="M213" s="24" t="s">
        <v>263</v>
      </c>
      <c r="N213" s="34">
        <v>7</v>
      </c>
      <c r="O213" s="192">
        <f>VLOOKUP(C213,Product_Master!A:F,5,FALSE)</f>
        <v>33.75</v>
      </c>
      <c r="P213" s="33">
        <v>0.05</v>
      </c>
      <c r="Q213" s="34">
        <f t="shared" si="9"/>
        <v>224.4375</v>
      </c>
      <c r="R213" s="34">
        <v>3</v>
      </c>
      <c r="S213" s="24" t="s">
        <v>79</v>
      </c>
      <c r="T213" s="24" t="s">
        <v>35</v>
      </c>
      <c r="U213" s="24" t="s">
        <v>256</v>
      </c>
      <c r="V213" s="34">
        <v>9875249891</v>
      </c>
      <c r="W213" s="24" t="str">
        <f>VLOOKUP(C213,Product_Master!A:F,4,FALSE)</f>
        <v>TechHub</v>
      </c>
      <c r="X213" s="34">
        <f>VLOOKUP(C213,Product_Master!A:F,6,FALSE)</f>
        <v>12</v>
      </c>
      <c r="Y213" s="24" t="str">
        <f>VLOOKUP(B213,Custumer_Master!A:D,3,FALSE)</f>
        <v>Gold</v>
      </c>
      <c r="Z213" s="30">
        <f>EDATE(E213,X213)</f>
        <v>46069</v>
      </c>
      <c r="AA213" s="29" t="str">
        <f>VLOOKUP(B213,Custumer_Master!A:K,11,)</f>
        <v>April</v>
      </c>
      <c r="AB213" s="24" t="s">
        <v>2108</v>
      </c>
      <c r="AC213" s="138" t="str">
        <f>PROPER(LEFT(TRIM(F213), 3)) &amp; RIGHT(TRIM(B213), 3) &amp; PROPER(LEFT(TRIM(I213), 2))</f>
        <v>Sne006Pu</v>
      </c>
      <c r="AD213" s="154">
        <f t="shared" ca="1" si="10"/>
        <v>45</v>
      </c>
      <c r="AE213" s="154">
        <f>IFERROR(IF(OR(E213="", D213="", LOWER(TRIM(E213))="pending", LOWER(TRIM(D213))="pending"), "Pending", E213 - D213), "Pending")</f>
        <v>10</v>
      </c>
      <c r="AF213" s="138" t="str">
        <f>IFERROR(IF(OR(E213="", D213="","Pending","Pending"), "Pending", IF((E213 - D213) &lt;= 5, "On Time", "Delayed")), "Pending")</f>
        <v>Delayed</v>
      </c>
      <c r="AG213" s="24" t="str">
        <f t="shared" si="11"/>
        <v>Completed</v>
      </c>
    </row>
    <row r="214" spans="1:33">
      <c r="A214" s="24" t="s">
        <v>1058</v>
      </c>
      <c r="B214" s="24" t="s">
        <v>23</v>
      </c>
      <c r="C214" s="24" t="s">
        <v>118</v>
      </c>
      <c r="D214" s="30">
        <v>45810</v>
      </c>
      <c r="E214" s="30" t="s">
        <v>750</v>
      </c>
      <c r="F214" s="24" t="str">
        <f>VLOOKUP(B214,Custumer_Master!A:D,2,FALSE)</f>
        <v>Kavya Nair</v>
      </c>
      <c r="G214" s="24" t="str">
        <f>VLOOKUP($B214,Custumer_Master!$A:$J,6,FALSE)</f>
        <v>Female</v>
      </c>
      <c r="H214" s="30" t="str">
        <f>VLOOKUP($B214,Custumer_Master!$A:$J,7,FALSE)</f>
        <v>01/08/1976</v>
      </c>
      <c r="I214" s="24" t="str">
        <f>VLOOKUP($B214,Custumer_Master!$A:$J,9,FALSE)</f>
        <v>Hyderabad</v>
      </c>
      <c r="J214" s="24" t="str">
        <f>VLOOKUP($B214,Custumer_Master!$A:$J,10,FALSE)</f>
        <v>South</v>
      </c>
      <c r="K214" s="24" t="str">
        <f>VLOOKUP(B214,Custumer_Master!A:D,4,FALSE)</f>
        <v>WB</v>
      </c>
      <c r="L214" s="24" t="str">
        <f>PROPER(TRIM(VLOOKUP('Final Data'!C214,Product_Master!A:F,3,FALSE)))</f>
        <v>Stationery</v>
      </c>
      <c r="M214" s="24" t="s">
        <v>123</v>
      </c>
      <c r="N214" s="34">
        <v>3</v>
      </c>
      <c r="O214" s="192">
        <f>VLOOKUP(C214,Product_Master!A:F,5,FALSE)</f>
        <v>45</v>
      </c>
      <c r="P214" s="33">
        <v>0.15</v>
      </c>
      <c r="Q214" s="34">
        <f t="shared" si="9"/>
        <v>114.75</v>
      </c>
      <c r="R214" s="34">
        <v>3</v>
      </c>
      <c r="S214" s="24" t="s">
        <v>2148</v>
      </c>
      <c r="T214" s="24" t="s">
        <v>49</v>
      </c>
      <c r="U214" s="24" t="s">
        <v>50</v>
      </c>
      <c r="V214" s="34">
        <v>9438232503</v>
      </c>
      <c r="W214" s="24" t="str">
        <f>VLOOKUP(C214,Product_Master!A:F,4,FALSE)</f>
        <v>ABC Corp</v>
      </c>
      <c r="X214" s="34">
        <f>VLOOKUP(C214,Product_Master!A:F,6,FALSE)</f>
        <v>12</v>
      </c>
      <c r="Y214" s="24" t="str">
        <f>VLOOKUP(B214,Custumer_Master!A:D,3,FALSE)</f>
        <v>Silver</v>
      </c>
      <c r="Z214" s="30">
        <f>EDATE(E214,X214)</f>
        <v>46181</v>
      </c>
      <c r="AA214" s="29" t="str">
        <f>VLOOKUP(B214,Custumer_Master!A:K,11,)</f>
        <v>August</v>
      </c>
      <c r="AB214" s="24" t="s">
        <v>2108</v>
      </c>
      <c r="AC214" s="138" t="str">
        <f>PROPER(LEFT(TRIM(F214), 3)) &amp; RIGHT(TRIM(B214), 3) &amp; PROPER(LEFT(TRIM(I214), 2))</f>
        <v>Kav008Hy</v>
      </c>
      <c r="AD214" s="154">
        <f t="shared" ca="1" si="10"/>
        <v>49</v>
      </c>
      <c r="AE214" s="154">
        <f>IFERROR(IF(OR(E214="", D214="", LOWER(TRIM(E214))="pending", LOWER(TRIM(D214))="pending"), "Pending", E214 - D214), "Pending")</f>
        <v>6</v>
      </c>
      <c r="AF214" s="138" t="str">
        <f>IFERROR(IF(OR(E214="", D214="","Pending","Pending"), "Pending", IF((E214 - D214) &lt;= 5, "On Time", "Delayed")), "Pending")</f>
        <v>Delayed</v>
      </c>
      <c r="AG214" s="24" t="str">
        <f t="shared" si="11"/>
        <v>Completed</v>
      </c>
    </row>
    <row r="215" spans="1:33">
      <c r="A215" s="24" t="s">
        <v>1060</v>
      </c>
      <c r="B215" s="24" t="s">
        <v>53</v>
      </c>
      <c r="C215" s="24" t="s">
        <v>259</v>
      </c>
      <c r="D215" s="30">
        <v>46134</v>
      </c>
      <c r="E215" s="30" t="s">
        <v>582</v>
      </c>
      <c r="F215" s="24" t="str">
        <f>VLOOKUP(B215,Custumer_Master!A:D,2,FALSE)</f>
        <v>Pooja Shah</v>
      </c>
      <c r="G215" s="24" t="str">
        <f>VLOOKUP($B215,Custumer_Master!$A:$J,6,FALSE)</f>
        <v>Female</v>
      </c>
      <c r="H215" s="30" t="str">
        <f>VLOOKUP($B215,Custumer_Master!$A:$J,7,FALSE)</f>
        <v>16/09/1994</v>
      </c>
      <c r="I215" s="24" t="str">
        <f>VLOOKUP($B215,Custumer_Master!$A:$J,9,FALSE)</f>
        <v>Bengaluru</v>
      </c>
      <c r="J215" s="24" t="str">
        <f>VLOOKUP($B215,Custumer_Master!$A:$J,10,FALSE)</f>
        <v>South</v>
      </c>
      <c r="K215" s="24" t="str">
        <f>VLOOKUP(B215,Custumer_Master!A:D,4,FALSE)</f>
        <v>WB</v>
      </c>
      <c r="L215" s="24" t="str">
        <f>PROPER(TRIM(VLOOKUP('Final Data'!C215,Product_Master!A:F,3,FALSE)))</f>
        <v>Stationery</v>
      </c>
      <c r="M215" s="24" t="s">
        <v>263</v>
      </c>
      <c r="N215" s="34">
        <v>19</v>
      </c>
      <c r="O215" s="192">
        <f>VLOOKUP(C215,Product_Master!A:F,5,FALSE)</f>
        <v>33.75</v>
      </c>
      <c r="P215" s="33">
        <v>0</v>
      </c>
      <c r="Q215" s="34">
        <f t="shared" si="9"/>
        <v>641.25</v>
      </c>
      <c r="R215" s="34">
        <v>2</v>
      </c>
      <c r="S215" s="24" t="s">
        <v>34</v>
      </c>
      <c r="T215" s="24" t="s">
        <v>61</v>
      </c>
      <c r="U215" s="24" t="s">
        <v>62</v>
      </c>
      <c r="V215" s="34">
        <v>9449953754</v>
      </c>
      <c r="W215" s="24" t="str">
        <f>VLOOKUP(C215,Product_Master!A:F,4,FALSE)</f>
        <v>TechHub</v>
      </c>
      <c r="X215" s="34">
        <f>VLOOKUP(C215,Product_Master!A:F,6,FALSE)</f>
        <v>12</v>
      </c>
      <c r="Y215" s="24" t="str">
        <f>VLOOKUP(B215,Custumer_Master!A:D,3,FALSE)</f>
        <v>Silver</v>
      </c>
      <c r="Z215" s="30">
        <f>EDATE(E215,X215)</f>
        <v>46511</v>
      </c>
      <c r="AA215" s="29" t="str">
        <f>VLOOKUP(B215,Custumer_Master!A:K,11,)</f>
        <v>September</v>
      </c>
      <c r="AB215" s="24" t="s">
        <v>2160</v>
      </c>
      <c r="AC215" s="138" t="str">
        <f>PROPER(LEFT(TRIM(F215), 3)) &amp; RIGHT(TRIM(B215), 3) &amp; PROPER(LEFT(TRIM(I215), 2))</f>
        <v>Poo010Be</v>
      </c>
      <c r="AD215" s="154">
        <f t="shared" ca="1" si="10"/>
        <v>31</v>
      </c>
      <c r="AE215" s="154">
        <f>IFERROR(IF(OR(E215="", D215="", LOWER(TRIM(E215))="pending", LOWER(TRIM(D215))="pending"), "Pending", E215 - D215), "Pending")</f>
        <v>12</v>
      </c>
      <c r="AF215" s="138" t="str">
        <f>IFERROR(IF(OR(E215="", D215="","Pending","Pending"), "Pending", IF((E215 - D215) &lt;= 5, "On Time", "Delayed")), "Pending")</f>
        <v>Delayed</v>
      </c>
      <c r="AG215" s="24" t="str">
        <f t="shared" si="11"/>
        <v>Completed</v>
      </c>
    </row>
    <row r="216" spans="1:33">
      <c r="A216" s="24" t="s">
        <v>1064</v>
      </c>
      <c r="B216" s="24" t="s">
        <v>100</v>
      </c>
      <c r="C216" s="24" t="s">
        <v>40</v>
      </c>
      <c r="D216" s="30">
        <v>46087</v>
      </c>
      <c r="E216" s="30" t="s">
        <v>543</v>
      </c>
      <c r="F216" s="24" t="str">
        <f>VLOOKUP(B216,Custumer_Master!A:D,2,FALSE)</f>
        <v>Priya Patel</v>
      </c>
      <c r="G216" s="24" t="str">
        <f>VLOOKUP($B216,Custumer_Master!$A:$J,6,FALSE)</f>
        <v>Female</v>
      </c>
      <c r="H216" s="30" t="str">
        <f>VLOOKUP($B216,Custumer_Master!$A:$J,7,FALSE)</f>
        <v>07/03/1995</v>
      </c>
      <c r="I216" s="24" t="str">
        <f>VLOOKUP($B216,Custumer_Master!$A:$J,9,FALSE)</f>
        <v>Mumbai</v>
      </c>
      <c r="J216" s="24" t="str">
        <f>VLOOKUP($B216,Custumer_Master!$A:$J,10,FALSE)</f>
        <v>West</v>
      </c>
      <c r="K216" s="24" t="str">
        <f>VLOOKUP(B216,Custumer_Master!A:D,4,FALSE)</f>
        <v>WB</v>
      </c>
      <c r="L216" s="24" t="str">
        <f>PROPER(TRIM(VLOOKUP('Final Data'!C216,Product_Master!A:F,3,FALSE)))</f>
        <v>Electronics</v>
      </c>
      <c r="M216" s="24" t="s">
        <v>47</v>
      </c>
      <c r="N216" s="34">
        <v>10</v>
      </c>
      <c r="O216" s="192">
        <f>VLOOKUP(C216,Product_Master!A:F,5,FALSE)</f>
        <v>9000</v>
      </c>
      <c r="P216" s="33">
        <v>0.05</v>
      </c>
      <c r="Q216" s="34">
        <f t="shared" si="9"/>
        <v>85500</v>
      </c>
      <c r="R216" s="34">
        <v>1</v>
      </c>
      <c r="S216" s="24" t="s">
        <v>79</v>
      </c>
      <c r="T216" s="24" t="s">
        <v>115</v>
      </c>
      <c r="U216" s="24" t="s">
        <v>144</v>
      </c>
      <c r="V216" s="34">
        <v>9833801891</v>
      </c>
      <c r="W216" s="24" t="str">
        <f>VLOOKUP(C216,Product_Master!A:F,4,FALSE)</f>
        <v>Global Trade</v>
      </c>
      <c r="X216" s="34">
        <f>VLOOKUP(C216,Product_Master!A:F,6,FALSE)</f>
        <v>24</v>
      </c>
      <c r="Y216" s="24" t="str">
        <f>VLOOKUP(B216,Custumer_Master!A:D,3,FALSE)</f>
        <v>Platinum</v>
      </c>
      <c r="Z216" s="30">
        <f>EDATE(E216,X216)</f>
        <v>46828</v>
      </c>
      <c r="AA216" s="29" t="str">
        <f>VLOOKUP(B216,Custumer_Master!A:K,11,)</f>
        <v>March</v>
      </c>
      <c r="AB216" s="24" t="s">
        <v>2160</v>
      </c>
      <c r="AC216" s="138" t="str">
        <f>PROPER(LEFT(TRIM(F216), 3)) &amp; RIGHT(TRIM(B216), 3) &amp; PROPER(LEFT(TRIM(I216), 2))</f>
        <v>Pri002Mu</v>
      </c>
      <c r="AD216" s="154">
        <f t="shared" ca="1" si="10"/>
        <v>31</v>
      </c>
      <c r="AE216" s="154">
        <f>IFERROR(IF(OR(E216="", D216="", LOWER(TRIM(E216))="pending", LOWER(TRIM(D216))="pending"), "Pending", E216 - D216), "Pending")</f>
        <v>10</v>
      </c>
      <c r="AF216" s="138" t="str">
        <f>IFERROR(IF(OR(E216="", D216="","Pending","Pending"), "Pending", IF((E216 - D216) &lt;= 5, "On Time", "Delayed")), "Pending")</f>
        <v>Delayed</v>
      </c>
      <c r="AG216" s="24" t="str">
        <f t="shared" si="11"/>
        <v>Completed</v>
      </c>
    </row>
    <row r="217" spans="1:33">
      <c r="A217" s="24" t="s">
        <v>1068</v>
      </c>
      <c r="B217" s="24" t="s">
        <v>23</v>
      </c>
      <c r="C217" s="24" t="s">
        <v>72</v>
      </c>
      <c r="D217" s="30">
        <v>45716</v>
      </c>
      <c r="E217" s="30" t="s">
        <v>1031</v>
      </c>
      <c r="F217" s="24" t="str">
        <f>VLOOKUP(B217,Custumer_Master!A:D,2,FALSE)</f>
        <v>Kavya Nair</v>
      </c>
      <c r="G217" s="24" t="str">
        <f>VLOOKUP($B217,Custumer_Master!$A:$J,6,FALSE)</f>
        <v>Female</v>
      </c>
      <c r="H217" s="30" t="str">
        <f>VLOOKUP($B217,Custumer_Master!$A:$J,7,FALSE)</f>
        <v>01/08/1976</v>
      </c>
      <c r="I217" s="24" t="str">
        <f>VLOOKUP($B217,Custumer_Master!$A:$J,9,FALSE)</f>
        <v>Hyderabad</v>
      </c>
      <c r="J217" s="24" t="str">
        <f>VLOOKUP($B217,Custumer_Master!$A:$J,10,FALSE)</f>
        <v>South</v>
      </c>
      <c r="K217" s="24" t="str">
        <f>VLOOKUP(B217,Custumer_Master!A:D,4,FALSE)</f>
        <v>WB</v>
      </c>
      <c r="L217" s="24" t="str">
        <f>PROPER(TRIM(VLOOKUP('Final Data'!C217,Product_Master!A:F,3,FALSE)))</f>
        <v>Electronics</v>
      </c>
      <c r="M217" s="24" t="s">
        <v>78</v>
      </c>
      <c r="N217" s="34">
        <v>4</v>
      </c>
      <c r="O217" s="192">
        <f>VLOOKUP(C217,Product_Master!A:F,5,FALSE)</f>
        <v>900</v>
      </c>
      <c r="P217" s="33">
        <v>0</v>
      </c>
      <c r="Q217" s="34">
        <f t="shared" si="9"/>
        <v>3600</v>
      </c>
      <c r="R217" s="34">
        <v>4</v>
      </c>
      <c r="S217" s="24" t="s">
        <v>34</v>
      </c>
      <c r="T217" s="24" t="s">
        <v>61</v>
      </c>
      <c r="U217" s="24" t="s">
        <v>50</v>
      </c>
      <c r="V217" s="34">
        <v>9183949273</v>
      </c>
      <c r="W217" s="24" t="str">
        <f>VLOOKUP(C217,Product_Master!A:F,4,FALSE)</f>
        <v>TechHub</v>
      </c>
      <c r="X217" s="34">
        <f>VLOOKUP(C217,Product_Master!A:F,6,FALSE)</f>
        <v>6</v>
      </c>
      <c r="Y217" s="24" t="str">
        <f>VLOOKUP(B217,Custumer_Master!A:D,3,FALSE)</f>
        <v>Silver</v>
      </c>
      <c r="Z217" s="30">
        <f>EDATE(E217,X217)</f>
        <v>45912</v>
      </c>
      <c r="AA217" s="29" t="str">
        <f>VLOOKUP(B217,Custumer_Master!A:K,11,)</f>
        <v>August</v>
      </c>
      <c r="AB217" s="24" t="s">
        <v>2108</v>
      </c>
      <c r="AC217" s="138" t="str">
        <f>PROPER(LEFT(TRIM(F217), 3)) &amp; RIGHT(TRIM(B217), 3) &amp; PROPER(LEFT(TRIM(I217), 2))</f>
        <v>Kav008Hy</v>
      </c>
      <c r="AD217" s="154">
        <f t="shared" ca="1" si="10"/>
        <v>49</v>
      </c>
      <c r="AE217" s="154">
        <f>IFERROR(IF(OR(E217="", D217="", LOWER(TRIM(E217))="pending", LOWER(TRIM(D217))="pending"), "Pending", E217 - D217), "Pending")</f>
        <v>12</v>
      </c>
      <c r="AF217" s="138" t="str">
        <f>IFERROR(IF(OR(E217="", D217="","Pending","Pending"), "Pending", IF((E217 - D217) &lt;= 5, "On Time", "Delayed")), "Pending")</f>
        <v>Delayed</v>
      </c>
      <c r="AG217" s="24" t="str">
        <f t="shared" si="11"/>
        <v>Completed</v>
      </c>
    </row>
    <row r="218" spans="1:33">
      <c r="A218" s="24" t="s">
        <v>1072</v>
      </c>
      <c r="B218" s="24" t="s">
        <v>221</v>
      </c>
      <c r="C218" s="24" t="s">
        <v>169</v>
      </c>
      <c r="D218" s="30">
        <v>45961</v>
      </c>
      <c r="E218" s="30" t="s">
        <v>1073</v>
      </c>
      <c r="F218" s="24" t="str">
        <f>VLOOKUP(B218,Custumer_Master!A:D,2,FALSE)</f>
        <v>Vikas Mehta</v>
      </c>
      <c r="G218" s="24" t="str">
        <f>VLOOKUP($B218,Custumer_Master!$A:$J,6,FALSE)</f>
        <v>Male</v>
      </c>
      <c r="H218" s="30" t="str">
        <f>VLOOKUP($B218,Custumer_Master!$A:$J,7,FALSE)</f>
        <v>03/08/1991</v>
      </c>
      <c r="I218" s="24" t="str">
        <f>VLOOKUP($B218,Custumer_Master!$A:$J,9,FALSE)</f>
        <v>Mumbai</v>
      </c>
      <c r="J218" s="24" t="str">
        <f>VLOOKUP($B218,Custumer_Master!$A:$J,10,FALSE)</f>
        <v>West</v>
      </c>
      <c r="K218" s="24" t="str">
        <f>VLOOKUP(B218,Custumer_Master!A:D,4,FALSE)</f>
        <v>DL</v>
      </c>
      <c r="L218" s="24" t="str">
        <f>PROPER(TRIM(VLOOKUP('Final Data'!C218,Product_Master!A:F,3,FALSE)))</f>
        <v>Home Appliances</v>
      </c>
      <c r="M218" s="24" t="s">
        <v>174</v>
      </c>
      <c r="N218" s="34">
        <v>2</v>
      </c>
      <c r="O218" s="192">
        <f>VLOOKUP(C218,Product_Master!A:F,5,FALSE)</f>
        <v>6375</v>
      </c>
      <c r="P218" s="33">
        <v>0.2</v>
      </c>
      <c r="Q218" s="34">
        <f t="shared" si="9"/>
        <v>10200</v>
      </c>
      <c r="R218" s="34">
        <v>3</v>
      </c>
      <c r="S218" s="24" t="s">
        <v>79</v>
      </c>
      <c r="T218" s="24" t="s">
        <v>151</v>
      </c>
      <c r="U218" s="24" t="s">
        <v>228</v>
      </c>
      <c r="V218" s="34">
        <v>9168257367</v>
      </c>
      <c r="W218" s="24" t="str">
        <f>VLOOKUP(C218,Product_Master!A:F,4,FALSE)</f>
        <v>TechHub</v>
      </c>
      <c r="X218" s="34">
        <f>VLOOKUP(C218,Product_Master!A:F,6,FALSE)</f>
        <v>24</v>
      </c>
      <c r="Y218" s="24" t="str">
        <f>VLOOKUP(B218,Custumer_Master!A:D,3,FALSE)</f>
        <v>Gold</v>
      </c>
      <c r="Z218" s="30">
        <f>EDATE(E218,X218)</f>
        <v>46698</v>
      </c>
      <c r="AA218" s="29" t="str">
        <f>VLOOKUP(B218,Custumer_Master!A:K,11,)</f>
        <v>August</v>
      </c>
      <c r="AB218" s="24" t="s">
        <v>2108</v>
      </c>
      <c r="AC218" s="138" t="str">
        <f>PROPER(LEFT(TRIM(F218), 3)) &amp; RIGHT(TRIM(B218), 3) &amp; PROPER(LEFT(TRIM(I218), 2))</f>
        <v>Vik005Mu</v>
      </c>
      <c r="AD218" s="154">
        <f t="shared" ca="1" si="10"/>
        <v>34</v>
      </c>
      <c r="AE218" s="154">
        <f>IFERROR(IF(OR(E218="", D218="", LOWER(TRIM(E218))="pending", LOWER(TRIM(D218))="pending"), "Pending", E218 - D218), "Pending")</f>
        <v>7</v>
      </c>
      <c r="AF218" s="138" t="str">
        <f>IFERROR(IF(OR(E218="", D218="","Pending","Pending"), "Pending", IF((E218 - D218) &lt;= 5, "On Time", "Delayed")), "Pending")</f>
        <v>Delayed</v>
      </c>
      <c r="AG218" s="24" t="str">
        <f t="shared" si="11"/>
        <v>Completed</v>
      </c>
    </row>
    <row r="219" spans="1:33">
      <c r="A219" s="24" t="s">
        <v>1076</v>
      </c>
      <c r="B219" s="24" t="s">
        <v>83</v>
      </c>
      <c r="C219" s="24" t="s">
        <v>184</v>
      </c>
      <c r="D219" s="30">
        <v>46052</v>
      </c>
      <c r="E219" s="30" t="s">
        <v>322</v>
      </c>
      <c r="F219" s="24" t="str">
        <f>VLOOKUP(B219,Custumer_Master!A:D,2,FALSE)</f>
        <v>Arjun Rao</v>
      </c>
      <c r="G219" s="24" t="str">
        <f>VLOOKUP($B219,Custumer_Master!$A:$J,6,FALSE)</f>
        <v>Male</v>
      </c>
      <c r="H219" s="30" t="str">
        <f>VLOOKUP($B219,Custumer_Master!$A:$J,7,FALSE)</f>
        <v>07/02/1988</v>
      </c>
      <c r="I219" s="24" t="str">
        <f>VLOOKUP($B219,Custumer_Master!$A:$J,9,FALSE)</f>
        <v>Hyderabad</v>
      </c>
      <c r="J219" s="24" t="str">
        <f>VLOOKUP($B219,Custumer_Master!$A:$J,10,FALSE)</f>
        <v>South</v>
      </c>
      <c r="K219" s="24" t="str">
        <f>VLOOKUP(B219,Custumer_Master!A:D,4,FALSE)</f>
        <v>RJ</v>
      </c>
      <c r="L219" s="24" t="str">
        <f>PROPER(TRIM(VLOOKUP('Final Data'!C219,Product_Master!A:F,3,FALSE)))</f>
        <v>Electronics</v>
      </c>
      <c r="M219" s="24" t="s">
        <v>189</v>
      </c>
      <c r="N219" s="34">
        <v>7</v>
      </c>
      <c r="O219" s="192">
        <f>VLOOKUP(C219,Product_Master!A:F,5,FALSE)</f>
        <v>525</v>
      </c>
      <c r="P219" s="33">
        <v>0.2</v>
      </c>
      <c r="Q219" s="34">
        <f t="shared" si="9"/>
        <v>2940</v>
      </c>
      <c r="R219" s="34">
        <v>2</v>
      </c>
      <c r="S219" s="24" t="s">
        <v>79</v>
      </c>
      <c r="T219" s="24" t="s">
        <v>151</v>
      </c>
      <c r="U219" s="24" t="s">
        <v>89</v>
      </c>
      <c r="V219" s="34">
        <v>9580903210</v>
      </c>
      <c r="W219" s="24" t="str">
        <f>VLOOKUP(C219,Product_Master!A:F,4,FALSE)</f>
        <v>TechHub</v>
      </c>
      <c r="X219" s="34">
        <f>VLOOKUP(C219,Product_Master!A:F,6,FALSE)</f>
        <v>24</v>
      </c>
      <c r="Y219" s="24" t="str">
        <f>VLOOKUP(B219,Custumer_Master!A:D,3,FALSE)</f>
        <v>Silver</v>
      </c>
      <c r="Z219" s="30">
        <f>EDATE(E219,X219)</f>
        <v>46791</v>
      </c>
      <c r="AA219" s="29" t="str">
        <f>VLOOKUP(B219,Custumer_Master!A:K,11,)</f>
        <v>February</v>
      </c>
      <c r="AB219" s="24" t="s">
        <v>2160</v>
      </c>
      <c r="AC219" s="138" t="str">
        <f>PROPER(LEFT(TRIM(F219), 3)) &amp; RIGHT(TRIM(B219), 3) &amp; PROPER(LEFT(TRIM(I219), 2))</f>
        <v>Arj007Hy</v>
      </c>
      <c r="AD219" s="154">
        <f t="shared" ca="1" si="10"/>
        <v>38</v>
      </c>
      <c r="AE219" s="154">
        <f>IFERROR(IF(OR(E219="", D219="", LOWER(TRIM(E219))="pending", LOWER(TRIM(D219))="pending"), "Pending", E219 - D219), "Pending")</f>
        <v>9</v>
      </c>
      <c r="AF219" s="138" t="str">
        <f>IFERROR(IF(OR(E219="", D219="","Pending","Pending"), "Pending", IF((E219 - D219) &lt;= 5, "On Time", "Delayed")), "Pending")</f>
        <v>Delayed</v>
      </c>
      <c r="AG219" s="24" t="str">
        <f t="shared" si="11"/>
        <v>Completed</v>
      </c>
    </row>
    <row r="220" spans="1:33">
      <c r="A220" s="24" t="s">
        <v>1080</v>
      </c>
      <c r="B220" s="24" t="s">
        <v>53</v>
      </c>
      <c r="C220" s="24" t="s">
        <v>222</v>
      </c>
      <c r="D220" s="30">
        <v>46141</v>
      </c>
      <c r="E220" s="30" t="s">
        <v>518</v>
      </c>
      <c r="F220" s="24" t="str">
        <f>VLOOKUP(B220,Custumer_Master!A:D,2,FALSE)</f>
        <v>Pooja Shah</v>
      </c>
      <c r="G220" s="24" t="str">
        <f>VLOOKUP($B220,Custumer_Master!$A:$J,6,FALSE)</f>
        <v>Female</v>
      </c>
      <c r="H220" s="30" t="str">
        <f>VLOOKUP($B220,Custumer_Master!$A:$J,7,FALSE)</f>
        <v>16/09/1994</v>
      </c>
      <c r="I220" s="24" t="str">
        <f>VLOOKUP($B220,Custumer_Master!$A:$J,9,FALSE)</f>
        <v>Bengaluru</v>
      </c>
      <c r="J220" s="24" t="str">
        <f>VLOOKUP($B220,Custumer_Master!$A:$J,10,FALSE)</f>
        <v>South</v>
      </c>
      <c r="K220" s="24" t="str">
        <f>VLOOKUP(B220,Custumer_Master!A:D,4,FALSE)</f>
        <v>WB</v>
      </c>
      <c r="L220" s="24" t="str">
        <f>PROPER(TRIM(VLOOKUP('Final Data'!C220,Product_Master!A:F,3,FALSE)))</f>
        <v>Stationery</v>
      </c>
      <c r="M220" s="24" t="s">
        <v>227</v>
      </c>
      <c r="N220" s="34">
        <v>9</v>
      </c>
      <c r="O220" s="192">
        <f>VLOOKUP(C220,Product_Master!A:F,5,FALSE)</f>
        <v>15</v>
      </c>
      <c r="P220" s="33">
        <v>0.15</v>
      </c>
      <c r="Q220" s="34">
        <f t="shared" si="9"/>
        <v>114.75</v>
      </c>
      <c r="R220" s="34">
        <v>3</v>
      </c>
      <c r="S220" s="24" t="s">
        <v>2148</v>
      </c>
      <c r="T220" s="24" t="s">
        <v>115</v>
      </c>
      <c r="U220" s="24" t="s">
        <v>62</v>
      </c>
      <c r="V220" s="34">
        <v>9602152945</v>
      </c>
      <c r="W220" s="24" t="str">
        <f>VLOOKUP(C220,Product_Master!A:F,4,FALSE)</f>
        <v>Prime Supplies</v>
      </c>
      <c r="X220" s="34">
        <f>VLOOKUP(C220,Product_Master!A:F,6,FALSE)</f>
        <v>12</v>
      </c>
      <c r="Y220" s="24" t="str">
        <f>VLOOKUP(B220,Custumer_Master!A:D,3,FALSE)</f>
        <v>Silver</v>
      </c>
      <c r="Z220" s="30">
        <f>EDATE(E220,X220)</f>
        <v>46510</v>
      </c>
      <c r="AA220" s="29" t="str">
        <f>VLOOKUP(B220,Custumer_Master!A:K,11,)</f>
        <v>September</v>
      </c>
      <c r="AB220" s="24" t="s">
        <v>2108</v>
      </c>
      <c r="AC220" s="138" t="str">
        <f>PROPER(LEFT(TRIM(F220), 3)) &amp; RIGHT(TRIM(B220), 3) &amp; PROPER(LEFT(TRIM(I220), 2))</f>
        <v>Poo010Be</v>
      </c>
      <c r="AD220" s="154">
        <f t="shared" ca="1" si="10"/>
        <v>31</v>
      </c>
      <c r="AE220" s="154">
        <f>IFERROR(IF(OR(E220="", D220="", LOWER(TRIM(E220))="pending", LOWER(TRIM(D220))="pending"), "Pending", E220 - D220), "Pending")</f>
        <v>4</v>
      </c>
      <c r="AF220" s="138" t="str">
        <f>IFERROR(IF(OR(E220="", D220="","Pending","Pending"), "Pending", IF((E220 - D220) &lt;= 5, "On Time", "Delayed")), "Pending")</f>
        <v>On Time</v>
      </c>
      <c r="AG220" s="24" t="str">
        <f t="shared" si="11"/>
        <v>Completed</v>
      </c>
    </row>
    <row r="221" spans="1:33">
      <c r="A221" s="24" t="s">
        <v>1084</v>
      </c>
      <c r="B221" s="24" t="s">
        <v>100</v>
      </c>
      <c r="C221" s="24" t="s">
        <v>169</v>
      </c>
      <c r="D221" s="30">
        <v>45795</v>
      </c>
      <c r="E221" s="30" t="s">
        <v>1086</v>
      </c>
      <c r="F221" s="24" t="str">
        <f>VLOOKUP(B221,Custumer_Master!A:D,2,FALSE)</f>
        <v>Priya Patel</v>
      </c>
      <c r="G221" s="24" t="str">
        <f>VLOOKUP($B221,Custumer_Master!$A:$J,6,FALSE)</f>
        <v>Female</v>
      </c>
      <c r="H221" s="30" t="str">
        <f>VLOOKUP($B221,Custumer_Master!$A:$J,7,FALSE)</f>
        <v>07/03/1995</v>
      </c>
      <c r="I221" s="24" t="str">
        <f>VLOOKUP($B221,Custumer_Master!$A:$J,9,FALSE)</f>
        <v>Mumbai</v>
      </c>
      <c r="J221" s="24" t="str">
        <f>VLOOKUP($B221,Custumer_Master!$A:$J,10,FALSE)</f>
        <v>West</v>
      </c>
      <c r="K221" s="24" t="str">
        <f>VLOOKUP(B221,Custumer_Master!A:D,4,FALSE)</f>
        <v>WB</v>
      </c>
      <c r="L221" s="24" t="str">
        <f>PROPER(TRIM(VLOOKUP('Final Data'!C221,Product_Master!A:F,3,FALSE)))</f>
        <v>Home Appliances</v>
      </c>
      <c r="M221" s="24" t="s">
        <v>174</v>
      </c>
      <c r="N221" s="34">
        <v>16</v>
      </c>
      <c r="O221" s="192">
        <f>VLOOKUP(C221,Product_Master!A:F,5,FALSE)</f>
        <v>6375</v>
      </c>
      <c r="P221" s="33">
        <v>0</v>
      </c>
      <c r="Q221" s="34">
        <f t="shared" si="9"/>
        <v>102000</v>
      </c>
      <c r="R221" s="34">
        <v>4</v>
      </c>
      <c r="S221" s="24" t="s">
        <v>2148</v>
      </c>
      <c r="T221" s="24" t="s">
        <v>35</v>
      </c>
      <c r="U221" s="24" t="s">
        <v>144</v>
      </c>
      <c r="V221" s="34">
        <v>9646917552</v>
      </c>
      <c r="W221" s="24" t="str">
        <f>VLOOKUP(C221,Product_Master!A:F,4,FALSE)</f>
        <v>TechHub</v>
      </c>
      <c r="X221" s="34">
        <f>VLOOKUP(C221,Product_Master!A:F,6,FALSE)</f>
        <v>24</v>
      </c>
      <c r="Y221" s="24" t="str">
        <f>VLOOKUP(B221,Custumer_Master!A:D,3,FALSE)</f>
        <v>Platinum</v>
      </c>
      <c r="Z221" s="30">
        <f>EDATE(E221,X221)</f>
        <v>46527</v>
      </c>
      <c r="AA221" s="29" t="str">
        <f>VLOOKUP(B221,Custumer_Master!A:K,11,)</f>
        <v>March</v>
      </c>
      <c r="AB221" s="24" t="s">
        <v>2110</v>
      </c>
      <c r="AC221" s="138" t="str">
        <f>PROPER(LEFT(TRIM(F221), 3)) &amp; RIGHT(TRIM(B221), 3) &amp; PROPER(LEFT(TRIM(I221), 2))</f>
        <v>Pri002Mu</v>
      </c>
      <c r="AD221" s="154">
        <f t="shared" ca="1" si="10"/>
        <v>31</v>
      </c>
      <c r="AE221" s="154">
        <f>IFERROR(IF(OR(E221="", D221="", LOWER(TRIM(E221))="pending", LOWER(TRIM(D221))="pending"), "Pending", E221 - D221), "Pending")</f>
        <v>2</v>
      </c>
      <c r="AF221" s="138" t="str">
        <f>IFERROR(IF(OR(E221="", D221="","Pending","Pending"), "Pending", IF((E221 - D221) &lt;= 5, "On Time", "Delayed")), "Pending")</f>
        <v>On Time</v>
      </c>
      <c r="AG221" s="24" t="str">
        <f t="shared" si="11"/>
        <v>Completed</v>
      </c>
    </row>
    <row r="222" spans="1:33">
      <c r="A222" s="24" t="s">
        <v>1089</v>
      </c>
      <c r="B222" s="24" t="s">
        <v>251</v>
      </c>
      <c r="C222" s="24" t="s">
        <v>92</v>
      </c>
      <c r="D222" s="30">
        <v>46107</v>
      </c>
      <c r="E222" s="30" t="s">
        <v>1090</v>
      </c>
      <c r="F222" s="24" t="str">
        <f>VLOOKUP(B222,Custumer_Master!A:D,2,FALSE)</f>
        <v>Sneha Joshi</v>
      </c>
      <c r="G222" s="24" t="str">
        <f>VLOOKUP($B222,Custumer_Master!$A:$J,6,FALSE)</f>
        <v>Female</v>
      </c>
      <c r="H222" s="30" t="str">
        <f>VLOOKUP($B222,Custumer_Master!$A:$J,7,FALSE)</f>
        <v>04/04/1981</v>
      </c>
      <c r="I222" s="24" t="str">
        <f>VLOOKUP($B222,Custumer_Master!$A:$J,9,FALSE)</f>
        <v>Pune</v>
      </c>
      <c r="J222" s="24" t="str">
        <f>VLOOKUP($B222,Custumer_Master!$A:$J,10,FALSE)</f>
        <v>West</v>
      </c>
      <c r="K222" s="24" t="str">
        <f>VLOOKUP(B222,Custumer_Master!A:D,4,FALSE)</f>
        <v>WB</v>
      </c>
      <c r="L222" s="24" t="str">
        <f>PROPER(TRIM(VLOOKUP('Final Data'!C222,Product_Master!A:F,3,FALSE)))</f>
        <v>Home Appliances</v>
      </c>
      <c r="M222" s="24" t="s">
        <v>97</v>
      </c>
      <c r="N222" s="34">
        <v>10</v>
      </c>
      <c r="O222" s="192">
        <f>VLOOKUP(C222,Product_Master!A:F,5,FALSE)</f>
        <v>2625</v>
      </c>
      <c r="P222" s="33">
        <v>0.05</v>
      </c>
      <c r="Q222" s="34">
        <f t="shared" si="9"/>
        <v>24937.5</v>
      </c>
      <c r="R222" s="34">
        <v>3</v>
      </c>
      <c r="S222" s="24" t="s">
        <v>2148</v>
      </c>
      <c r="T222" s="24" t="s">
        <v>115</v>
      </c>
      <c r="U222" s="24" t="s">
        <v>256</v>
      </c>
      <c r="V222" s="34">
        <v>9127548552</v>
      </c>
      <c r="W222" s="24" t="str">
        <f>VLOOKUP(C222,Product_Master!A:F,4,FALSE)</f>
        <v>Global Trade</v>
      </c>
      <c r="X222" s="34">
        <f>VLOOKUP(C222,Product_Master!A:F,6,FALSE)</f>
        <v>6</v>
      </c>
      <c r="Y222" s="24" t="str">
        <f>VLOOKUP(B222,Custumer_Master!A:D,3,FALSE)</f>
        <v>Gold</v>
      </c>
      <c r="Z222" s="30">
        <f>EDATE(E222,X222)</f>
        <v>46293</v>
      </c>
      <c r="AA222" s="29" t="str">
        <f>VLOOKUP(B222,Custumer_Master!A:K,11,)</f>
        <v>April</v>
      </c>
      <c r="AB222" s="24" t="s">
        <v>2108</v>
      </c>
      <c r="AC222" s="138" t="str">
        <f>PROPER(LEFT(TRIM(F222), 3)) &amp; RIGHT(TRIM(B222), 3) &amp; PROPER(LEFT(TRIM(I222), 2))</f>
        <v>Sne006Pu</v>
      </c>
      <c r="AD222" s="154">
        <f t="shared" ca="1" si="10"/>
        <v>45</v>
      </c>
      <c r="AE222" s="154">
        <f>IFERROR(IF(OR(E222="", D222="", LOWER(TRIM(E222))="pending", LOWER(TRIM(D222))="pending"), "Pending", E222 - D222), "Pending")</f>
        <v>2</v>
      </c>
      <c r="AF222" s="138" t="str">
        <f>IFERROR(IF(OR(E222="", D222="","Pending","Pending"), "Pending", IF((E222 - D222) &lt;= 5, "On Time", "Delayed")), "Pending")</f>
        <v>On Time</v>
      </c>
      <c r="AG222" s="24" t="str">
        <f t="shared" si="11"/>
        <v>Completed</v>
      </c>
    </row>
    <row r="223" spans="1:33">
      <c r="A223" s="24" t="s">
        <v>1093</v>
      </c>
      <c r="B223" s="24" t="s">
        <v>53</v>
      </c>
      <c r="C223" s="24" t="s">
        <v>40</v>
      </c>
      <c r="D223" s="30">
        <v>46041</v>
      </c>
      <c r="E223" s="30" t="s">
        <v>588</v>
      </c>
      <c r="F223" s="24" t="str">
        <f>VLOOKUP(B223,Custumer_Master!A:D,2,FALSE)</f>
        <v>Pooja Shah</v>
      </c>
      <c r="G223" s="24" t="str">
        <f>VLOOKUP($B223,Custumer_Master!$A:$J,6,FALSE)</f>
        <v>Female</v>
      </c>
      <c r="H223" s="30" t="str">
        <f>VLOOKUP($B223,Custumer_Master!$A:$J,7,FALSE)</f>
        <v>16/09/1994</v>
      </c>
      <c r="I223" s="24" t="str">
        <f>VLOOKUP($B223,Custumer_Master!$A:$J,9,FALSE)</f>
        <v>Bengaluru</v>
      </c>
      <c r="J223" s="24" t="str">
        <f>VLOOKUP($B223,Custumer_Master!$A:$J,10,FALSE)</f>
        <v>South</v>
      </c>
      <c r="K223" s="24" t="str">
        <f>VLOOKUP(B223,Custumer_Master!A:D,4,FALSE)</f>
        <v>WB</v>
      </c>
      <c r="L223" s="24" t="str">
        <f>PROPER(TRIM(VLOOKUP('Final Data'!C223,Product_Master!A:F,3,FALSE)))</f>
        <v>Electronics</v>
      </c>
      <c r="M223" s="24" t="s">
        <v>47</v>
      </c>
      <c r="N223" s="34">
        <v>1</v>
      </c>
      <c r="O223" s="192">
        <f>VLOOKUP(C223,Product_Master!A:F,5,FALSE)</f>
        <v>9000</v>
      </c>
      <c r="P223" s="33">
        <v>0</v>
      </c>
      <c r="Q223" s="34">
        <f t="shared" si="9"/>
        <v>9000</v>
      </c>
      <c r="R223" s="34">
        <v>5</v>
      </c>
      <c r="S223" s="24" t="s">
        <v>2149</v>
      </c>
      <c r="T223" s="24" t="s">
        <v>115</v>
      </c>
      <c r="U223" s="24" t="s">
        <v>62</v>
      </c>
      <c r="V223" s="34">
        <v>9712805603</v>
      </c>
      <c r="W223" s="24" t="str">
        <f>VLOOKUP(C223,Product_Master!A:F,4,FALSE)</f>
        <v>Global Trade</v>
      </c>
      <c r="X223" s="34">
        <f>VLOOKUP(C223,Product_Master!A:F,6,FALSE)</f>
        <v>24</v>
      </c>
      <c r="Y223" s="24" t="str">
        <f>VLOOKUP(B223,Custumer_Master!A:D,3,FALSE)</f>
        <v>Silver</v>
      </c>
      <c r="Z223" s="30">
        <f>EDATE(E223,X223)</f>
        <v>46779</v>
      </c>
      <c r="AA223" s="29" t="str">
        <f>VLOOKUP(B223,Custumer_Master!A:K,11,)</f>
        <v>September</v>
      </c>
      <c r="AB223" s="24" t="s">
        <v>2108</v>
      </c>
      <c r="AC223" s="138" t="str">
        <f>PROPER(LEFT(TRIM(F223), 3)) &amp; RIGHT(TRIM(B223), 3) &amp; PROPER(LEFT(TRIM(I223), 2))</f>
        <v>Poo010Be</v>
      </c>
      <c r="AD223" s="154">
        <f t="shared" ca="1" si="10"/>
        <v>31</v>
      </c>
      <c r="AE223" s="154">
        <f>IFERROR(IF(OR(E223="", D223="", LOWER(TRIM(E223))="pending", LOWER(TRIM(D223))="pending"), "Pending", E223 - D223), "Pending")</f>
        <v>8</v>
      </c>
      <c r="AF223" s="138" t="str">
        <f>IFERROR(IF(OR(E223="", D223="","Pending","Pending"), "Pending", IF((E223 - D223) &lt;= 5, "On Time", "Delayed")), "Pending")</f>
        <v>Delayed</v>
      </c>
      <c r="AG223" s="24" t="str">
        <f t="shared" si="11"/>
        <v>Completed</v>
      </c>
    </row>
    <row r="224" spans="1:33">
      <c r="A224" s="24" t="s">
        <v>1097</v>
      </c>
      <c r="B224" s="24" t="s">
        <v>327</v>
      </c>
      <c r="C224" s="24" t="s">
        <v>259</v>
      </c>
      <c r="D224" s="30">
        <v>46144</v>
      </c>
      <c r="E224" s="30" t="s">
        <v>601</v>
      </c>
      <c r="F224" s="24" t="str">
        <f>VLOOKUP(B224,Custumer_Master!A:D,2,FALSE)</f>
        <v>Amit Sharma</v>
      </c>
      <c r="G224" s="24" t="str">
        <f>VLOOKUP($B224,Custumer_Master!$A:$J,6,FALSE)</f>
        <v>Male</v>
      </c>
      <c r="H224" s="30" t="str">
        <f>VLOOKUP($B224,Custumer_Master!$A:$J,7,FALSE)</f>
        <v>09/08/1991</v>
      </c>
      <c r="I224" s="24" t="str">
        <f>VLOOKUP($B224,Custumer_Master!$A:$J,9,FALSE)</f>
        <v>Pune</v>
      </c>
      <c r="J224" s="24" t="str">
        <f>VLOOKUP($B224,Custumer_Master!$A:$J,10,FALSE)</f>
        <v>West</v>
      </c>
      <c r="K224" s="24" t="str">
        <f>VLOOKUP(B224,Custumer_Master!A:D,4,FALSE)</f>
        <v>RJ</v>
      </c>
      <c r="L224" s="24" t="str">
        <f>PROPER(TRIM(VLOOKUP('Final Data'!C224,Product_Master!A:F,3,FALSE)))</f>
        <v>Stationery</v>
      </c>
      <c r="M224" s="24" t="s">
        <v>263</v>
      </c>
      <c r="N224" s="34">
        <v>19</v>
      </c>
      <c r="O224" s="192">
        <f>VLOOKUP(C224,Product_Master!A:F,5,FALSE)</f>
        <v>33.75</v>
      </c>
      <c r="P224" s="33">
        <v>0.15</v>
      </c>
      <c r="Q224" s="34">
        <f t="shared" si="9"/>
        <v>545.0625</v>
      </c>
      <c r="R224" s="34">
        <v>2</v>
      </c>
      <c r="S224" s="24" t="s">
        <v>2149</v>
      </c>
      <c r="T224" s="24" t="s">
        <v>151</v>
      </c>
      <c r="U224" s="24" t="s">
        <v>332</v>
      </c>
      <c r="V224" s="34">
        <v>9798313682</v>
      </c>
      <c r="W224" s="24" t="str">
        <f>VLOOKUP(C224,Product_Master!A:F,4,FALSE)</f>
        <v>TechHub</v>
      </c>
      <c r="X224" s="34">
        <f>VLOOKUP(C224,Product_Master!A:F,6,FALSE)</f>
        <v>12</v>
      </c>
      <c r="Y224" s="24" t="str">
        <f>VLOOKUP(B224,Custumer_Master!A:D,3,FALSE)</f>
        <v>Silver</v>
      </c>
      <c r="Z224" s="30">
        <f>EDATE(E224,X224)</f>
        <v>46517</v>
      </c>
      <c r="AA224" s="29" t="str">
        <f>VLOOKUP(B224,Custumer_Master!A:K,11,)</f>
        <v>August</v>
      </c>
      <c r="AB224" s="24" t="s">
        <v>2160</v>
      </c>
      <c r="AC224" s="138" t="str">
        <f>PROPER(LEFT(TRIM(F224), 3)) &amp; RIGHT(TRIM(B224), 3) &amp; PROPER(LEFT(TRIM(I224), 2))</f>
        <v>Ami001Pu</v>
      </c>
      <c r="AD224" s="154">
        <f t="shared" ca="1" si="10"/>
        <v>34</v>
      </c>
      <c r="AE224" s="154">
        <f>IFERROR(IF(OR(E224="", D224="", LOWER(TRIM(E224))="pending", LOWER(TRIM(D224))="pending"), "Pending", E224 - D224), "Pending")</f>
        <v>8</v>
      </c>
      <c r="AF224" s="138" t="str">
        <f>IFERROR(IF(OR(E224="", D224="","Pending","Pending"), "Pending", IF((E224 - D224) &lt;= 5, "On Time", "Delayed")), "Pending")</f>
        <v>Delayed</v>
      </c>
      <c r="AG224" s="24" t="str">
        <f t="shared" si="11"/>
        <v>Completed</v>
      </c>
    </row>
    <row r="225" spans="1:33">
      <c r="A225" s="24" t="s">
        <v>1101</v>
      </c>
      <c r="B225" s="24" t="s">
        <v>23</v>
      </c>
      <c r="C225" s="24" t="s">
        <v>54</v>
      </c>
      <c r="D225" s="30">
        <v>45961</v>
      </c>
      <c r="E225" s="30" t="s">
        <v>1102</v>
      </c>
      <c r="F225" s="24" t="str">
        <f>VLOOKUP(B225,Custumer_Master!A:D,2,FALSE)</f>
        <v>Kavya Nair</v>
      </c>
      <c r="G225" s="24" t="str">
        <f>VLOOKUP($B225,Custumer_Master!$A:$J,6,FALSE)</f>
        <v>Female</v>
      </c>
      <c r="H225" s="30" t="str">
        <f>VLOOKUP($B225,Custumer_Master!$A:$J,7,FALSE)</f>
        <v>01/08/1976</v>
      </c>
      <c r="I225" s="24" t="str">
        <f>VLOOKUP($B225,Custumer_Master!$A:$J,9,FALSE)</f>
        <v>Hyderabad</v>
      </c>
      <c r="J225" s="24" t="str">
        <f>VLOOKUP($B225,Custumer_Master!$A:$J,10,FALSE)</f>
        <v>South</v>
      </c>
      <c r="K225" s="24" t="str">
        <f>VLOOKUP(B225,Custumer_Master!A:D,4,FALSE)</f>
        <v>WB</v>
      </c>
      <c r="L225" s="24" t="str">
        <f>PROPER(TRIM(VLOOKUP('Final Data'!C225,Product_Master!A:F,3,FALSE)))</f>
        <v>Electronics</v>
      </c>
      <c r="M225" s="24" t="s">
        <v>60</v>
      </c>
      <c r="N225" s="34">
        <v>13</v>
      </c>
      <c r="O225" s="192">
        <f>VLOOKUP(C225,Product_Master!A:F,5,FALSE)</f>
        <v>41250</v>
      </c>
      <c r="P225" s="33">
        <v>0.05</v>
      </c>
      <c r="Q225" s="34">
        <f t="shared" si="9"/>
        <v>509437.5</v>
      </c>
      <c r="R225" s="34">
        <v>4</v>
      </c>
      <c r="S225" s="24" t="s">
        <v>79</v>
      </c>
      <c r="T225" s="24" t="s">
        <v>49</v>
      </c>
      <c r="U225" s="24" t="s">
        <v>50</v>
      </c>
      <c r="V225" s="34">
        <v>9642822397</v>
      </c>
      <c r="W225" s="24" t="str">
        <f>VLOOKUP(C225,Product_Master!A:F,4,FALSE)</f>
        <v>TechHub</v>
      </c>
      <c r="X225" s="34">
        <f>VLOOKUP(C225,Product_Master!A:F,6,FALSE)</f>
        <v>12</v>
      </c>
      <c r="Y225" s="24" t="str">
        <f>VLOOKUP(B225,Custumer_Master!A:D,3,FALSE)</f>
        <v>Silver</v>
      </c>
      <c r="Z225" s="30">
        <f>EDATE(E225,X225)</f>
        <v>46328</v>
      </c>
      <c r="AA225" s="29" t="str">
        <f>VLOOKUP(B225,Custumer_Master!A:K,11,)</f>
        <v>August</v>
      </c>
      <c r="AB225" s="24" t="s">
        <v>2110</v>
      </c>
      <c r="AC225" s="138" t="str">
        <f>PROPER(LEFT(TRIM(F225), 3)) &amp; RIGHT(TRIM(B225), 3) &amp; PROPER(LEFT(TRIM(I225), 2))</f>
        <v>Kav008Hy</v>
      </c>
      <c r="AD225" s="154">
        <f t="shared" ca="1" si="10"/>
        <v>49</v>
      </c>
      <c r="AE225" s="154">
        <f>IFERROR(IF(OR(E225="", D225="", LOWER(TRIM(E225))="pending", LOWER(TRIM(D225))="pending"), "Pending", E225 - D225), "Pending")</f>
        <v>2</v>
      </c>
      <c r="AF225" s="138" t="str">
        <f>IFERROR(IF(OR(E225="", D225="","Pending","Pending"), "Pending", IF((E225 - D225) &lt;= 5, "On Time", "Delayed")), "Pending")</f>
        <v>On Time</v>
      </c>
      <c r="AG225" s="24" t="str">
        <f t="shared" si="11"/>
        <v>Completed</v>
      </c>
    </row>
    <row r="226" spans="1:33">
      <c r="A226" s="24" t="s">
        <v>1105</v>
      </c>
      <c r="B226" s="24" t="s">
        <v>83</v>
      </c>
      <c r="C226" s="24" t="s">
        <v>259</v>
      </c>
      <c r="D226" s="30">
        <v>45858</v>
      </c>
      <c r="E226" s="30" t="s">
        <v>155</v>
      </c>
      <c r="F226" s="24" t="str">
        <f>VLOOKUP(B226,Custumer_Master!A:D,2,FALSE)</f>
        <v>Arjun Rao</v>
      </c>
      <c r="G226" s="24" t="str">
        <f>VLOOKUP($B226,Custumer_Master!$A:$J,6,FALSE)</f>
        <v>Male</v>
      </c>
      <c r="H226" s="30" t="str">
        <f>VLOOKUP($B226,Custumer_Master!$A:$J,7,FALSE)</f>
        <v>07/02/1988</v>
      </c>
      <c r="I226" s="24" t="str">
        <f>VLOOKUP($B226,Custumer_Master!$A:$J,9,FALSE)</f>
        <v>Hyderabad</v>
      </c>
      <c r="J226" s="24" t="str">
        <f>VLOOKUP($B226,Custumer_Master!$A:$J,10,FALSE)</f>
        <v>South</v>
      </c>
      <c r="K226" s="24" t="str">
        <f>VLOOKUP(B226,Custumer_Master!A:D,4,FALSE)</f>
        <v>RJ</v>
      </c>
      <c r="L226" s="24" t="str">
        <f>PROPER(TRIM(VLOOKUP('Final Data'!C226,Product_Master!A:F,3,FALSE)))</f>
        <v>Stationery</v>
      </c>
      <c r="M226" s="24" t="s">
        <v>263</v>
      </c>
      <c r="N226" s="34">
        <v>2</v>
      </c>
      <c r="O226" s="192">
        <f>VLOOKUP(C226,Product_Master!A:F,5,FALSE)</f>
        <v>33.75</v>
      </c>
      <c r="P226" s="33">
        <v>0.15</v>
      </c>
      <c r="Q226" s="34">
        <f t="shared" si="9"/>
        <v>57.375</v>
      </c>
      <c r="R226" s="34">
        <v>1</v>
      </c>
      <c r="S226" s="24" t="s">
        <v>2148</v>
      </c>
      <c r="T226" s="24" t="s">
        <v>115</v>
      </c>
      <c r="U226" s="24" t="s">
        <v>89</v>
      </c>
      <c r="V226" s="34">
        <v>9490067655</v>
      </c>
      <c r="W226" s="24" t="str">
        <f>VLOOKUP(C226,Product_Master!A:F,4,FALSE)</f>
        <v>TechHub</v>
      </c>
      <c r="X226" s="34">
        <f>VLOOKUP(C226,Product_Master!A:F,6,FALSE)</f>
        <v>12</v>
      </c>
      <c r="Y226" s="24" t="str">
        <f>VLOOKUP(B226,Custumer_Master!A:D,3,FALSE)</f>
        <v>Silver</v>
      </c>
      <c r="Z226" s="30">
        <f>EDATE(E226,X226)</f>
        <v>46229</v>
      </c>
      <c r="AA226" s="29" t="str">
        <f>VLOOKUP(B226,Custumer_Master!A:K,11,)</f>
        <v>February</v>
      </c>
      <c r="AB226" s="24" t="s">
        <v>2160</v>
      </c>
      <c r="AC226" s="138" t="str">
        <f>PROPER(LEFT(TRIM(F226), 3)) &amp; RIGHT(TRIM(B226), 3) &amp; PROPER(LEFT(TRIM(I226), 2))</f>
        <v>Arj007Hy</v>
      </c>
      <c r="AD226" s="154">
        <f t="shared" ca="1" si="10"/>
        <v>38</v>
      </c>
      <c r="AE226" s="154">
        <f>IFERROR(IF(OR(E226="", D226="", LOWER(TRIM(E226))="pending", LOWER(TRIM(D226))="pending"), "Pending", E226 - D226), "Pending")</f>
        <v>6</v>
      </c>
      <c r="AF226" s="138" t="str">
        <f>IFERROR(IF(OR(E226="", D226="","Pending","Pending"), "Pending", IF((E226 - D226) &lt;= 5, "On Time", "Delayed")), "Pending")</f>
        <v>Delayed</v>
      </c>
      <c r="AG226" s="24" t="str">
        <f t="shared" si="11"/>
        <v>Completed</v>
      </c>
    </row>
    <row r="227" spans="1:33">
      <c r="A227" s="24" t="s">
        <v>1109</v>
      </c>
      <c r="B227" s="24" t="s">
        <v>100</v>
      </c>
      <c r="C227" s="24" t="s">
        <v>222</v>
      </c>
      <c r="D227" s="30">
        <v>45707</v>
      </c>
      <c r="E227" s="30" t="s">
        <v>1110</v>
      </c>
      <c r="F227" s="24" t="str">
        <f>VLOOKUP(B227,Custumer_Master!A:D,2,FALSE)</f>
        <v>Priya Patel</v>
      </c>
      <c r="G227" s="24" t="str">
        <f>VLOOKUP($B227,Custumer_Master!$A:$J,6,FALSE)</f>
        <v>Female</v>
      </c>
      <c r="H227" s="30" t="str">
        <f>VLOOKUP($B227,Custumer_Master!$A:$J,7,FALSE)</f>
        <v>07/03/1995</v>
      </c>
      <c r="I227" s="24" t="str">
        <f>VLOOKUP($B227,Custumer_Master!$A:$J,9,FALSE)</f>
        <v>Mumbai</v>
      </c>
      <c r="J227" s="24" t="str">
        <f>VLOOKUP($B227,Custumer_Master!$A:$J,10,FALSE)</f>
        <v>West</v>
      </c>
      <c r="K227" s="24" t="str">
        <f>VLOOKUP(B227,Custumer_Master!A:D,4,FALSE)</f>
        <v>WB</v>
      </c>
      <c r="L227" s="24" t="str">
        <f>PROPER(TRIM(VLOOKUP('Final Data'!C227,Product_Master!A:F,3,FALSE)))</f>
        <v>Stationery</v>
      </c>
      <c r="M227" s="24" t="s">
        <v>227</v>
      </c>
      <c r="N227" s="34">
        <v>8</v>
      </c>
      <c r="O227" s="192">
        <f>VLOOKUP(C227,Product_Master!A:F,5,FALSE)</f>
        <v>15</v>
      </c>
      <c r="P227" s="33">
        <v>0.15</v>
      </c>
      <c r="Q227" s="34">
        <f t="shared" si="9"/>
        <v>102</v>
      </c>
      <c r="R227" s="34">
        <v>1</v>
      </c>
      <c r="S227" s="24" t="s">
        <v>79</v>
      </c>
      <c r="T227" s="24" t="s">
        <v>35</v>
      </c>
      <c r="U227" s="24" t="s">
        <v>144</v>
      </c>
      <c r="V227" s="34">
        <v>9389792144</v>
      </c>
      <c r="W227" s="24" t="str">
        <f>VLOOKUP(C227,Product_Master!A:F,4,FALSE)</f>
        <v>Prime Supplies</v>
      </c>
      <c r="X227" s="34">
        <f>VLOOKUP(C227,Product_Master!A:F,6,FALSE)</f>
        <v>12</v>
      </c>
      <c r="Y227" s="24" t="str">
        <f>VLOOKUP(B227,Custumer_Master!A:D,3,FALSE)</f>
        <v>Platinum</v>
      </c>
      <c r="Z227" s="30">
        <f>EDATE(E227,X227)</f>
        <v>46077</v>
      </c>
      <c r="AA227" s="29" t="str">
        <f>VLOOKUP(B227,Custumer_Master!A:K,11,)</f>
        <v>March</v>
      </c>
      <c r="AB227" s="24" t="s">
        <v>2160</v>
      </c>
      <c r="AC227" s="138" t="str">
        <f>PROPER(LEFT(TRIM(F227), 3)) &amp; RIGHT(TRIM(B227), 3) &amp; PROPER(LEFT(TRIM(I227), 2))</f>
        <v>Pri002Mu</v>
      </c>
      <c r="AD227" s="154">
        <f t="shared" ca="1" si="10"/>
        <v>31</v>
      </c>
      <c r="AE227" s="154">
        <f>IFERROR(IF(OR(E227="", D227="", LOWER(TRIM(E227))="pending", LOWER(TRIM(D227))="pending"), "Pending", E227 - D227), "Pending")</f>
        <v>5</v>
      </c>
      <c r="AF227" s="138" t="str">
        <f>IFERROR(IF(OR(E227="", D227="","Pending","Pending"), "Pending", IF((E227 - D227) &lt;= 5, "On Time", "Delayed")), "Pending")</f>
        <v>On Time</v>
      </c>
      <c r="AG227" s="24" t="str">
        <f t="shared" si="11"/>
        <v>Completed</v>
      </c>
    </row>
    <row r="228" spans="1:33">
      <c r="A228" s="24" t="s">
        <v>1113</v>
      </c>
      <c r="B228" s="24" t="s">
        <v>168</v>
      </c>
      <c r="C228" s="24" t="s">
        <v>40</v>
      </c>
      <c r="D228" s="30">
        <v>45767</v>
      </c>
      <c r="E228" s="30" t="s">
        <v>1115</v>
      </c>
      <c r="F228" s="24" t="str">
        <f>VLOOKUP(B228,Custumer_Master!A:D,2,FALSE)</f>
        <v>Anita Gupta</v>
      </c>
      <c r="G228" s="24" t="str">
        <f>VLOOKUP($B228,Custumer_Master!$A:$J,6,FALSE)</f>
        <v>Female</v>
      </c>
      <c r="H228" s="30" t="str">
        <f>VLOOKUP($B228,Custumer_Master!$A:$J,7,FALSE)</f>
        <v>16/01/2002</v>
      </c>
      <c r="I228" s="24" t="str">
        <f>VLOOKUP($B228,Custumer_Master!$A:$J,9,FALSE)</f>
        <v>Pune</v>
      </c>
      <c r="J228" s="24" t="str">
        <f>VLOOKUP($B228,Custumer_Master!$A:$J,10,FALSE)</f>
        <v>West</v>
      </c>
      <c r="K228" s="24" t="str">
        <f>VLOOKUP(B228,Custumer_Master!A:D,4,FALSE)</f>
        <v>WB</v>
      </c>
      <c r="L228" s="24" t="str">
        <f>PROPER(TRIM(VLOOKUP('Final Data'!C228,Product_Master!A:F,3,FALSE)))</f>
        <v>Electronics</v>
      </c>
      <c r="M228" s="24" t="s">
        <v>47</v>
      </c>
      <c r="N228" s="34">
        <v>9</v>
      </c>
      <c r="O228" s="192">
        <f>VLOOKUP(C228,Product_Master!A:F,5,FALSE)</f>
        <v>9000</v>
      </c>
      <c r="P228" s="33">
        <v>0.05</v>
      </c>
      <c r="Q228" s="34">
        <f t="shared" si="9"/>
        <v>76950</v>
      </c>
      <c r="R228" s="34">
        <v>2</v>
      </c>
      <c r="S228" s="24" t="s">
        <v>79</v>
      </c>
      <c r="T228" s="24" t="s">
        <v>35</v>
      </c>
      <c r="U228" s="24" t="s">
        <v>175</v>
      </c>
      <c r="V228" s="34">
        <v>9736113863</v>
      </c>
      <c r="W228" s="24" t="str">
        <f>VLOOKUP(C228,Product_Master!A:F,4,FALSE)</f>
        <v>Global Trade</v>
      </c>
      <c r="X228" s="34">
        <f>VLOOKUP(C228,Product_Master!A:F,6,FALSE)</f>
        <v>24</v>
      </c>
      <c r="Y228" s="24" t="str">
        <f>VLOOKUP(B228,Custumer_Master!A:D,3,FALSE)</f>
        <v>Gold</v>
      </c>
      <c r="Z228" s="30">
        <f>EDATE(E228,X228)</f>
        <v>46508</v>
      </c>
      <c r="AA228" s="29" t="str">
        <f>VLOOKUP(B228,Custumer_Master!A:K,11,)</f>
        <v>January</v>
      </c>
      <c r="AB228" s="24" t="s">
        <v>2160</v>
      </c>
      <c r="AC228" s="138" t="str">
        <f>PROPER(LEFT(TRIM(F228), 3)) &amp; RIGHT(TRIM(B228), 3) &amp; PROPER(LEFT(TRIM(I228), 2))</f>
        <v>Ani004Pu</v>
      </c>
      <c r="AD228" s="154">
        <f t="shared" ca="1" si="10"/>
        <v>24</v>
      </c>
      <c r="AE228" s="154">
        <f>IFERROR(IF(OR(E228="", D228="", LOWER(TRIM(E228))="pending", LOWER(TRIM(D228))="pending"), "Pending", E228 - D228), "Pending")</f>
        <v>11</v>
      </c>
      <c r="AF228" s="138" t="str">
        <f>IFERROR(IF(OR(E228="", D228="","Pending","Pending"), "Pending", IF((E228 - D228) &lt;= 5, "On Time", "Delayed")), "Pending")</f>
        <v>Delayed</v>
      </c>
      <c r="AG228" s="24" t="str">
        <f t="shared" si="11"/>
        <v>Completed</v>
      </c>
    </row>
    <row r="229" spans="1:33">
      <c r="A229" s="24" t="s">
        <v>1118</v>
      </c>
      <c r="B229" s="24" t="s">
        <v>71</v>
      </c>
      <c r="C229" s="24" t="s">
        <v>92</v>
      </c>
      <c r="D229" s="30">
        <v>45813</v>
      </c>
      <c r="E229" s="30" t="s">
        <v>1120</v>
      </c>
      <c r="F229" s="24" t="str">
        <f>VLOOKUP(B229,Custumer_Master!A:D,2,FALSE)</f>
        <v>Mohit Verma</v>
      </c>
      <c r="G229" s="24" t="str">
        <f>VLOOKUP($B229,Custumer_Master!$A:$J,6,FALSE)</f>
        <v>Male</v>
      </c>
      <c r="H229" s="30" t="str">
        <f>VLOOKUP($B229,Custumer_Master!$A:$J,7,FALSE)</f>
        <v>13/04/1976</v>
      </c>
      <c r="I229" s="24" t="str">
        <f>VLOOKUP($B229,Custumer_Master!$A:$J,9,FALSE)</f>
        <v>Delhi</v>
      </c>
      <c r="J229" s="24" t="str">
        <f>VLOOKUP($B229,Custumer_Master!$A:$J,10,FALSE)</f>
        <v>North</v>
      </c>
      <c r="K229" s="24" t="str">
        <f>VLOOKUP(B229,Custumer_Master!A:D,4,FALSE)</f>
        <v>KA</v>
      </c>
      <c r="L229" s="24" t="str">
        <f>PROPER(TRIM(VLOOKUP('Final Data'!C229,Product_Master!A:F,3,FALSE)))</f>
        <v>Home Appliances</v>
      </c>
      <c r="M229" s="24" t="s">
        <v>97</v>
      </c>
      <c r="N229" s="34">
        <v>3</v>
      </c>
      <c r="O229" s="192">
        <f>VLOOKUP(C229,Product_Master!A:F,5,FALSE)</f>
        <v>2625</v>
      </c>
      <c r="P229" s="33">
        <v>0.15</v>
      </c>
      <c r="Q229" s="34">
        <f t="shared" si="9"/>
        <v>6693.75</v>
      </c>
      <c r="R229" s="34">
        <v>1</v>
      </c>
      <c r="S229" s="24" t="s">
        <v>34</v>
      </c>
      <c r="T229" s="24" t="s">
        <v>49</v>
      </c>
      <c r="U229" s="24" t="s">
        <v>80</v>
      </c>
      <c r="V229" s="34">
        <v>9324634732</v>
      </c>
      <c r="W229" s="24" t="str">
        <f>VLOOKUP(C229,Product_Master!A:F,4,FALSE)</f>
        <v>Global Trade</v>
      </c>
      <c r="X229" s="34">
        <f>VLOOKUP(C229,Product_Master!A:F,6,FALSE)</f>
        <v>6</v>
      </c>
      <c r="Y229" s="24" t="str">
        <f>VLOOKUP(B229,Custumer_Master!A:D,3,FALSE)</f>
        <v>Platinum</v>
      </c>
      <c r="Z229" s="30">
        <f>EDATE(E229,X229)</f>
        <v>46004</v>
      </c>
      <c r="AA229" s="29" t="str">
        <f>VLOOKUP(B229,Custumer_Master!A:K,11,)</f>
        <v>April</v>
      </c>
      <c r="AB229" s="24" t="s">
        <v>2160</v>
      </c>
      <c r="AC229" s="138" t="str">
        <f>PROPER(LEFT(TRIM(F229), 3)) &amp; RIGHT(TRIM(B229), 3) &amp; PROPER(LEFT(TRIM(I229), 2))</f>
        <v>Moh009De</v>
      </c>
      <c r="AD229" s="154">
        <f t="shared" ca="1" si="10"/>
        <v>50</v>
      </c>
      <c r="AE229" s="154">
        <f>IFERROR(IF(OR(E229="", D229="", LOWER(TRIM(E229))="pending", LOWER(TRIM(D229))="pending"), "Pending", E229 - D229), "Pending")</f>
        <v>8</v>
      </c>
      <c r="AF229" s="138" t="str">
        <f>IFERROR(IF(OR(E229="", D229="","Pending","Pending"), "Pending", IF((E229 - D229) &lt;= 5, "On Time", "Delayed")), "Pending")</f>
        <v>Delayed</v>
      </c>
      <c r="AG229" s="24" t="str">
        <f t="shared" si="11"/>
        <v>Completed</v>
      </c>
    </row>
    <row r="230" spans="1:33">
      <c r="A230" s="24" t="s">
        <v>1123</v>
      </c>
      <c r="B230" s="24" t="s">
        <v>100</v>
      </c>
      <c r="C230" s="24" t="s">
        <v>184</v>
      </c>
      <c r="D230" s="30">
        <v>45797</v>
      </c>
      <c r="E230" s="30" t="s">
        <v>1124</v>
      </c>
      <c r="F230" s="24" t="str">
        <f>VLOOKUP(B230,Custumer_Master!A:D,2,FALSE)</f>
        <v>Priya Patel</v>
      </c>
      <c r="G230" s="24" t="str">
        <f>VLOOKUP($B230,Custumer_Master!$A:$J,6,FALSE)</f>
        <v>Female</v>
      </c>
      <c r="H230" s="30" t="str">
        <f>VLOOKUP($B230,Custumer_Master!$A:$J,7,FALSE)</f>
        <v>07/03/1995</v>
      </c>
      <c r="I230" s="24" t="str">
        <f>VLOOKUP($B230,Custumer_Master!$A:$J,9,FALSE)</f>
        <v>Mumbai</v>
      </c>
      <c r="J230" s="24" t="str">
        <f>VLOOKUP($B230,Custumer_Master!$A:$J,10,FALSE)</f>
        <v>West</v>
      </c>
      <c r="K230" s="24" t="str">
        <f>VLOOKUP(B230,Custumer_Master!A:D,4,FALSE)</f>
        <v>WB</v>
      </c>
      <c r="L230" s="24" t="str">
        <f>PROPER(TRIM(VLOOKUP('Final Data'!C230,Product_Master!A:F,3,FALSE)))</f>
        <v>Electronics</v>
      </c>
      <c r="M230" s="24" t="s">
        <v>189</v>
      </c>
      <c r="N230" s="34">
        <v>18</v>
      </c>
      <c r="O230" s="192">
        <f>VLOOKUP(C230,Product_Master!A:F,5,FALSE)</f>
        <v>525</v>
      </c>
      <c r="P230" s="33">
        <v>0.2</v>
      </c>
      <c r="Q230" s="34">
        <f t="shared" si="9"/>
        <v>7560</v>
      </c>
      <c r="R230" s="34">
        <v>1</v>
      </c>
      <c r="S230" s="24" t="s">
        <v>79</v>
      </c>
      <c r="T230" s="24" t="s">
        <v>151</v>
      </c>
      <c r="U230" s="24" t="s">
        <v>144</v>
      </c>
      <c r="V230" s="34">
        <v>9529968110</v>
      </c>
      <c r="W230" s="24" t="str">
        <f>VLOOKUP(C230,Product_Master!A:F,4,FALSE)</f>
        <v>TechHub</v>
      </c>
      <c r="X230" s="34">
        <f>VLOOKUP(C230,Product_Master!A:F,6,FALSE)</f>
        <v>24</v>
      </c>
      <c r="Y230" s="24" t="str">
        <f>VLOOKUP(B230,Custumer_Master!A:D,3,FALSE)</f>
        <v>Platinum</v>
      </c>
      <c r="Z230" s="30">
        <f>EDATE(E230,X230)</f>
        <v>46530</v>
      </c>
      <c r="AA230" s="29" t="str">
        <f>VLOOKUP(B230,Custumer_Master!A:K,11,)</f>
        <v>March</v>
      </c>
      <c r="AB230" s="24" t="s">
        <v>2160</v>
      </c>
      <c r="AC230" s="138" t="str">
        <f>PROPER(LEFT(TRIM(F230), 3)) &amp; RIGHT(TRIM(B230), 3) &amp; PROPER(LEFT(TRIM(I230), 2))</f>
        <v>Pri002Mu</v>
      </c>
      <c r="AD230" s="154">
        <f t="shared" ca="1" si="10"/>
        <v>31</v>
      </c>
      <c r="AE230" s="154">
        <f>IFERROR(IF(OR(E230="", D230="", LOWER(TRIM(E230))="pending", LOWER(TRIM(D230))="pending"), "Pending", E230 - D230), "Pending")</f>
        <v>3</v>
      </c>
      <c r="AF230" s="138" t="str">
        <f>IFERROR(IF(OR(E230="", D230="","Pending","Pending"), "Pending", IF((E230 - D230) &lt;= 5, "On Time", "Delayed")), "Pending")</f>
        <v>On Time</v>
      </c>
      <c r="AG230" s="24" t="str">
        <f t="shared" si="11"/>
        <v>Completed</v>
      </c>
    </row>
    <row r="231" spans="1:33">
      <c r="A231" s="24" t="s">
        <v>1127</v>
      </c>
      <c r="B231" s="24" t="s">
        <v>71</v>
      </c>
      <c r="C231" s="24" t="s">
        <v>92</v>
      </c>
      <c r="D231" s="30">
        <v>46046</v>
      </c>
      <c r="E231" s="30" t="s">
        <v>110</v>
      </c>
      <c r="F231" s="24" t="str">
        <f>VLOOKUP(B231,Custumer_Master!A:D,2,FALSE)</f>
        <v>Mohit Verma</v>
      </c>
      <c r="G231" s="24" t="str">
        <f>VLOOKUP($B231,Custumer_Master!$A:$J,6,FALSE)</f>
        <v>Male</v>
      </c>
      <c r="H231" s="30" t="str">
        <f>VLOOKUP($B231,Custumer_Master!$A:$J,7,FALSE)</f>
        <v>13/04/1976</v>
      </c>
      <c r="I231" s="24" t="str">
        <f>VLOOKUP($B231,Custumer_Master!$A:$J,9,FALSE)</f>
        <v>Delhi</v>
      </c>
      <c r="J231" s="24" t="str">
        <f>VLOOKUP($B231,Custumer_Master!$A:$J,10,FALSE)</f>
        <v>North</v>
      </c>
      <c r="K231" s="24" t="str">
        <f>VLOOKUP(B231,Custumer_Master!A:D,4,FALSE)</f>
        <v>KA</v>
      </c>
      <c r="L231" s="24" t="str">
        <f>PROPER(TRIM(VLOOKUP('Final Data'!C231,Product_Master!A:F,3,FALSE)))</f>
        <v>Home Appliances</v>
      </c>
      <c r="M231" s="24" t="s">
        <v>97</v>
      </c>
      <c r="N231" s="34">
        <v>14</v>
      </c>
      <c r="O231" s="192">
        <f>VLOOKUP(C231,Product_Master!A:F,5,FALSE)</f>
        <v>2625</v>
      </c>
      <c r="P231" s="33">
        <v>0.05</v>
      </c>
      <c r="Q231" s="34">
        <f t="shared" si="9"/>
        <v>34912.5</v>
      </c>
      <c r="R231" s="34">
        <v>1</v>
      </c>
      <c r="S231" s="24" t="s">
        <v>34</v>
      </c>
      <c r="T231" s="24" t="s">
        <v>61</v>
      </c>
      <c r="U231" s="24" t="s">
        <v>80</v>
      </c>
      <c r="V231" s="34">
        <v>9102417647</v>
      </c>
      <c r="W231" s="24" t="str">
        <f>VLOOKUP(C231,Product_Master!A:F,4,FALSE)</f>
        <v>Global Trade</v>
      </c>
      <c r="X231" s="34">
        <f>VLOOKUP(C231,Product_Master!A:F,6,FALSE)</f>
        <v>6</v>
      </c>
      <c r="Y231" s="24" t="str">
        <f>VLOOKUP(B231,Custumer_Master!A:D,3,FALSE)</f>
        <v>Platinum</v>
      </c>
      <c r="Z231" s="30">
        <f>EDATE(E231,X231)</f>
        <v>46234</v>
      </c>
      <c r="AA231" s="29" t="str">
        <f>VLOOKUP(B231,Custumer_Master!A:K,11,)</f>
        <v>April</v>
      </c>
      <c r="AB231" s="24" t="s">
        <v>2160</v>
      </c>
      <c r="AC231" s="138" t="str">
        <f>PROPER(LEFT(TRIM(F231), 3)) &amp; RIGHT(TRIM(B231), 3) &amp; PROPER(LEFT(TRIM(I231), 2))</f>
        <v>Moh009De</v>
      </c>
      <c r="AD231" s="154">
        <f t="shared" ca="1" si="10"/>
        <v>50</v>
      </c>
      <c r="AE231" s="154">
        <f>IFERROR(IF(OR(E231="", D231="", LOWER(TRIM(E231))="pending", LOWER(TRIM(D231))="pending"), "Pending", E231 - D231), "Pending")</f>
        <v>7</v>
      </c>
      <c r="AF231" s="138" t="str">
        <f>IFERROR(IF(OR(E231="", D231="","Pending","Pending"), "Pending", IF((E231 - D231) &lt;= 5, "On Time", "Delayed")), "Pending")</f>
        <v>Delayed</v>
      </c>
      <c r="AG231" s="24" t="str">
        <f t="shared" si="11"/>
        <v>Completed</v>
      </c>
    </row>
    <row r="232" spans="1:33">
      <c r="A232" s="24" t="s">
        <v>1131</v>
      </c>
      <c r="B232" s="24" t="s">
        <v>100</v>
      </c>
      <c r="C232" s="24" t="s">
        <v>184</v>
      </c>
      <c r="D232" s="30">
        <v>45810</v>
      </c>
      <c r="E232" s="30" t="s">
        <v>318</v>
      </c>
      <c r="F232" s="24" t="str">
        <f>VLOOKUP(B232,Custumer_Master!A:D,2,FALSE)</f>
        <v>Priya Patel</v>
      </c>
      <c r="G232" s="24" t="str">
        <f>VLOOKUP($B232,Custumer_Master!$A:$J,6,FALSE)</f>
        <v>Female</v>
      </c>
      <c r="H232" s="30" t="str">
        <f>VLOOKUP($B232,Custumer_Master!$A:$J,7,FALSE)</f>
        <v>07/03/1995</v>
      </c>
      <c r="I232" s="24" t="str">
        <f>VLOOKUP($B232,Custumer_Master!$A:$J,9,FALSE)</f>
        <v>Mumbai</v>
      </c>
      <c r="J232" s="24" t="str">
        <f>VLOOKUP($B232,Custumer_Master!$A:$J,10,FALSE)</f>
        <v>West</v>
      </c>
      <c r="K232" s="24" t="str">
        <f>VLOOKUP(B232,Custumer_Master!A:D,4,FALSE)</f>
        <v>WB</v>
      </c>
      <c r="L232" s="24" t="str">
        <f>PROPER(TRIM(VLOOKUP('Final Data'!C232,Product_Master!A:F,3,FALSE)))</f>
        <v>Electronics</v>
      </c>
      <c r="M232" s="24" t="s">
        <v>189</v>
      </c>
      <c r="N232" s="34">
        <v>6</v>
      </c>
      <c r="O232" s="192">
        <f>VLOOKUP(C232,Product_Master!A:F,5,FALSE)</f>
        <v>525</v>
      </c>
      <c r="P232" s="33">
        <v>0.05</v>
      </c>
      <c r="Q232" s="34">
        <f t="shared" si="9"/>
        <v>2992.5</v>
      </c>
      <c r="R232" s="34">
        <v>5</v>
      </c>
      <c r="S232" s="24" t="s">
        <v>34</v>
      </c>
      <c r="T232" s="24" t="s">
        <v>35</v>
      </c>
      <c r="U232" s="24" t="s">
        <v>144</v>
      </c>
      <c r="V232" s="34">
        <v>9630302865</v>
      </c>
      <c r="W232" s="24" t="str">
        <f>VLOOKUP(C232,Product_Master!A:F,4,FALSE)</f>
        <v>TechHub</v>
      </c>
      <c r="X232" s="34">
        <f>VLOOKUP(C232,Product_Master!A:F,6,FALSE)</f>
        <v>24</v>
      </c>
      <c r="Y232" s="24" t="str">
        <f>VLOOKUP(B232,Custumer_Master!A:D,3,FALSE)</f>
        <v>Platinum</v>
      </c>
      <c r="Z232" s="30">
        <f>EDATE(E232,X232)</f>
        <v>46542</v>
      </c>
      <c r="AA232" s="29" t="str">
        <f>VLOOKUP(B232,Custumer_Master!A:K,11,)</f>
        <v>March</v>
      </c>
      <c r="AB232" s="24" t="s">
        <v>2108</v>
      </c>
      <c r="AC232" s="138" t="str">
        <f>PROPER(LEFT(TRIM(F232), 3)) &amp; RIGHT(TRIM(B232), 3) &amp; PROPER(LEFT(TRIM(I232), 2))</f>
        <v>Pri002Mu</v>
      </c>
      <c r="AD232" s="154">
        <f t="shared" ca="1" si="10"/>
        <v>31</v>
      </c>
      <c r="AE232" s="154">
        <f>IFERROR(IF(OR(E232="", D232="", LOWER(TRIM(E232))="pending", LOWER(TRIM(D232))="pending"), "Pending", E232 - D232), "Pending")</f>
        <v>2</v>
      </c>
      <c r="AF232" s="138" t="str">
        <f>IFERROR(IF(OR(E232="", D232="","Pending","Pending"), "Pending", IF((E232 - D232) &lt;= 5, "On Time", "Delayed")), "Pending")</f>
        <v>On Time</v>
      </c>
      <c r="AG232" s="24" t="str">
        <f t="shared" si="11"/>
        <v>Completed</v>
      </c>
    </row>
    <row r="233" spans="1:33">
      <c r="A233" s="24" t="s">
        <v>1134</v>
      </c>
      <c r="B233" s="24" t="s">
        <v>100</v>
      </c>
      <c r="C233" s="24" t="s">
        <v>92</v>
      </c>
      <c r="D233" s="30">
        <v>45819</v>
      </c>
      <c r="E233" s="30" t="s">
        <v>872</v>
      </c>
      <c r="F233" s="24" t="str">
        <f>VLOOKUP(B233,Custumer_Master!A:D,2,FALSE)</f>
        <v>Priya Patel</v>
      </c>
      <c r="G233" s="24" t="str">
        <f>VLOOKUP($B233,Custumer_Master!$A:$J,6,FALSE)</f>
        <v>Female</v>
      </c>
      <c r="H233" s="30" t="str">
        <f>VLOOKUP($B233,Custumer_Master!$A:$J,7,FALSE)</f>
        <v>07/03/1995</v>
      </c>
      <c r="I233" s="24" t="str">
        <f>VLOOKUP($B233,Custumer_Master!$A:$J,9,FALSE)</f>
        <v>Mumbai</v>
      </c>
      <c r="J233" s="24" t="str">
        <f>VLOOKUP($B233,Custumer_Master!$A:$J,10,FALSE)</f>
        <v>West</v>
      </c>
      <c r="K233" s="24" t="str">
        <f>VLOOKUP(B233,Custumer_Master!A:D,4,FALSE)</f>
        <v>WB</v>
      </c>
      <c r="L233" s="24" t="str">
        <f>PROPER(TRIM(VLOOKUP('Final Data'!C233,Product_Master!A:F,3,FALSE)))</f>
        <v>Home Appliances</v>
      </c>
      <c r="M233" s="24" t="s">
        <v>97</v>
      </c>
      <c r="N233" s="34">
        <v>17</v>
      </c>
      <c r="O233" s="192">
        <f>VLOOKUP(C233,Product_Master!A:F,5,FALSE)</f>
        <v>2625</v>
      </c>
      <c r="P233" s="33">
        <v>0.15</v>
      </c>
      <c r="Q233" s="34">
        <f t="shared" si="9"/>
        <v>37931.25</v>
      </c>
      <c r="R233" s="34">
        <v>3</v>
      </c>
      <c r="S233" s="24" t="s">
        <v>2148</v>
      </c>
      <c r="T233" s="24" t="s">
        <v>49</v>
      </c>
      <c r="U233" s="24" t="s">
        <v>144</v>
      </c>
      <c r="V233" s="34">
        <v>9465353780</v>
      </c>
      <c r="W233" s="24" t="str">
        <f>VLOOKUP(C233,Product_Master!A:F,4,FALSE)</f>
        <v>Global Trade</v>
      </c>
      <c r="X233" s="34">
        <f>VLOOKUP(C233,Product_Master!A:F,6,FALSE)</f>
        <v>6</v>
      </c>
      <c r="Y233" s="24" t="str">
        <f>VLOOKUP(B233,Custumer_Master!A:D,3,FALSE)</f>
        <v>Platinum</v>
      </c>
      <c r="Z233" s="30">
        <f>EDATE(E233,X233)</f>
        <v>46010</v>
      </c>
      <c r="AA233" s="29" t="str">
        <f>VLOOKUP(B233,Custumer_Master!A:K,11,)</f>
        <v>March</v>
      </c>
      <c r="AB233" s="24" t="s">
        <v>2108</v>
      </c>
      <c r="AC233" s="138" t="str">
        <f>PROPER(LEFT(TRIM(F233), 3)) &amp; RIGHT(TRIM(B233), 3) &amp; PROPER(LEFT(TRIM(I233), 2))</f>
        <v>Pri002Mu</v>
      </c>
      <c r="AD233" s="154">
        <f t="shared" ca="1" si="10"/>
        <v>31</v>
      </c>
      <c r="AE233" s="154">
        <f>IFERROR(IF(OR(E233="", D233="", LOWER(TRIM(E233))="pending", LOWER(TRIM(D233))="pending"), "Pending", E233 - D233), "Pending")</f>
        <v>8</v>
      </c>
      <c r="AF233" s="138" t="str">
        <f>IFERROR(IF(OR(E233="", D233="","Pending","Pending"), "Pending", IF((E233 - D233) &lt;= 5, "On Time", "Delayed")), "Pending")</f>
        <v>Delayed</v>
      </c>
      <c r="AG233" s="24" t="str">
        <f t="shared" si="11"/>
        <v>Completed</v>
      </c>
    </row>
    <row r="234" spans="1:33">
      <c r="A234" s="24" t="s">
        <v>1137</v>
      </c>
      <c r="B234" s="24" t="s">
        <v>251</v>
      </c>
      <c r="C234" s="24" t="s">
        <v>222</v>
      </c>
      <c r="D234" s="30">
        <v>46038</v>
      </c>
      <c r="E234" s="30" t="s">
        <v>1128</v>
      </c>
      <c r="F234" s="24" t="str">
        <f>VLOOKUP(B234,Custumer_Master!A:D,2,FALSE)</f>
        <v>Sneha Joshi</v>
      </c>
      <c r="G234" s="24" t="str">
        <f>VLOOKUP($B234,Custumer_Master!$A:$J,6,FALSE)</f>
        <v>Female</v>
      </c>
      <c r="H234" s="30" t="str">
        <f>VLOOKUP($B234,Custumer_Master!$A:$J,7,FALSE)</f>
        <v>04/04/1981</v>
      </c>
      <c r="I234" s="24" t="str">
        <f>VLOOKUP($B234,Custumer_Master!$A:$J,9,FALSE)</f>
        <v>Pune</v>
      </c>
      <c r="J234" s="24" t="str">
        <f>VLOOKUP($B234,Custumer_Master!$A:$J,10,FALSE)</f>
        <v>West</v>
      </c>
      <c r="K234" s="24" t="str">
        <f>VLOOKUP(B234,Custumer_Master!A:D,4,FALSE)</f>
        <v>WB</v>
      </c>
      <c r="L234" s="24" t="str">
        <f>PROPER(TRIM(VLOOKUP('Final Data'!C234,Product_Master!A:F,3,FALSE)))</f>
        <v>Stationery</v>
      </c>
      <c r="M234" s="24" t="s">
        <v>227</v>
      </c>
      <c r="N234" s="34">
        <v>7</v>
      </c>
      <c r="O234" s="192">
        <f>VLOOKUP(C234,Product_Master!A:F,5,FALSE)</f>
        <v>15</v>
      </c>
      <c r="P234" s="33">
        <v>0.05</v>
      </c>
      <c r="Q234" s="34">
        <f t="shared" si="9"/>
        <v>99.75</v>
      </c>
      <c r="R234" s="34">
        <v>2</v>
      </c>
      <c r="S234" s="24" t="s">
        <v>2149</v>
      </c>
      <c r="T234" s="24" t="s">
        <v>151</v>
      </c>
      <c r="U234" s="24" t="s">
        <v>256</v>
      </c>
      <c r="V234" s="34">
        <v>9837426414</v>
      </c>
      <c r="W234" s="24" t="str">
        <f>VLOOKUP(C234,Product_Master!A:F,4,FALSE)</f>
        <v>Prime Supplies</v>
      </c>
      <c r="X234" s="34">
        <f>VLOOKUP(C234,Product_Master!A:F,6,FALSE)</f>
        <v>12</v>
      </c>
      <c r="Y234" s="24" t="str">
        <f>VLOOKUP(B234,Custumer_Master!A:D,3,FALSE)</f>
        <v>Gold</v>
      </c>
      <c r="Z234" s="30">
        <f>EDATE(E234,X234)</f>
        <v>46411</v>
      </c>
      <c r="AA234" s="29" t="str">
        <f>VLOOKUP(B234,Custumer_Master!A:K,11,)</f>
        <v>April</v>
      </c>
      <c r="AB234" s="24" t="s">
        <v>2160</v>
      </c>
      <c r="AC234" s="138" t="str">
        <f>PROPER(LEFT(TRIM(F234), 3)) &amp; RIGHT(TRIM(B234), 3) &amp; PROPER(LEFT(TRIM(I234), 2))</f>
        <v>Sne006Pu</v>
      </c>
      <c r="AD234" s="154">
        <f t="shared" ca="1" si="10"/>
        <v>45</v>
      </c>
      <c r="AE234" s="154">
        <f>IFERROR(IF(OR(E234="", D234="", LOWER(TRIM(E234))="pending", LOWER(TRIM(D234))="pending"), "Pending", E234 - D234), "Pending")</f>
        <v>8</v>
      </c>
      <c r="AF234" s="138" t="str">
        <f>IFERROR(IF(OR(E234="", D234="","Pending","Pending"), "Pending", IF((E234 - D234) &lt;= 5, "On Time", "Delayed")), "Pending")</f>
        <v>Delayed</v>
      </c>
      <c r="AG234" s="24" t="str">
        <f t="shared" si="11"/>
        <v>Completed</v>
      </c>
    </row>
    <row r="235" spans="1:33">
      <c r="A235" s="24" t="s">
        <v>1140</v>
      </c>
      <c r="B235" s="24" t="s">
        <v>23</v>
      </c>
      <c r="C235" s="24" t="s">
        <v>24</v>
      </c>
      <c r="D235" s="30">
        <v>46073</v>
      </c>
      <c r="E235" s="30" t="s">
        <v>1142</v>
      </c>
      <c r="F235" s="24" t="str">
        <f>VLOOKUP(B235,Custumer_Master!A:D,2,FALSE)</f>
        <v>Kavya Nair</v>
      </c>
      <c r="G235" s="24" t="str">
        <f>VLOOKUP($B235,Custumer_Master!$A:$J,6,FALSE)</f>
        <v>Female</v>
      </c>
      <c r="H235" s="30" t="str">
        <f>VLOOKUP($B235,Custumer_Master!$A:$J,7,FALSE)</f>
        <v>01/08/1976</v>
      </c>
      <c r="I235" s="24" t="str">
        <f>VLOOKUP($B235,Custumer_Master!$A:$J,9,FALSE)</f>
        <v>Hyderabad</v>
      </c>
      <c r="J235" s="24" t="str">
        <f>VLOOKUP($B235,Custumer_Master!$A:$J,10,FALSE)</f>
        <v>South</v>
      </c>
      <c r="K235" s="24" t="str">
        <f>VLOOKUP(B235,Custumer_Master!A:D,4,FALSE)</f>
        <v>WB</v>
      </c>
      <c r="L235" s="24" t="str">
        <f>PROPER(TRIM(VLOOKUP('Final Data'!C235,Product_Master!A:F,3,FALSE)))</f>
        <v>Home Appliances</v>
      </c>
      <c r="M235" s="24" t="s">
        <v>33</v>
      </c>
      <c r="N235" s="34">
        <v>15</v>
      </c>
      <c r="O235" s="192">
        <f>VLOOKUP(C235,Product_Master!A:F,5,FALSE)</f>
        <v>1650</v>
      </c>
      <c r="P235" s="33">
        <v>0.2</v>
      </c>
      <c r="Q235" s="34">
        <f t="shared" si="9"/>
        <v>19800</v>
      </c>
      <c r="R235" s="34">
        <v>2</v>
      </c>
      <c r="S235" s="24" t="s">
        <v>34</v>
      </c>
      <c r="T235" s="24" t="s">
        <v>61</v>
      </c>
      <c r="U235" s="24" t="s">
        <v>50</v>
      </c>
      <c r="V235" s="34">
        <v>9249918272</v>
      </c>
      <c r="W235" s="24" t="str">
        <f>VLOOKUP(C235,Product_Master!A:F,4,FALSE)</f>
        <v>Global Trade</v>
      </c>
      <c r="X235" s="34">
        <f>VLOOKUP(C235,Product_Master!A:F,6,FALSE)</f>
        <v>24</v>
      </c>
      <c r="Y235" s="24" t="str">
        <f>VLOOKUP(B235,Custumer_Master!A:D,3,FALSE)</f>
        <v>Silver</v>
      </c>
      <c r="Z235" s="30">
        <f>EDATE(E235,X235)</f>
        <v>46816</v>
      </c>
      <c r="AA235" s="29" t="str">
        <f>VLOOKUP(B235,Custumer_Master!A:K,11,)</f>
        <v>August</v>
      </c>
      <c r="AB235" s="24" t="s">
        <v>2160</v>
      </c>
      <c r="AC235" s="138" t="str">
        <f>PROPER(LEFT(TRIM(F235), 3)) &amp; RIGHT(TRIM(B235), 3) &amp; PROPER(LEFT(TRIM(I235), 2))</f>
        <v>Kav008Hy</v>
      </c>
      <c r="AD235" s="154">
        <f t="shared" ca="1" si="10"/>
        <v>49</v>
      </c>
      <c r="AE235" s="154">
        <f>IFERROR(IF(OR(E235="", D235="", LOWER(TRIM(E235))="pending", LOWER(TRIM(D235))="pending"), "Pending", E235 - D235), "Pending")</f>
        <v>12</v>
      </c>
      <c r="AF235" s="138" t="str">
        <f>IFERROR(IF(OR(E235="", D235="","Pending","Pending"), "Pending", IF((E235 - D235) &lt;= 5, "On Time", "Delayed")), "Pending")</f>
        <v>Delayed</v>
      </c>
      <c r="AG235" s="24" t="str">
        <f t="shared" si="11"/>
        <v>Completed</v>
      </c>
    </row>
    <row r="236" spans="1:33">
      <c r="A236" s="24" t="s">
        <v>1145</v>
      </c>
      <c r="B236" s="24" t="s">
        <v>71</v>
      </c>
      <c r="C236" s="24" t="s">
        <v>222</v>
      </c>
      <c r="D236" s="30">
        <v>46070</v>
      </c>
      <c r="E236" s="30" t="s">
        <v>94</v>
      </c>
      <c r="F236" s="24" t="str">
        <f>VLOOKUP(B236,Custumer_Master!A:D,2,FALSE)</f>
        <v>Mohit Verma</v>
      </c>
      <c r="G236" s="24" t="str">
        <f>VLOOKUP($B236,Custumer_Master!$A:$J,6,FALSE)</f>
        <v>Male</v>
      </c>
      <c r="H236" s="30" t="str">
        <f>VLOOKUP($B236,Custumer_Master!$A:$J,7,FALSE)</f>
        <v>13/04/1976</v>
      </c>
      <c r="I236" s="24" t="str">
        <f>VLOOKUP($B236,Custumer_Master!$A:$J,9,FALSE)</f>
        <v>Delhi</v>
      </c>
      <c r="J236" s="24" t="str">
        <f>VLOOKUP($B236,Custumer_Master!$A:$J,10,FALSE)</f>
        <v>North</v>
      </c>
      <c r="K236" s="24" t="str">
        <f>VLOOKUP(B236,Custumer_Master!A:D,4,FALSE)</f>
        <v>KA</v>
      </c>
      <c r="L236" s="24" t="str">
        <f>PROPER(TRIM(VLOOKUP('Final Data'!C236,Product_Master!A:F,3,FALSE)))</f>
        <v>Stationery</v>
      </c>
      <c r="M236" s="24" t="s">
        <v>227</v>
      </c>
      <c r="N236" s="34">
        <v>5</v>
      </c>
      <c r="O236" s="192">
        <f>VLOOKUP(C236,Product_Master!A:F,5,FALSE)</f>
        <v>15</v>
      </c>
      <c r="P236" s="33">
        <v>0</v>
      </c>
      <c r="Q236" s="34">
        <f t="shared" si="9"/>
        <v>75</v>
      </c>
      <c r="R236" s="34">
        <v>3</v>
      </c>
      <c r="S236" s="24" t="s">
        <v>34</v>
      </c>
      <c r="T236" s="24" t="s">
        <v>151</v>
      </c>
      <c r="U236" s="24" t="s">
        <v>80</v>
      </c>
      <c r="V236" s="34">
        <v>9265580582</v>
      </c>
      <c r="W236" s="24" t="str">
        <f>VLOOKUP(C236,Product_Master!A:F,4,FALSE)</f>
        <v>Prime Supplies</v>
      </c>
      <c r="X236" s="34">
        <f>VLOOKUP(C236,Product_Master!A:F,6,FALSE)</f>
        <v>12</v>
      </c>
      <c r="Y236" s="24" t="str">
        <f>VLOOKUP(B236,Custumer_Master!A:D,3,FALSE)</f>
        <v>Platinum</v>
      </c>
      <c r="Z236" s="30">
        <f>EDATE(E236,X236)</f>
        <v>46443</v>
      </c>
      <c r="AA236" s="29" t="str">
        <f>VLOOKUP(B236,Custumer_Master!A:K,11,)</f>
        <v>April</v>
      </c>
      <c r="AB236" s="24" t="s">
        <v>2108</v>
      </c>
      <c r="AC236" s="138" t="str">
        <f>PROPER(LEFT(TRIM(F236), 3)) &amp; RIGHT(TRIM(B236), 3) &amp; PROPER(LEFT(TRIM(I236), 2))</f>
        <v>Moh009De</v>
      </c>
      <c r="AD236" s="154">
        <f t="shared" ca="1" si="10"/>
        <v>50</v>
      </c>
      <c r="AE236" s="154">
        <f>IFERROR(IF(OR(E236="", D236="", LOWER(TRIM(E236))="pending", LOWER(TRIM(D236))="pending"), "Pending", E236 - D236), "Pending")</f>
        <v>8</v>
      </c>
      <c r="AF236" s="138" t="str">
        <f>IFERROR(IF(OR(E236="", D236="","Pending","Pending"), "Pending", IF((E236 - D236) &lt;= 5, "On Time", "Delayed")), "Pending")</f>
        <v>Delayed</v>
      </c>
      <c r="AG236" s="24" t="str">
        <f t="shared" si="11"/>
        <v>Completed</v>
      </c>
    </row>
    <row r="237" spans="1:33">
      <c r="A237" s="24" t="s">
        <v>1148</v>
      </c>
      <c r="B237" s="24" t="s">
        <v>127</v>
      </c>
      <c r="C237" s="24" t="s">
        <v>40</v>
      </c>
      <c r="D237" s="30">
        <v>45847</v>
      </c>
      <c r="E237" s="30" t="s">
        <v>779</v>
      </c>
      <c r="F237" s="24" t="str">
        <f>VLOOKUP(B237,Custumer_Master!A:D,2,FALSE)</f>
        <v>Rohit Singh</v>
      </c>
      <c r="G237" s="24" t="str">
        <f>VLOOKUP($B237,Custumer_Master!$A:$J,6,FALSE)</f>
        <v>Male</v>
      </c>
      <c r="H237" s="30" t="str">
        <f>VLOOKUP($B237,Custumer_Master!$A:$J,7,FALSE)</f>
        <v>10/05/1982</v>
      </c>
      <c r="I237" s="24" t="str">
        <f>VLOOKUP($B237,Custumer_Master!$A:$J,9,FALSE)</f>
        <v>Delhi</v>
      </c>
      <c r="J237" s="24" t="str">
        <f>VLOOKUP($B237,Custumer_Master!$A:$J,10,FALSE)</f>
        <v>North</v>
      </c>
      <c r="K237" s="24" t="str">
        <f>VLOOKUP(B237,Custumer_Master!A:D,4,FALSE)</f>
        <v>DL</v>
      </c>
      <c r="L237" s="24" t="str">
        <f>PROPER(TRIM(VLOOKUP('Final Data'!C237,Product_Master!A:F,3,FALSE)))</f>
        <v>Electronics</v>
      </c>
      <c r="M237" s="24" t="s">
        <v>47</v>
      </c>
      <c r="N237" s="34">
        <v>8</v>
      </c>
      <c r="O237" s="192">
        <f>VLOOKUP(C237,Product_Master!A:F,5,FALSE)</f>
        <v>9000</v>
      </c>
      <c r="P237" s="33">
        <v>0.2</v>
      </c>
      <c r="Q237" s="34">
        <f t="shared" si="9"/>
        <v>57600</v>
      </c>
      <c r="R237" s="34">
        <v>3</v>
      </c>
      <c r="S237" s="24" t="s">
        <v>79</v>
      </c>
      <c r="T237" s="24" t="s">
        <v>61</v>
      </c>
      <c r="U237" s="24" t="s">
        <v>132</v>
      </c>
      <c r="V237" s="34">
        <v>9751049833</v>
      </c>
      <c r="W237" s="24" t="str">
        <f>VLOOKUP(C237,Product_Master!A:F,4,FALSE)</f>
        <v>Global Trade</v>
      </c>
      <c r="X237" s="34">
        <f>VLOOKUP(C237,Product_Master!A:F,6,FALSE)</f>
        <v>24</v>
      </c>
      <c r="Y237" s="24" t="str">
        <f>VLOOKUP(B237,Custumer_Master!A:D,3,FALSE)</f>
        <v>Gold</v>
      </c>
      <c r="Z237" s="30">
        <f>EDATE(E237,X237)</f>
        <v>46582</v>
      </c>
      <c r="AA237" s="29" t="str">
        <f>VLOOKUP(B237,Custumer_Master!A:K,11,)</f>
        <v>May</v>
      </c>
      <c r="AB237" s="24" t="s">
        <v>2112</v>
      </c>
      <c r="AC237" s="138" t="str">
        <f>PROPER(LEFT(TRIM(F237), 3)) &amp; RIGHT(TRIM(B237), 3) &amp; PROPER(LEFT(TRIM(I237), 2))</f>
        <v>Roh003De</v>
      </c>
      <c r="AD237" s="154">
        <f t="shared" ca="1" si="10"/>
        <v>44</v>
      </c>
      <c r="AE237" s="154">
        <f>IFERROR(IF(OR(E237="", D237="", LOWER(TRIM(E237))="pending", LOWER(TRIM(D237))="pending"), "Pending", E237 - D237), "Pending")</f>
        <v>5</v>
      </c>
      <c r="AF237" s="138" t="str">
        <f>IFERROR(IF(OR(E237="", D237="","Pending","Pending"), "Pending", IF((E237 - D237) &lt;= 5, "On Time", "Delayed")), "Pending")</f>
        <v>On Time</v>
      </c>
      <c r="AG237" s="24" t="str">
        <f t="shared" si="11"/>
        <v>Completed</v>
      </c>
    </row>
    <row r="238" spans="1:33">
      <c r="A238" s="24" t="s">
        <v>1152</v>
      </c>
      <c r="B238" s="24" t="s">
        <v>127</v>
      </c>
      <c r="C238" s="24" t="s">
        <v>92</v>
      </c>
      <c r="D238" s="30">
        <v>45696</v>
      </c>
      <c r="E238" s="30" t="s">
        <v>987</v>
      </c>
      <c r="F238" s="24" t="str">
        <f>VLOOKUP(B238,Custumer_Master!A:D,2,FALSE)</f>
        <v>Rohit Singh</v>
      </c>
      <c r="G238" s="24" t="str">
        <f>VLOOKUP($B238,Custumer_Master!$A:$J,6,FALSE)</f>
        <v>Male</v>
      </c>
      <c r="H238" s="30" t="str">
        <f>VLOOKUP($B238,Custumer_Master!$A:$J,7,FALSE)</f>
        <v>10/05/1982</v>
      </c>
      <c r="I238" s="24" t="str">
        <f>VLOOKUP($B238,Custumer_Master!$A:$J,9,FALSE)</f>
        <v>Delhi</v>
      </c>
      <c r="J238" s="24" t="str">
        <f>VLOOKUP($B238,Custumer_Master!$A:$J,10,FALSE)</f>
        <v>North</v>
      </c>
      <c r="K238" s="24" t="str">
        <f>VLOOKUP(B238,Custumer_Master!A:D,4,FALSE)</f>
        <v>DL</v>
      </c>
      <c r="L238" s="24" t="str">
        <f>PROPER(TRIM(VLOOKUP('Final Data'!C238,Product_Master!A:F,3,FALSE)))</f>
        <v>Home Appliances</v>
      </c>
      <c r="M238" s="24" t="s">
        <v>97</v>
      </c>
      <c r="N238" s="34">
        <v>4</v>
      </c>
      <c r="O238" s="192">
        <f>VLOOKUP(C238,Product_Master!A:F,5,FALSE)</f>
        <v>2625</v>
      </c>
      <c r="P238" s="33">
        <v>0.2</v>
      </c>
      <c r="Q238" s="34">
        <f t="shared" si="9"/>
        <v>8400</v>
      </c>
      <c r="R238" s="34">
        <v>1</v>
      </c>
      <c r="S238" s="24" t="s">
        <v>79</v>
      </c>
      <c r="T238" s="24" t="s">
        <v>115</v>
      </c>
      <c r="U238" s="24" t="s">
        <v>132</v>
      </c>
      <c r="V238" s="34">
        <v>9741671507</v>
      </c>
      <c r="W238" s="24" t="str">
        <f>VLOOKUP(C238,Product_Master!A:F,4,FALSE)</f>
        <v>Global Trade</v>
      </c>
      <c r="X238" s="34">
        <f>VLOOKUP(C238,Product_Master!A:F,6,FALSE)</f>
        <v>6</v>
      </c>
      <c r="Y238" s="24" t="str">
        <f>VLOOKUP(B238,Custumer_Master!A:D,3,FALSE)</f>
        <v>Gold</v>
      </c>
      <c r="Z238" s="30">
        <f>EDATE(E238,X238)</f>
        <v>45885</v>
      </c>
      <c r="AA238" s="29" t="str">
        <f>VLOOKUP(B238,Custumer_Master!A:K,11,)</f>
        <v>May</v>
      </c>
      <c r="AB238" s="24" t="s">
        <v>2160</v>
      </c>
      <c r="AC238" s="138" t="str">
        <f>PROPER(LEFT(TRIM(F238), 3)) &amp; RIGHT(TRIM(B238), 3) &amp; PROPER(LEFT(TRIM(I238), 2))</f>
        <v>Roh003De</v>
      </c>
      <c r="AD238" s="154">
        <f t="shared" ca="1" si="10"/>
        <v>44</v>
      </c>
      <c r="AE238" s="154">
        <f>IFERROR(IF(OR(E238="", D238="", LOWER(TRIM(E238))="pending", LOWER(TRIM(D238))="pending"), "Pending", E238 - D238), "Pending")</f>
        <v>8</v>
      </c>
      <c r="AF238" s="138" t="str">
        <f>IFERROR(IF(OR(E238="", D238="","Pending","Pending"), "Pending", IF((E238 - D238) &lt;= 5, "On Time", "Delayed")), "Pending")</f>
        <v>Delayed</v>
      </c>
      <c r="AG238" s="24" t="str">
        <f t="shared" si="11"/>
        <v>Completed</v>
      </c>
    </row>
    <row r="239" spans="1:33">
      <c r="A239" s="24" t="s">
        <v>1156</v>
      </c>
      <c r="B239" s="24" t="s">
        <v>221</v>
      </c>
      <c r="C239" s="24" t="s">
        <v>259</v>
      </c>
      <c r="D239" s="30">
        <v>45713</v>
      </c>
      <c r="E239" s="30" t="s">
        <v>1157</v>
      </c>
      <c r="F239" s="24" t="str">
        <f>VLOOKUP(B239,Custumer_Master!A:D,2,FALSE)</f>
        <v>Vikas Mehta</v>
      </c>
      <c r="G239" s="24" t="str">
        <f>VLOOKUP($B239,Custumer_Master!$A:$J,6,FALSE)</f>
        <v>Male</v>
      </c>
      <c r="H239" s="30" t="str">
        <f>VLOOKUP($B239,Custumer_Master!$A:$J,7,FALSE)</f>
        <v>03/08/1991</v>
      </c>
      <c r="I239" s="24" t="str">
        <f>VLOOKUP($B239,Custumer_Master!$A:$J,9,FALSE)</f>
        <v>Mumbai</v>
      </c>
      <c r="J239" s="24" t="str">
        <f>VLOOKUP($B239,Custumer_Master!$A:$J,10,FALSE)</f>
        <v>West</v>
      </c>
      <c r="K239" s="24" t="str">
        <f>VLOOKUP(B239,Custumer_Master!A:D,4,FALSE)</f>
        <v>DL</v>
      </c>
      <c r="L239" s="24" t="str">
        <f>PROPER(TRIM(VLOOKUP('Final Data'!C239,Product_Master!A:F,3,FALSE)))</f>
        <v>Stationery</v>
      </c>
      <c r="M239" s="24" t="s">
        <v>263</v>
      </c>
      <c r="N239" s="34">
        <v>19</v>
      </c>
      <c r="O239" s="192">
        <f>VLOOKUP(C239,Product_Master!A:F,5,FALSE)</f>
        <v>33.75</v>
      </c>
      <c r="P239" s="33">
        <v>0.1</v>
      </c>
      <c r="Q239" s="34">
        <f t="shared" si="9"/>
        <v>577.125</v>
      </c>
      <c r="R239" s="34">
        <v>1</v>
      </c>
      <c r="S239" s="24" t="s">
        <v>34</v>
      </c>
      <c r="T239" s="24" t="s">
        <v>115</v>
      </c>
      <c r="U239" s="24" t="s">
        <v>228</v>
      </c>
      <c r="V239" s="34">
        <v>9367541035</v>
      </c>
      <c r="W239" s="24" t="str">
        <f>VLOOKUP(C239,Product_Master!A:F,4,FALSE)</f>
        <v>TechHub</v>
      </c>
      <c r="X239" s="34">
        <f>VLOOKUP(C239,Product_Master!A:F,6,FALSE)</f>
        <v>12</v>
      </c>
      <c r="Y239" s="24" t="str">
        <f>VLOOKUP(B239,Custumer_Master!A:D,3,FALSE)</f>
        <v>Gold</v>
      </c>
      <c r="Z239" s="30">
        <f>EDATE(E239,X239)</f>
        <v>46085</v>
      </c>
      <c r="AA239" s="29" t="str">
        <f>VLOOKUP(B239,Custumer_Master!A:K,11,)</f>
        <v>August</v>
      </c>
      <c r="AB239" s="24" t="s">
        <v>2160</v>
      </c>
      <c r="AC239" s="138" t="str">
        <f>PROPER(LEFT(TRIM(F239), 3)) &amp; RIGHT(TRIM(B239), 3) &amp; PROPER(LEFT(TRIM(I239), 2))</f>
        <v>Vik005Mu</v>
      </c>
      <c r="AD239" s="154">
        <f t="shared" ca="1" si="10"/>
        <v>34</v>
      </c>
      <c r="AE239" s="154">
        <f>IFERROR(IF(OR(E239="", D239="", LOWER(TRIM(E239))="pending", LOWER(TRIM(D239))="pending"), "Pending", E239 - D239), "Pending")</f>
        <v>7</v>
      </c>
      <c r="AF239" s="138" t="str">
        <f>IFERROR(IF(OR(E239="", D239="","Pending","Pending"), "Pending", IF((E239 - D239) &lt;= 5, "On Time", "Delayed")), "Pending")</f>
        <v>Delayed</v>
      </c>
      <c r="AG239" s="24" t="str">
        <f t="shared" si="11"/>
        <v>Completed</v>
      </c>
    </row>
    <row r="240" spans="1:33">
      <c r="A240" s="24" t="s">
        <v>1160</v>
      </c>
      <c r="B240" s="24" t="s">
        <v>53</v>
      </c>
      <c r="C240" s="24" t="s">
        <v>259</v>
      </c>
      <c r="D240" s="30">
        <v>46049</v>
      </c>
      <c r="E240" s="30" t="s">
        <v>1161</v>
      </c>
      <c r="F240" s="24" t="str">
        <f>VLOOKUP(B240,Custumer_Master!A:D,2,FALSE)</f>
        <v>Pooja Shah</v>
      </c>
      <c r="G240" s="24" t="str">
        <f>VLOOKUP($B240,Custumer_Master!$A:$J,6,FALSE)</f>
        <v>Female</v>
      </c>
      <c r="H240" s="30" t="str">
        <f>VLOOKUP($B240,Custumer_Master!$A:$J,7,FALSE)</f>
        <v>16/09/1994</v>
      </c>
      <c r="I240" s="24" t="str">
        <f>VLOOKUP($B240,Custumer_Master!$A:$J,9,FALSE)</f>
        <v>Bengaluru</v>
      </c>
      <c r="J240" s="24" t="str">
        <f>VLOOKUP($B240,Custumer_Master!$A:$J,10,FALSE)</f>
        <v>South</v>
      </c>
      <c r="K240" s="24" t="str">
        <f>VLOOKUP(B240,Custumer_Master!A:D,4,FALSE)</f>
        <v>WB</v>
      </c>
      <c r="L240" s="24" t="str">
        <f>PROPER(TRIM(VLOOKUP('Final Data'!C240,Product_Master!A:F,3,FALSE)))</f>
        <v>Stationery</v>
      </c>
      <c r="M240" s="24" t="s">
        <v>263</v>
      </c>
      <c r="N240" s="34">
        <v>10</v>
      </c>
      <c r="O240" s="192">
        <f>VLOOKUP(C240,Product_Master!A:F,5,FALSE)</f>
        <v>33.75</v>
      </c>
      <c r="P240" s="33">
        <v>0</v>
      </c>
      <c r="Q240" s="34">
        <f t="shared" si="9"/>
        <v>337.5</v>
      </c>
      <c r="R240" s="34">
        <v>4</v>
      </c>
      <c r="S240" s="24" t="s">
        <v>2149</v>
      </c>
      <c r="T240" s="24" t="s">
        <v>61</v>
      </c>
      <c r="U240" s="24" t="s">
        <v>62</v>
      </c>
      <c r="V240" s="34">
        <v>9323696971</v>
      </c>
      <c r="W240" s="24" t="str">
        <f>VLOOKUP(C240,Product_Master!A:F,4,FALSE)</f>
        <v>TechHub</v>
      </c>
      <c r="X240" s="34">
        <f>VLOOKUP(C240,Product_Master!A:F,6,FALSE)</f>
        <v>12</v>
      </c>
      <c r="Y240" s="24" t="str">
        <f>VLOOKUP(B240,Custumer_Master!A:D,3,FALSE)</f>
        <v>Silver</v>
      </c>
      <c r="Z240" s="30">
        <f>EDATE(E240,X240)</f>
        <v>46424</v>
      </c>
      <c r="AA240" s="29" t="str">
        <f>VLOOKUP(B240,Custumer_Master!A:K,11,)</f>
        <v>September</v>
      </c>
      <c r="AB240" s="24" t="s">
        <v>2108</v>
      </c>
      <c r="AC240" s="138" t="str">
        <f>PROPER(LEFT(TRIM(F240), 3)) &amp; RIGHT(TRIM(B240), 3) &amp; PROPER(LEFT(TRIM(I240), 2))</f>
        <v>Poo010Be</v>
      </c>
      <c r="AD240" s="154">
        <f t="shared" ca="1" si="10"/>
        <v>31</v>
      </c>
      <c r="AE240" s="154">
        <f>IFERROR(IF(OR(E240="", D240="", LOWER(TRIM(E240))="pending", LOWER(TRIM(D240))="pending"), "Pending", E240 - D240), "Pending")</f>
        <v>10</v>
      </c>
      <c r="AF240" s="138" t="str">
        <f>IFERROR(IF(OR(E240="", D240="","Pending","Pending"), "Pending", IF((E240 - D240) &lt;= 5, "On Time", "Delayed")), "Pending")</f>
        <v>Delayed</v>
      </c>
      <c r="AG240" s="24" t="str">
        <f t="shared" si="11"/>
        <v>Completed</v>
      </c>
    </row>
    <row r="241" spans="1:33">
      <c r="A241" s="24" t="s">
        <v>1164</v>
      </c>
      <c r="B241" s="24" t="s">
        <v>53</v>
      </c>
      <c r="C241" s="24" t="s">
        <v>259</v>
      </c>
      <c r="D241" s="30">
        <v>46030</v>
      </c>
      <c r="E241" s="30" t="s">
        <v>1039</v>
      </c>
      <c r="F241" s="24" t="str">
        <f>VLOOKUP(B241,Custumer_Master!A:D,2,FALSE)</f>
        <v>Pooja Shah</v>
      </c>
      <c r="G241" s="24" t="str">
        <f>VLOOKUP($B241,Custumer_Master!$A:$J,6,FALSE)</f>
        <v>Female</v>
      </c>
      <c r="H241" s="30" t="str">
        <f>VLOOKUP($B241,Custumer_Master!$A:$J,7,FALSE)</f>
        <v>16/09/1994</v>
      </c>
      <c r="I241" s="24" t="str">
        <f>VLOOKUP($B241,Custumer_Master!$A:$J,9,FALSE)</f>
        <v>Bengaluru</v>
      </c>
      <c r="J241" s="24" t="str">
        <f>VLOOKUP($B241,Custumer_Master!$A:$J,10,FALSE)</f>
        <v>South</v>
      </c>
      <c r="K241" s="24" t="str">
        <f>VLOOKUP(B241,Custumer_Master!A:D,4,FALSE)</f>
        <v>WB</v>
      </c>
      <c r="L241" s="24" t="str">
        <f>PROPER(TRIM(VLOOKUP('Final Data'!C241,Product_Master!A:F,3,FALSE)))</f>
        <v>Stationery</v>
      </c>
      <c r="M241" s="24" t="s">
        <v>263</v>
      </c>
      <c r="N241" s="34">
        <v>16</v>
      </c>
      <c r="O241" s="192">
        <f>VLOOKUP(C241,Product_Master!A:F,5,FALSE)</f>
        <v>33.75</v>
      </c>
      <c r="P241" s="33">
        <v>0.15</v>
      </c>
      <c r="Q241" s="34">
        <f t="shared" si="9"/>
        <v>459</v>
      </c>
      <c r="R241" s="34">
        <v>3</v>
      </c>
      <c r="S241" s="24" t="s">
        <v>34</v>
      </c>
      <c r="T241" s="24" t="s">
        <v>115</v>
      </c>
      <c r="U241" s="24" t="s">
        <v>62</v>
      </c>
      <c r="V241" s="34">
        <v>9786384529</v>
      </c>
      <c r="W241" s="24" t="str">
        <f>VLOOKUP(C241,Product_Master!A:F,4,FALSE)</f>
        <v>TechHub</v>
      </c>
      <c r="X241" s="34">
        <f>VLOOKUP(C241,Product_Master!A:F,6,FALSE)</f>
        <v>12</v>
      </c>
      <c r="Y241" s="24" t="str">
        <f>VLOOKUP(B241,Custumer_Master!A:D,3,FALSE)</f>
        <v>Silver</v>
      </c>
      <c r="Z241" s="30">
        <f>EDATE(E241,X241)</f>
        <v>46404</v>
      </c>
      <c r="AA241" s="29" t="str">
        <f>VLOOKUP(B241,Custumer_Master!A:K,11,)</f>
        <v>September</v>
      </c>
      <c r="AB241" s="24" t="s">
        <v>2108</v>
      </c>
      <c r="AC241" s="138" t="str">
        <f>PROPER(LEFT(TRIM(F241), 3)) &amp; RIGHT(TRIM(B241), 3) &amp; PROPER(LEFT(TRIM(I241), 2))</f>
        <v>Poo010Be</v>
      </c>
      <c r="AD241" s="154">
        <f t="shared" ca="1" si="10"/>
        <v>31</v>
      </c>
      <c r="AE241" s="154">
        <f>IFERROR(IF(OR(E241="", D241="", LOWER(TRIM(E241))="pending", LOWER(TRIM(D241))="pending"), "Pending", E241 - D241), "Pending")</f>
        <v>9</v>
      </c>
      <c r="AF241" s="138" t="str">
        <f>IFERROR(IF(OR(E241="", D241="","Pending","Pending"), "Pending", IF((E241 - D241) &lt;= 5, "On Time", "Delayed")), "Pending")</f>
        <v>Delayed</v>
      </c>
      <c r="AG241" s="24" t="str">
        <f t="shared" si="11"/>
        <v>Completed</v>
      </c>
    </row>
    <row r="242" spans="1:33">
      <c r="A242" s="24" t="s">
        <v>1168</v>
      </c>
      <c r="B242" s="24" t="s">
        <v>168</v>
      </c>
      <c r="C242" s="24" t="s">
        <v>169</v>
      </c>
      <c r="D242" s="30">
        <v>45741</v>
      </c>
      <c r="E242" s="30" t="s">
        <v>120</v>
      </c>
      <c r="F242" s="24" t="str">
        <f>VLOOKUP(B242,Custumer_Master!A:D,2,FALSE)</f>
        <v>Anita Gupta</v>
      </c>
      <c r="G242" s="24" t="str">
        <f>VLOOKUP($B242,Custumer_Master!$A:$J,6,FALSE)</f>
        <v>Female</v>
      </c>
      <c r="H242" s="30" t="str">
        <f>VLOOKUP($B242,Custumer_Master!$A:$J,7,FALSE)</f>
        <v>16/01/2002</v>
      </c>
      <c r="I242" s="24" t="str">
        <f>VLOOKUP($B242,Custumer_Master!$A:$J,9,FALSE)</f>
        <v>Pune</v>
      </c>
      <c r="J242" s="24" t="str">
        <f>VLOOKUP($B242,Custumer_Master!$A:$J,10,FALSE)</f>
        <v>West</v>
      </c>
      <c r="K242" s="24" t="str">
        <f>VLOOKUP(B242,Custumer_Master!A:D,4,FALSE)</f>
        <v>WB</v>
      </c>
      <c r="L242" s="24" t="str">
        <f>PROPER(TRIM(VLOOKUP('Final Data'!C242,Product_Master!A:F,3,FALSE)))</f>
        <v>Home Appliances</v>
      </c>
      <c r="M242" s="24" t="s">
        <v>174</v>
      </c>
      <c r="N242" s="34">
        <v>16</v>
      </c>
      <c r="O242" s="192">
        <f>VLOOKUP(C242,Product_Master!A:F,5,FALSE)</f>
        <v>6375</v>
      </c>
      <c r="P242" s="33">
        <v>0.15</v>
      </c>
      <c r="Q242" s="34">
        <f t="shared" si="9"/>
        <v>86700</v>
      </c>
      <c r="R242" s="34">
        <v>4</v>
      </c>
      <c r="S242" s="24" t="s">
        <v>2148</v>
      </c>
      <c r="T242" s="24" t="s">
        <v>35</v>
      </c>
      <c r="U242" s="24" t="s">
        <v>175</v>
      </c>
      <c r="V242" s="34">
        <v>9444900541</v>
      </c>
      <c r="W242" s="24" t="str">
        <f>VLOOKUP(C242,Product_Master!A:F,4,FALSE)</f>
        <v>TechHub</v>
      </c>
      <c r="X242" s="34">
        <f>VLOOKUP(C242,Product_Master!A:F,6,FALSE)</f>
        <v>24</v>
      </c>
      <c r="Y242" s="24" t="str">
        <f>VLOOKUP(B242,Custumer_Master!A:D,3,FALSE)</f>
        <v>Gold</v>
      </c>
      <c r="Z242" s="30">
        <f>EDATE(E242,X242)</f>
        <v>46473</v>
      </c>
      <c r="AA242" s="29" t="str">
        <f>VLOOKUP(B242,Custumer_Master!A:K,11,)</f>
        <v>January</v>
      </c>
      <c r="AB242" s="24" t="s">
        <v>2112</v>
      </c>
      <c r="AC242" s="138" t="str">
        <f>PROPER(LEFT(TRIM(F242), 3)) &amp; RIGHT(TRIM(B242), 3) &amp; PROPER(LEFT(TRIM(I242), 2))</f>
        <v>Ani004Pu</v>
      </c>
      <c r="AD242" s="154">
        <f t="shared" ca="1" si="10"/>
        <v>24</v>
      </c>
      <c r="AE242" s="154">
        <f>IFERROR(IF(OR(E242="", D242="", LOWER(TRIM(E242))="pending", LOWER(TRIM(D242))="pending"), "Pending", E242 - D242), "Pending")</f>
        <v>2</v>
      </c>
      <c r="AF242" s="138" t="str">
        <f>IFERROR(IF(OR(E242="", D242="","Pending","Pending"), "Pending", IF((E242 - D242) &lt;= 5, "On Time", "Delayed")), "Pending")</f>
        <v>On Time</v>
      </c>
      <c r="AG242" s="24" t="str">
        <f t="shared" si="11"/>
        <v>Completed</v>
      </c>
    </row>
    <row r="243" spans="1:33">
      <c r="A243" s="24" t="s">
        <v>1171</v>
      </c>
      <c r="B243" s="24" t="s">
        <v>168</v>
      </c>
      <c r="C243" s="24" t="s">
        <v>222</v>
      </c>
      <c r="D243" s="30">
        <v>45901</v>
      </c>
      <c r="E243" s="30" t="s">
        <v>1172</v>
      </c>
      <c r="F243" s="24" t="str">
        <f>VLOOKUP(B243,Custumer_Master!A:D,2,FALSE)</f>
        <v>Anita Gupta</v>
      </c>
      <c r="G243" s="24" t="str">
        <f>VLOOKUP($B243,Custumer_Master!$A:$J,6,FALSE)</f>
        <v>Female</v>
      </c>
      <c r="H243" s="30" t="str">
        <f>VLOOKUP($B243,Custumer_Master!$A:$J,7,FALSE)</f>
        <v>16/01/2002</v>
      </c>
      <c r="I243" s="24" t="str">
        <f>VLOOKUP($B243,Custumer_Master!$A:$J,9,FALSE)</f>
        <v>Pune</v>
      </c>
      <c r="J243" s="24" t="str">
        <f>VLOOKUP($B243,Custumer_Master!$A:$J,10,FALSE)</f>
        <v>West</v>
      </c>
      <c r="K243" s="24" t="str">
        <f>VLOOKUP(B243,Custumer_Master!A:D,4,FALSE)</f>
        <v>WB</v>
      </c>
      <c r="L243" s="24" t="str">
        <f>PROPER(TRIM(VLOOKUP('Final Data'!C243,Product_Master!A:F,3,FALSE)))</f>
        <v>Stationery</v>
      </c>
      <c r="M243" s="24" t="s">
        <v>227</v>
      </c>
      <c r="N243" s="34">
        <v>15</v>
      </c>
      <c r="O243" s="192">
        <f>VLOOKUP(C243,Product_Master!A:F,5,FALSE)</f>
        <v>15</v>
      </c>
      <c r="P243" s="33">
        <v>0.2</v>
      </c>
      <c r="Q243" s="34">
        <f t="shared" si="9"/>
        <v>180</v>
      </c>
      <c r="R243" s="34">
        <v>3</v>
      </c>
      <c r="S243" s="24" t="s">
        <v>2148</v>
      </c>
      <c r="T243" s="24" t="s">
        <v>49</v>
      </c>
      <c r="U243" s="24" t="s">
        <v>175</v>
      </c>
      <c r="V243" s="34">
        <v>9108024911</v>
      </c>
      <c r="W243" s="24" t="str">
        <f>VLOOKUP(C243,Product_Master!A:F,4,FALSE)</f>
        <v>Prime Supplies</v>
      </c>
      <c r="X243" s="34">
        <f>VLOOKUP(C243,Product_Master!A:F,6,FALSE)</f>
        <v>12</v>
      </c>
      <c r="Y243" s="24" t="str">
        <f>VLOOKUP(B243,Custumer_Master!A:D,3,FALSE)</f>
        <v>Gold</v>
      </c>
      <c r="Z243" s="30">
        <f>EDATE(E243,X243)</f>
        <v>46277</v>
      </c>
      <c r="AA243" s="29" t="str">
        <f>VLOOKUP(B243,Custumer_Master!A:K,11,)</f>
        <v>January</v>
      </c>
      <c r="AB243" s="24" t="s">
        <v>2108</v>
      </c>
      <c r="AC243" s="138" t="str">
        <f>PROPER(LEFT(TRIM(F243), 3)) &amp; RIGHT(TRIM(B243), 3) &amp; PROPER(LEFT(TRIM(I243), 2))</f>
        <v>Ani004Pu</v>
      </c>
      <c r="AD243" s="154">
        <f t="shared" ca="1" si="10"/>
        <v>24</v>
      </c>
      <c r="AE243" s="154">
        <f>IFERROR(IF(OR(E243="", D243="", LOWER(TRIM(E243))="pending", LOWER(TRIM(D243))="pending"), "Pending", E243 - D243), "Pending")</f>
        <v>11</v>
      </c>
      <c r="AF243" s="138" t="str">
        <f>IFERROR(IF(OR(E243="", D243="","Pending","Pending"), "Pending", IF((E243 - D243) &lt;= 5, "On Time", "Delayed")), "Pending")</f>
        <v>Delayed</v>
      </c>
      <c r="AG243" s="24" t="str">
        <f t="shared" si="11"/>
        <v>Completed</v>
      </c>
    </row>
    <row r="244" spans="1:33">
      <c r="A244" s="24" t="s">
        <v>1175</v>
      </c>
      <c r="B244" s="24" t="s">
        <v>83</v>
      </c>
      <c r="C244" s="24" t="s">
        <v>118</v>
      </c>
      <c r="D244" s="30">
        <v>46031</v>
      </c>
      <c r="E244" s="30" t="s">
        <v>1176</v>
      </c>
      <c r="F244" s="24" t="str">
        <f>VLOOKUP(B244,Custumer_Master!A:D,2,FALSE)</f>
        <v>Arjun Rao</v>
      </c>
      <c r="G244" s="24" t="str">
        <f>VLOOKUP($B244,Custumer_Master!$A:$J,6,FALSE)</f>
        <v>Male</v>
      </c>
      <c r="H244" s="30" t="str">
        <f>VLOOKUP($B244,Custumer_Master!$A:$J,7,FALSE)</f>
        <v>07/02/1988</v>
      </c>
      <c r="I244" s="24" t="str">
        <f>VLOOKUP($B244,Custumer_Master!$A:$J,9,FALSE)</f>
        <v>Hyderabad</v>
      </c>
      <c r="J244" s="24" t="str">
        <f>VLOOKUP($B244,Custumer_Master!$A:$J,10,FALSE)</f>
        <v>South</v>
      </c>
      <c r="K244" s="24" t="str">
        <f>VLOOKUP(B244,Custumer_Master!A:D,4,FALSE)</f>
        <v>RJ</v>
      </c>
      <c r="L244" s="24" t="str">
        <f>PROPER(TRIM(VLOOKUP('Final Data'!C244,Product_Master!A:F,3,FALSE)))</f>
        <v>Stationery</v>
      </c>
      <c r="M244" s="24" t="s">
        <v>123</v>
      </c>
      <c r="N244" s="34">
        <v>14</v>
      </c>
      <c r="O244" s="192">
        <f>VLOOKUP(C244,Product_Master!A:F,5,FALSE)</f>
        <v>45</v>
      </c>
      <c r="P244" s="33">
        <v>0.05</v>
      </c>
      <c r="Q244" s="34">
        <f t="shared" si="9"/>
        <v>598.5</v>
      </c>
      <c r="R244" s="34">
        <v>4</v>
      </c>
      <c r="S244" s="24" t="s">
        <v>34</v>
      </c>
      <c r="T244" s="24" t="s">
        <v>49</v>
      </c>
      <c r="U244" s="24" t="s">
        <v>89</v>
      </c>
      <c r="V244" s="34">
        <v>9897181325</v>
      </c>
      <c r="W244" s="24" t="str">
        <f>VLOOKUP(C244,Product_Master!A:F,4,FALSE)</f>
        <v>ABC Corp</v>
      </c>
      <c r="X244" s="34">
        <f>VLOOKUP(C244,Product_Master!A:F,6,FALSE)</f>
        <v>12</v>
      </c>
      <c r="Y244" s="24" t="str">
        <f>VLOOKUP(B244,Custumer_Master!A:D,3,FALSE)</f>
        <v>Silver</v>
      </c>
      <c r="Z244" s="30">
        <f>EDATE(E244,X244)</f>
        <v>46400</v>
      </c>
      <c r="AA244" s="29" t="str">
        <f>VLOOKUP(B244,Custumer_Master!A:K,11,)</f>
        <v>February</v>
      </c>
      <c r="AB244" s="24" t="s">
        <v>2108</v>
      </c>
      <c r="AC244" s="138" t="str">
        <f>PROPER(LEFT(TRIM(F244), 3)) &amp; RIGHT(TRIM(B244), 3) &amp; PROPER(LEFT(TRIM(I244), 2))</f>
        <v>Arj007Hy</v>
      </c>
      <c r="AD244" s="154">
        <f t="shared" ca="1" si="10"/>
        <v>38</v>
      </c>
      <c r="AE244" s="154">
        <f>IFERROR(IF(OR(E244="", D244="", LOWER(TRIM(E244))="pending", LOWER(TRIM(D244))="pending"), "Pending", E244 - D244), "Pending")</f>
        <v>4</v>
      </c>
      <c r="AF244" s="138" t="str">
        <f>IFERROR(IF(OR(E244="", D244="","Pending","Pending"), "Pending", IF((E244 - D244) &lt;= 5, "On Time", "Delayed")), "Pending")</f>
        <v>On Time</v>
      </c>
      <c r="AG244" s="24" t="str">
        <f t="shared" si="11"/>
        <v>Completed</v>
      </c>
    </row>
    <row r="245" spans="1:33">
      <c r="A245" s="24" t="s">
        <v>1179</v>
      </c>
      <c r="B245" s="24" t="s">
        <v>53</v>
      </c>
      <c r="C245" s="24" t="s">
        <v>72</v>
      </c>
      <c r="D245" s="30">
        <v>46158</v>
      </c>
      <c r="E245" s="30" t="s">
        <v>1181</v>
      </c>
      <c r="F245" s="24" t="str">
        <f>VLOOKUP(B245,Custumer_Master!A:D,2,FALSE)</f>
        <v>Pooja Shah</v>
      </c>
      <c r="G245" s="24" t="str">
        <f>VLOOKUP($B245,Custumer_Master!$A:$J,6,FALSE)</f>
        <v>Female</v>
      </c>
      <c r="H245" s="30" t="str">
        <f>VLOOKUP($B245,Custumer_Master!$A:$J,7,FALSE)</f>
        <v>16/09/1994</v>
      </c>
      <c r="I245" s="24" t="str">
        <f>VLOOKUP($B245,Custumer_Master!$A:$J,9,FALSE)</f>
        <v>Bengaluru</v>
      </c>
      <c r="J245" s="24" t="str">
        <f>VLOOKUP($B245,Custumer_Master!$A:$J,10,FALSE)</f>
        <v>South</v>
      </c>
      <c r="K245" s="24" t="str">
        <f>VLOOKUP(B245,Custumer_Master!A:D,4,FALSE)</f>
        <v>WB</v>
      </c>
      <c r="L245" s="24" t="str">
        <f>PROPER(TRIM(VLOOKUP('Final Data'!C245,Product_Master!A:F,3,FALSE)))</f>
        <v>Electronics</v>
      </c>
      <c r="M245" s="24" t="s">
        <v>78</v>
      </c>
      <c r="N245" s="34">
        <v>19</v>
      </c>
      <c r="O245" s="192">
        <f>VLOOKUP(C245,Product_Master!A:F,5,FALSE)</f>
        <v>900</v>
      </c>
      <c r="P245" s="33">
        <v>0.2</v>
      </c>
      <c r="Q245" s="34">
        <f t="shared" si="9"/>
        <v>13680</v>
      </c>
      <c r="R245" s="34">
        <v>2</v>
      </c>
      <c r="S245" s="24" t="s">
        <v>34</v>
      </c>
      <c r="T245" s="24" t="s">
        <v>115</v>
      </c>
      <c r="U245" s="24" t="s">
        <v>62</v>
      </c>
      <c r="V245" s="34">
        <v>9554719621</v>
      </c>
      <c r="W245" s="24" t="str">
        <f>VLOOKUP(C245,Product_Master!A:F,4,FALSE)</f>
        <v>TechHub</v>
      </c>
      <c r="X245" s="34">
        <f>VLOOKUP(C245,Product_Master!A:F,6,FALSE)</f>
        <v>6</v>
      </c>
      <c r="Y245" s="24" t="str">
        <f>VLOOKUP(B245,Custumer_Master!A:D,3,FALSE)</f>
        <v>Silver</v>
      </c>
      <c r="Z245" s="30">
        <f>EDATE(E245,X245)</f>
        <v>46345</v>
      </c>
      <c r="AA245" s="29" t="str">
        <f>VLOOKUP(B245,Custumer_Master!A:K,11,)</f>
        <v>September</v>
      </c>
      <c r="AB245" s="24" t="s">
        <v>2160</v>
      </c>
      <c r="AC245" s="138" t="str">
        <f>PROPER(LEFT(TRIM(F245), 3)) &amp; RIGHT(TRIM(B245), 3) &amp; PROPER(LEFT(TRIM(I245), 2))</f>
        <v>Poo010Be</v>
      </c>
      <c r="AD245" s="154">
        <f t="shared" ca="1" si="10"/>
        <v>31</v>
      </c>
      <c r="AE245" s="154">
        <f>IFERROR(IF(OR(E245="", D245="", LOWER(TRIM(E245))="pending", LOWER(TRIM(D245))="pending"), "Pending", E245 - D245), "Pending")</f>
        <v>3</v>
      </c>
      <c r="AF245" s="138" t="str">
        <f>IFERROR(IF(OR(E245="", D245="","Pending","Pending"), "Pending", IF((E245 - D245) &lt;= 5, "On Time", "Delayed")), "Pending")</f>
        <v>On Time</v>
      </c>
      <c r="AG245" s="24" t="str">
        <f t="shared" si="11"/>
        <v>Completed</v>
      </c>
    </row>
    <row r="246" spans="1:33">
      <c r="A246" s="24" t="s">
        <v>1184</v>
      </c>
      <c r="B246" s="24" t="s">
        <v>23</v>
      </c>
      <c r="C246" s="24" t="s">
        <v>259</v>
      </c>
      <c r="D246" s="30">
        <v>45943</v>
      </c>
      <c r="E246" s="30" t="s">
        <v>346</v>
      </c>
      <c r="F246" s="24" t="str">
        <f>VLOOKUP(B246,Custumer_Master!A:D,2,FALSE)</f>
        <v>Kavya Nair</v>
      </c>
      <c r="G246" s="24" t="str">
        <f>VLOOKUP($B246,Custumer_Master!$A:$J,6,FALSE)</f>
        <v>Female</v>
      </c>
      <c r="H246" s="30" t="str">
        <f>VLOOKUP($B246,Custumer_Master!$A:$J,7,FALSE)</f>
        <v>01/08/1976</v>
      </c>
      <c r="I246" s="24" t="str">
        <f>VLOOKUP($B246,Custumer_Master!$A:$J,9,FALSE)</f>
        <v>Hyderabad</v>
      </c>
      <c r="J246" s="24" t="str">
        <f>VLOOKUP($B246,Custumer_Master!$A:$J,10,FALSE)</f>
        <v>South</v>
      </c>
      <c r="K246" s="24" t="str">
        <f>VLOOKUP(B246,Custumer_Master!A:D,4,FALSE)</f>
        <v>WB</v>
      </c>
      <c r="L246" s="24" t="str">
        <f>PROPER(TRIM(VLOOKUP('Final Data'!C246,Product_Master!A:F,3,FALSE)))</f>
        <v>Stationery</v>
      </c>
      <c r="M246" s="24" t="s">
        <v>263</v>
      </c>
      <c r="N246" s="34">
        <v>5</v>
      </c>
      <c r="O246" s="192">
        <f>VLOOKUP(C246,Product_Master!A:F,5,FALSE)</f>
        <v>33.75</v>
      </c>
      <c r="P246" s="33">
        <v>0.15</v>
      </c>
      <c r="Q246" s="34">
        <f t="shared" si="9"/>
        <v>143.4375</v>
      </c>
      <c r="R246" s="34">
        <v>2</v>
      </c>
      <c r="S246" s="24" t="s">
        <v>34</v>
      </c>
      <c r="T246" s="24" t="s">
        <v>61</v>
      </c>
      <c r="U246" s="24" t="s">
        <v>50</v>
      </c>
      <c r="V246" s="34">
        <v>9815899217</v>
      </c>
      <c r="W246" s="24" t="str">
        <f>VLOOKUP(C246,Product_Master!A:F,4,FALSE)</f>
        <v>TechHub</v>
      </c>
      <c r="X246" s="34">
        <f>VLOOKUP(C246,Product_Master!A:F,6,FALSE)</f>
        <v>12</v>
      </c>
      <c r="Y246" s="24" t="str">
        <f>VLOOKUP(B246,Custumer_Master!A:D,3,FALSE)</f>
        <v>Silver</v>
      </c>
      <c r="Z246" s="30">
        <f>EDATE(E246,X246)</f>
        <v>46309</v>
      </c>
      <c r="AA246" s="29" t="str">
        <f>VLOOKUP(B246,Custumer_Master!A:K,11,)</f>
        <v>August</v>
      </c>
      <c r="AB246" s="24" t="s">
        <v>2160</v>
      </c>
      <c r="AC246" s="138" t="str">
        <f>PROPER(LEFT(TRIM(F246), 3)) &amp; RIGHT(TRIM(B246), 3) &amp; PROPER(LEFT(TRIM(I246), 2))</f>
        <v>Kav008Hy</v>
      </c>
      <c r="AD246" s="154">
        <f t="shared" ca="1" si="10"/>
        <v>49</v>
      </c>
      <c r="AE246" s="154">
        <f>IFERROR(IF(OR(E246="", D246="", LOWER(TRIM(E246))="pending", LOWER(TRIM(D246))="pending"), "Pending", E246 - D246), "Pending")</f>
        <v>1</v>
      </c>
      <c r="AF246" s="138" t="str">
        <f>IFERROR(IF(OR(E246="", D246="","Pending","Pending"), "Pending", IF((E246 - D246) &lt;= 5, "On Time", "Delayed")), "Pending")</f>
        <v>On Time</v>
      </c>
      <c r="AG246" s="24" t="str">
        <f t="shared" si="11"/>
        <v>Completed</v>
      </c>
    </row>
    <row r="247" spans="1:33">
      <c r="A247" s="24" t="s">
        <v>1187</v>
      </c>
      <c r="B247" s="24" t="s">
        <v>327</v>
      </c>
      <c r="C247" s="24" t="s">
        <v>184</v>
      </c>
      <c r="D247" s="30">
        <v>45802</v>
      </c>
      <c r="E247" s="30" t="s">
        <v>1188</v>
      </c>
      <c r="F247" s="24" t="str">
        <f>VLOOKUP(B247,Custumer_Master!A:D,2,FALSE)</f>
        <v>Amit Sharma</v>
      </c>
      <c r="G247" s="24" t="str">
        <f>VLOOKUP($B247,Custumer_Master!$A:$J,6,FALSE)</f>
        <v>Male</v>
      </c>
      <c r="H247" s="30" t="str">
        <f>VLOOKUP($B247,Custumer_Master!$A:$J,7,FALSE)</f>
        <v>09/08/1991</v>
      </c>
      <c r="I247" s="24" t="str">
        <f>VLOOKUP($B247,Custumer_Master!$A:$J,9,FALSE)</f>
        <v>Pune</v>
      </c>
      <c r="J247" s="24" t="str">
        <f>VLOOKUP($B247,Custumer_Master!$A:$J,10,FALSE)</f>
        <v>West</v>
      </c>
      <c r="K247" s="24" t="str">
        <f>VLOOKUP(B247,Custumer_Master!A:D,4,FALSE)</f>
        <v>RJ</v>
      </c>
      <c r="L247" s="24" t="str">
        <f>PROPER(TRIM(VLOOKUP('Final Data'!C247,Product_Master!A:F,3,FALSE)))</f>
        <v>Electronics</v>
      </c>
      <c r="M247" s="24" t="s">
        <v>189</v>
      </c>
      <c r="N247" s="34">
        <v>19</v>
      </c>
      <c r="O247" s="192">
        <f>VLOOKUP(C247,Product_Master!A:F,5,FALSE)</f>
        <v>525</v>
      </c>
      <c r="P247" s="33">
        <v>0.05</v>
      </c>
      <c r="Q247" s="34">
        <f t="shared" si="9"/>
        <v>9476.25</v>
      </c>
      <c r="R247" s="34">
        <v>5</v>
      </c>
      <c r="S247" s="24" t="s">
        <v>2149</v>
      </c>
      <c r="T247" s="24" t="s">
        <v>151</v>
      </c>
      <c r="U247" s="24" t="s">
        <v>332</v>
      </c>
      <c r="V247" s="34">
        <v>9308497039</v>
      </c>
      <c r="W247" s="24" t="str">
        <f>VLOOKUP(C247,Product_Master!A:F,4,FALSE)</f>
        <v>TechHub</v>
      </c>
      <c r="X247" s="34">
        <f>VLOOKUP(C247,Product_Master!A:F,6,FALSE)</f>
        <v>24</v>
      </c>
      <c r="Y247" s="24" t="str">
        <f>VLOOKUP(B247,Custumer_Master!A:D,3,FALSE)</f>
        <v>Silver</v>
      </c>
      <c r="Z247" s="30">
        <f>EDATE(E247,X247)</f>
        <v>46539</v>
      </c>
      <c r="AA247" s="29" t="str">
        <f>VLOOKUP(B247,Custumer_Master!A:K,11,)</f>
        <v>August</v>
      </c>
      <c r="AB247" s="24" t="s">
        <v>2108</v>
      </c>
      <c r="AC247" s="138" t="str">
        <f>PROPER(LEFT(TRIM(F247), 3)) &amp; RIGHT(TRIM(B247), 3) &amp; PROPER(LEFT(TRIM(I247), 2))</f>
        <v>Ami001Pu</v>
      </c>
      <c r="AD247" s="154">
        <f t="shared" ca="1" si="10"/>
        <v>34</v>
      </c>
      <c r="AE247" s="154">
        <f>IFERROR(IF(OR(E247="", D247="", LOWER(TRIM(E247))="pending", LOWER(TRIM(D247))="pending"), "Pending", E247 - D247), "Pending")</f>
        <v>7</v>
      </c>
      <c r="AF247" s="138" t="str">
        <f>IFERROR(IF(OR(E247="", D247="","Pending","Pending"), "Pending", IF((E247 - D247) &lt;= 5, "On Time", "Delayed")), "Pending")</f>
        <v>Delayed</v>
      </c>
      <c r="AG247" s="24" t="str">
        <f t="shared" si="11"/>
        <v>Completed</v>
      </c>
    </row>
    <row r="248" spans="1:33">
      <c r="A248" s="24" t="s">
        <v>1191</v>
      </c>
      <c r="B248" s="24" t="s">
        <v>127</v>
      </c>
      <c r="C248" s="24" t="s">
        <v>118</v>
      </c>
      <c r="D248" s="30">
        <v>46025</v>
      </c>
      <c r="E248" s="30" t="s">
        <v>84</v>
      </c>
      <c r="F248" s="24" t="str">
        <f>VLOOKUP(B248,Custumer_Master!A:D,2,FALSE)</f>
        <v>Rohit Singh</v>
      </c>
      <c r="G248" s="24" t="str">
        <f>VLOOKUP($B248,Custumer_Master!$A:$J,6,FALSE)</f>
        <v>Male</v>
      </c>
      <c r="H248" s="30" t="str">
        <f>VLOOKUP($B248,Custumer_Master!$A:$J,7,FALSE)</f>
        <v>10/05/1982</v>
      </c>
      <c r="I248" s="24" t="str">
        <f>VLOOKUP($B248,Custumer_Master!$A:$J,9,FALSE)</f>
        <v>Delhi</v>
      </c>
      <c r="J248" s="24" t="str">
        <f>VLOOKUP($B248,Custumer_Master!$A:$J,10,FALSE)</f>
        <v>North</v>
      </c>
      <c r="K248" s="24" t="str">
        <f>VLOOKUP(B248,Custumer_Master!A:D,4,FALSE)</f>
        <v>DL</v>
      </c>
      <c r="L248" s="24" t="str">
        <f>PROPER(TRIM(VLOOKUP('Final Data'!C248,Product_Master!A:F,3,FALSE)))</f>
        <v>Stationery</v>
      </c>
      <c r="M248" s="24" t="s">
        <v>123</v>
      </c>
      <c r="N248" s="34">
        <v>7</v>
      </c>
      <c r="O248" s="192">
        <f>VLOOKUP(C248,Product_Master!A:F,5,FALSE)</f>
        <v>45</v>
      </c>
      <c r="P248" s="33">
        <v>0</v>
      </c>
      <c r="Q248" s="34">
        <f t="shared" si="9"/>
        <v>315</v>
      </c>
      <c r="R248" s="34">
        <v>4</v>
      </c>
      <c r="S248" s="24" t="s">
        <v>34</v>
      </c>
      <c r="T248" s="24" t="s">
        <v>115</v>
      </c>
      <c r="U248" s="24" t="s">
        <v>132</v>
      </c>
      <c r="V248" s="34">
        <v>9882054354</v>
      </c>
      <c r="W248" s="24" t="str">
        <f>VLOOKUP(C248,Product_Master!A:F,4,FALSE)</f>
        <v>ABC Corp</v>
      </c>
      <c r="X248" s="34">
        <f>VLOOKUP(C248,Product_Master!A:F,6,FALSE)</f>
        <v>12</v>
      </c>
      <c r="Y248" s="24" t="str">
        <f>VLOOKUP(B248,Custumer_Master!A:D,3,FALSE)</f>
        <v>Gold</v>
      </c>
      <c r="Z248" s="30">
        <f>EDATE(E248,X248)</f>
        <v>46391</v>
      </c>
      <c r="AA248" s="29" t="str">
        <f>VLOOKUP(B248,Custumer_Master!A:K,11,)</f>
        <v>May</v>
      </c>
      <c r="AB248" s="24" t="s">
        <v>2108</v>
      </c>
      <c r="AC248" s="138" t="str">
        <f>PROPER(LEFT(TRIM(F248), 3)) &amp; RIGHT(TRIM(B248), 3) &amp; PROPER(LEFT(TRIM(I248), 2))</f>
        <v>Roh003De</v>
      </c>
      <c r="AD248" s="154">
        <f t="shared" ca="1" si="10"/>
        <v>44</v>
      </c>
      <c r="AE248" s="154">
        <f>IFERROR(IF(OR(E248="", D248="", LOWER(TRIM(E248))="pending", LOWER(TRIM(D248))="pending"), "Pending", E248 - D248), "Pending")</f>
        <v>1</v>
      </c>
      <c r="AF248" s="138" t="str">
        <f>IFERROR(IF(OR(E248="", D248="","Pending","Pending"), "Pending", IF((E248 - D248) &lt;= 5, "On Time", "Delayed")), "Pending")</f>
        <v>On Time</v>
      </c>
      <c r="AG248" s="24" t="str">
        <f t="shared" si="11"/>
        <v>Completed</v>
      </c>
    </row>
    <row r="249" spans="1:33">
      <c r="A249" s="24" t="s">
        <v>1194</v>
      </c>
      <c r="B249" s="24" t="s">
        <v>71</v>
      </c>
      <c r="C249" s="24" t="s">
        <v>24</v>
      </c>
      <c r="D249" s="30">
        <v>46013</v>
      </c>
      <c r="E249" s="30" t="s">
        <v>711</v>
      </c>
      <c r="F249" s="24" t="str">
        <f>VLOOKUP(B249,Custumer_Master!A:D,2,FALSE)</f>
        <v>Mohit Verma</v>
      </c>
      <c r="G249" s="24" t="str">
        <f>VLOOKUP($B249,Custumer_Master!$A:$J,6,FALSE)</f>
        <v>Male</v>
      </c>
      <c r="H249" s="30" t="str">
        <f>VLOOKUP($B249,Custumer_Master!$A:$J,7,FALSE)</f>
        <v>13/04/1976</v>
      </c>
      <c r="I249" s="24" t="str">
        <f>VLOOKUP($B249,Custumer_Master!$A:$J,9,FALSE)</f>
        <v>Delhi</v>
      </c>
      <c r="J249" s="24" t="str">
        <f>VLOOKUP($B249,Custumer_Master!$A:$J,10,FALSE)</f>
        <v>North</v>
      </c>
      <c r="K249" s="24" t="str">
        <f>VLOOKUP(B249,Custumer_Master!A:D,4,FALSE)</f>
        <v>KA</v>
      </c>
      <c r="L249" s="24" t="str">
        <f>PROPER(TRIM(VLOOKUP('Final Data'!C249,Product_Master!A:F,3,FALSE)))</f>
        <v>Home Appliances</v>
      </c>
      <c r="M249" s="24" t="s">
        <v>33</v>
      </c>
      <c r="N249" s="34">
        <v>13</v>
      </c>
      <c r="O249" s="192">
        <f>VLOOKUP(C249,Product_Master!A:F,5,FALSE)</f>
        <v>1650</v>
      </c>
      <c r="P249" s="33">
        <v>0.1</v>
      </c>
      <c r="Q249" s="34">
        <f t="shared" si="9"/>
        <v>19305</v>
      </c>
      <c r="R249" s="34">
        <v>1</v>
      </c>
      <c r="S249" s="24" t="s">
        <v>79</v>
      </c>
      <c r="T249" s="24" t="s">
        <v>151</v>
      </c>
      <c r="U249" s="24" t="s">
        <v>80</v>
      </c>
      <c r="V249" s="34">
        <v>9193016830</v>
      </c>
      <c r="W249" s="24" t="str">
        <f>VLOOKUP(C249,Product_Master!A:F,4,FALSE)</f>
        <v>Global Trade</v>
      </c>
      <c r="X249" s="34">
        <f>VLOOKUP(C249,Product_Master!A:F,6,FALSE)</f>
        <v>24</v>
      </c>
      <c r="Y249" s="24" t="str">
        <f>VLOOKUP(B249,Custumer_Master!A:D,3,FALSE)</f>
        <v>Platinum</v>
      </c>
      <c r="Z249" s="30">
        <f>EDATE(E249,X249)</f>
        <v>46754</v>
      </c>
      <c r="AA249" s="29" t="str">
        <f>VLOOKUP(B249,Custumer_Master!A:K,11,)</f>
        <v>April</v>
      </c>
      <c r="AB249" s="24" t="s">
        <v>2160</v>
      </c>
      <c r="AC249" s="138" t="str">
        <f>PROPER(LEFT(TRIM(F249), 3)) &amp; RIGHT(TRIM(B249), 3) &amp; PROPER(LEFT(TRIM(I249), 2))</f>
        <v>Moh009De</v>
      </c>
      <c r="AD249" s="154">
        <f t="shared" ca="1" si="10"/>
        <v>50</v>
      </c>
      <c r="AE249" s="154">
        <f>IFERROR(IF(OR(E249="", D249="", LOWER(TRIM(E249))="pending", LOWER(TRIM(D249))="pending"), "Pending", E249 - D249), "Pending")</f>
        <v>11</v>
      </c>
      <c r="AF249" s="138" t="str">
        <f>IFERROR(IF(OR(E249="", D249="","Pending","Pending"), "Pending", IF((E249 - D249) &lt;= 5, "On Time", "Delayed")), "Pending")</f>
        <v>Delayed</v>
      </c>
      <c r="AG249" s="24" t="str">
        <f t="shared" si="11"/>
        <v>Completed</v>
      </c>
    </row>
    <row r="250" spans="1:33">
      <c r="A250" s="24" t="s">
        <v>1197</v>
      </c>
      <c r="B250" s="24" t="s">
        <v>71</v>
      </c>
      <c r="C250" s="24" t="s">
        <v>24</v>
      </c>
      <c r="D250" s="30">
        <v>46019</v>
      </c>
      <c r="E250" s="30" t="s">
        <v>1199</v>
      </c>
      <c r="F250" s="24" t="str">
        <f>VLOOKUP(B250,Custumer_Master!A:D,2,FALSE)</f>
        <v>Mohit Verma</v>
      </c>
      <c r="G250" s="24" t="str">
        <f>VLOOKUP($B250,Custumer_Master!$A:$J,6,FALSE)</f>
        <v>Male</v>
      </c>
      <c r="H250" s="30" t="str">
        <f>VLOOKUP($B250,Custumer_Master!$A:$J,7,FALSE)</f>
        <v>13/04/1976</v>
      </c>
      <c r="I250" s="24" t="str">
        <f>VLOOKUP($B250,Custumer_Master!$A:$J,9,FALSE)</f>
        <v>Delhi</v>
      </c>
      <c r="J250" s="24" t="str">
        <f>VLOOKUP($B250,Custumer_Master!$A:$J,10,FALSE)</f>
        <v>North</v>
      </c>
      <c r="K250" s="24" t="str">
        <f>VLOOKUP(B250,Custumer_Master!A:D,4,FALSE)</f>
        <v>KA</v>
      </c>
      <c r="L250" s="24" t="str">
        <f>PROPER(TRIM(VLOOKUP('Final Data'!C250,Product_Master!A:F,3,FALSE)))</f>
        <v>Home Appliances</v>
      </c>
      <c r="M250" s="24" t="s">
        <v>33</v>
      </c>
      <c r="N250" s="34">
        <v>9</v>
      </c>
      <c r="O250" s="192">
        <f>VLOOKUP(C250,Product_Master!A:F,5,FALSE)</f>
        <v>1650</v>
      </c>
      <c r="P250" s="33">
        <v>0.1</v>
      </c>
      <c r="Q250" s="34">
        <f t="shared" si="9"/>
        <v>13365</v>
      </c>
      <c r="R250" s="34">
        <v>2</v>
      </c>
      <c r="S250" s="24" t="s">
        <v>1201</v>
      </c>
      <c r="T250" s="24" t="s">
        <v>61</v>
      </c>
      <c r="U250" s="24" t="s">
        <v>80</v>
      </c>
      <c r="V250" s="34">
        <v>9921470418</v>
      </c>
      <c r="W250" s="24" t="str">
        <f>VLOOKUP(C250,Product_Master!A:F,4,FALSE)</f>
        <v>Global Trade</v>
      </c>
      <c r="X250" s="34">
        <f>VLOOKUP(C250,Product_Master!A:F,6,FALSE)</f>
        <v>24</v>
      </c>
      <c r="Y250" s="24" t="str">
        <f>VLOOKUP(B250,Custumer_Master!A:D,3,FALSE)</f>
        <v>Platinum</v>
      </c>
      <c r="Z250" s="30">
        <f>EDATE(E250,X250)</f>
        <v>46757</v>
      </c>
      <c r="AA250" s="29" t="str">
        <f>VLOOKUP(B250,Custumer_Master!A:K,11,)</f>
        <v>April</v>
      </c>
      <c r="AB250" s="24" t="s">
        <v>2160</v>
      </c>
      <c r="AC250" s="138" t="str">
        <f>PROPER(LEFT(TRIM(F250), 3)) &amp; RIGHT(TRIM(B250), 3) &amp; PROPER(LEFT(TRIM(I250), 2))</f>
        <v>Moh009De</v>
      </c>
      <c r="AD250" s="154">
        <f t="shared" ca="1" si="10"/>
        <v>50</v>
      </c>
      <c r="AE250" s="154">
        <f>IFERROR(IF(OR(E250="", D250="", LOWER(TRIM(E250))="pending", LOWER(TRIM(D250))="pending"), "Pending", E250 - D250), "Pending")</f>
        <v>8</v>
      </c>
      <c r="AF250" s="138" t="str">
        <f>IFERROR(IF(OR(E250="", D250="","Pending","Pending"), "Pending", IF((E250 - D250) &lt;= 5, "On Time", "Delayed")), "Pending")</f>
        <v>Delayed</v>
      </c>
      <c r="AG250" s="24" t="str">
        <f t="shared" si="11"/>
        <v>Completed</v>
      </c>
    </row>
    <row r="251" spans="1:33">
      <c r="A251" s="24" t="s">
        <v>1203</v>
      </c>
      <c r="B251" s="24" t="s">
        <v>327</v>
      </c>
      <c r="C251" s="24" t="s">
        <v>169</v>
      </c>
      <c r="D251" s="30">
        <v>45792</v>
      </c>
      <c r="E251" s="30" t="s">
        <v>1204</v>
      </c>
      <c r="F251" s="24" t="str">
        <f>VLOOKUP(B251,Custumer_Master!A:D,2,FALSE)</f>
        <v>Amit Sharma</v>
      </c>
      <c r="G251" s="24" t="str">
        <f>VLOOKUP($B251,Custumer_Master!$A:$J,6,FALSE)</f>
        <v>Male</v>
      </c>
      <c r="H251" s="30" t="str">
        <f>VLOOKUP($B251,Custumer_Master!$A:$J,7,FALSE)</f>
        <v>09/08/1991</v>
      </c>
      <c r="I251" s="24" t="str">
        <f>VLOOKUP($B251,Custumer_Master!$A:$J,9,FALSE)</f>
        <v>Pune</v>
      </c>
      <c r="J251" s="24" t="str">
        <f>VLOOKUP($B251,Custumer_Master!$A:$J,10,FALSE)</f>
        <v>West</v>
      </c>
      <c r="K251" s="24" t="str">
        <f>VLOOKUP(B251,Custumer_Master!A:D,4,FALSE)</f>
        <v>RJ</v>
      </c>
      <c r="L251" s="24" t="str">
        <f>PROPER(TRIM(VLOOKUP('Final Data'!C251,Product_Master!A:F,3,FALSE)))</f>
        <v>Home Appliances</v>
      </c>
      <c r="M251" s="24" t="s">
        <v>174</v>
      </c>
      <c r="N251" s="34">
        <v>6</v>
      </c>
      <c r="O251" s="192">
        <f>VLOOKUP(C251,Product_Master!A:F,5,FALSE)</f>
        <v>6375</v>
      </c>
      <c r="P251" s="33">
        <v>0.15</v>
      </c>
      <c r="Q251" s="34">
        <f t="shared" si="9"/>
        <v>32512.5</v>
      </c>
      <c r="R251" s="34">
        <v>2</v>
      </c>
      <c r="S251" s="24" t="s">
        <v>34</v>
      </c>
      <c r="T251" s="24" t="s">
        <v>151</v>
      </c>
      <c r="U251" s="24" t="s">
        <v>332</v>
      </c>
      <c r="V251" s="34">
        <v>9686979026</v>
      </c>
      <c r="W251" s="24" t="str">
        <f>VLOOKUP(C251,Product_Master!A:F,4,FALSE)</f>
        <v>TechHub</v>
      </c>
      <c r="X251" s="34">
        <f>VLOOKUP(C251,Product_Master!A:F,6,FALSE)</f>
        <v>24</v>
      </c>
      <c r="Y251" s="24" t="str">
        <f>VLOOKUP(B251,Custumer_Master!A:D,3,FALSE)</f>
        <v>Silver</v>
      </c>
      <c r="Z251" s="30">
        <f>EDATE(E251,X251)</f>
        <v>46524</v>
      </c>
      <c r="AA251" s="29" t="str">
        <f>VLOOKUP(B251,Custumer_Master!A:K,11,)</f>
        <v>August</v>
      </c>
      <c r="AB251" s="24" t="s">
        <v>2160</v>
      </c>
      <c r="AC251" s="138" t="str">
        <f>PROPER(LEFT(TRIM(F251), 3)) &amp; RIGHT(TRIM(B251), 3) &amp; PROPER(LEFT(TRIM(I251), 2))</f>
        <v>Ami001Pu</v>
      </c>
      <c r="AD251" s="154">
        <f t="shared" ca="1" si="10"/>
        <v>34</v>
      </c>
      <c r="AE251" s="154">
        <f>IFERROR(IF(OR(E251="", D251="", LOWER(TRIM(E251))="pending", LOWER(TRIM(D251))="pending"), "Pending", E251 - D251), "Pending")</f>
        <v>2</v>
      </c>
      <c r="AF251" s="138" t="str">
        <f>IFERROR(IF(OR(E251="", D251="","Pending","Pending"), "Pending", IF((E251 - D251) &lt;= 5, "On Time", "Delayed")), "Pending")</f>
        <v>On Time</v>
      </c>
      <c r="AG251" s="24" t="str">
        <f t="shared" si="11"/>
        <v>Completed</v>
      </c>
    </row>
    <row r="252" spans="1:33">
      <c r="A252" s="24" t="s">
        <v>1207</v>
      </c>
      <c r="B252" s="24" t="s">
        <v>221</v>
      </c>
      <c r="C252" s="24" t="s">
        <v>24</v>
      </c>
      <c r="D252" s="30">
        <v>46070</v>
      </c>
      <c r="E252" s="30" t="s">
        <v>94</v>
      </c>
      <c r="F252" s="24" t="str">
        <f>VLOOKUP(B252,Custumer_Master!A:D,2,FALSE)</f>
        <v>Vikas Mehta</v>
      </c>
      <c r="G252" s="24" t="str">
        <f>VLOOKUP($B252,Custumer_Master!$A:$J,6,FALSE)</f>
        <v>Male</v>
      </c>
      <c r="H252" s="30" t="str">
        <f>VLOOKUP($B252,Custumer_Master!$A:$J,7,FALSE)</f>
        <v>03/08/1991</v>
      </c>
      <c r="I252" s="24" t="str">
        <f>VLOOKUP($B252,Custumer_Master!$A:$J,9,FALSE)</f>
        <v>Mumbai</v>
      </c>
      <c r="J252" s="24" t="str">
        <f>VLOOKUP($B252,Custumer_Master!$A:$J,10,FALSE)</f>
        <v>West</v>
      </c>
      <c r="K252" s="24" t="str">
        <f>VLOOKUP(B252,Custumer_Master!A:D,4,FALSE)</f>
        <v>DL</v>
      </c>
      <c r="L252" s="24" t="str">
        <f>PROPER(TRIM(VLOOKUP('Final Data'!C252,Product_Master!A:F,3,FALSE)))</f>
        <v>Home Appliances</v>
      </c>
      <c r="M252" s="24" t="s">
        <v>33</v>
      </c>
      <c r="N252" s="34">
        <v>9</v>
      </c>
      <c r="O252" s="192">
        <f>VLOOKUP(C252,Product_Master!A:F,5,FALSE)</f>
        <v>1650</v>
      </c>
      <c r="P252" s="33">
        <v>0.1</v>
      </c>
      <c r="Q252" s="34">
        <f t="shared" si="9"/>
        <v>13365</v>
      </c>
      <c r="R252" s="34">
        <v>3</v>
      </c>
      <c r="S252" s="24" t="s">
        <v>79</v>
      </c>
      <c r="T252" s="24" t="s">
        <v>35</v>
      </c>
      <c r="U252" s="24" t="s">
        <v>228</v>
      </c>
      <c r="V252" s="34">
        <v>9569007422</v>
      </c>
      <c r="W252" s="24" t="str">
        <f>VLOOKUP(C252,Product_Master!A:F,4,FALSE)</f>
        <v>Global Trade</v>
      </c>
      <c r="X252" s="34">
        <f>VLOOKUP(C252,Product_Master!A:F,6,FALSE)</f>
        <v>24</v>
      </c>
      <c r="Y252" s="24" t="str">
        <f>VLOOKUP(B252,Custumer_Master!A:D,3,FALSE)</f>
        <v>Gold</v>
      </c>
      <c r="Z252" s="30">
        <f>EDATE(E252,X252)</f>
        <v>46808</v>
      </c>
      <c r="AA252" s="29" t="str">
        <f>VLOOKUP(B252,Custumer_Master!A:K,11,)</f>
        <v>August</v>
      </c>
      <c r="AB252" s="24" t="s">
        <v>2108</v>
      </c>
      <c r="AC252" s="138" t="str">
        <f>PROPER(LEFT(TRIM(F252), 3)) &amp; RIGHT(TRIM(B252), 3) &amp; PROPER(LEFT(TRIM(I252), 2))</f>
        <v>Vik005Mu</v>
      </c>
      <c r="AD252" s="154">
        <f t="shared" ca="1" si="10"/>
        <v>34</v>
      </c>
      <c r="AE252" s="154">
        <f>IFERROR(IF(OR(E252="", D252="", LOWER(TRIM(E252))="pending", LOWER(TRIM(D252))="pending"), "Pending", E252 - D252), "Pending")</f>
        <v>8</v>
      </c>
      <c r="AF252" s="138" t="str">
        <f>IFERROR(IF(OR(E252="", D252="","Pending","Pending"), "Pending", IF((E252 - D252) &lt;= 5, "On Time", "Delayed")), "Pending")</f>
        <v>Delayed</v>
      </c>
      <c r="AG252" s="24" t="str">
        <f t="shared" si="11"/>
        <v>Completed</v>
      </c>
    </row>
    <row r="253" spans="1:33">
      <c r="A253" s="24" t="s">
        <v>1210</v>
      </c>
      <c r="B253" s="24" t="s">
        <v>23</v>
      </c>
      <c r="C253" s="24" t="s">
        <v>169</v>
      </c>
      <c r="D253" s="30">
        <v>45739</v>
      </c>
      <c r="E253" s="30" t="s">
        <v>876</v>
      </c>
      <c r="F253" s="24" t="str">
        <f>VLOOKUP(B253,Custumer_Master!A:D,2,FALSE)</f>
        <v>Kavya Nair</v>
      </c>
      <c r="G253" s="24" t="str">
        <f>VLOOKUP($B253,Custumer_Master!$A:$J,6,FALSE)</f>
        <v>Female</v>
      </c>
      <c r="H253" s="30" t="str">
        <f>VLOOKUP($B253,Custumer_Master!$A:$J,7,FALSE)</f>
        <v>01/08/1976</v>
      </c>
      <c r="I253" s="24" t="str">
        <f>VLOOKUP($B253,Custumer_Master!$A:$J,9,FALSE)</f>
        <v>Hyderabad</v>
      </c>
      <c r="J253" s="24" t="str">
        <f>VLOOKUP($B253,Custumer_Master!$A:$J,10,FALSE)</f>
        <v>South</v>
      </c>
      <c r="K253" s="24" t="str">
        <f>VLOOKUP(B253,Custumer_Master!A:D,4,FALSE)</f>
        <v>WB</v>
      </c>
      <c r="L253" s="24" t="str">
        <f>PROPER(TRIM(VLOOKUP('Final Data'!C253,Product_Master!A:F,3,FALSE)))</f>
        <v>Home Appliances</v>
      </c>
      <c r="M253" s="24" t="s">
        <v>174</v>
      </c>
      <c r="N253" s="34">
        <v>16</v>
      </c>
      <c r="O253" s="192">
        <f>VLOOKUP(C253,Product_Master!A:F,5,FALSE)</f>
        <v>6375</v>
      </c>
      <c r="P253" s="33">
        <v>0</v>
      </c>
      <c r="Q253" s="34">
        <f t="shared" si="9"/>
        <v>102000</v>
      </c>
      <c r="R253" s="34">
        <v>5</v>
      </c>
      <c r="S253" s="24" t="s">
        <v>2149</v>
      </c>
      <c r="T253" s="24" t="s">
        <v>115</v>
      </c>
      <c r="U253" s="24" t="s">
        <v>50</v>
      </c>
      <c r="V253" s="34">
        <v>9180820441</v>
      </c>
      <c r="W253" s="24" t="str">
        <f>VLOOKUP(C253,Product_Master!A:F,4,FALSE)</f>
        <v>TechHub</v>
      </c>
      <c r="X253" s="34">
        <f>VLOOKUP(C253,Product_Master!A:F,6,FALSE)</f>
        <v>24</v>
      </c>
      <c r="Y253" s="24" t="str">
        <f>VLOOKUP(B253,Custumer_Master!A:D,3,FALSE)</f>
        <v>Silver</v>
      </c>
      <c r="Z253" s="30">
        <f>EDATE(E253,X253)</f>
        <v>46472</v>
      </c>
      <c r="AA253" s="29" t="str">
        <f>VLOOKUP(B253,Custumer_Master!A:K,11,)</f>
        <v>August</v>
      </c>
      <c r="AB253" s="24" t="s">
        <v>2110</v>
      </c>
      <c r="AC253" s="138" t="str">
        <f>PROPER(LEFT(TRIM(F253), 3)) &amp; RIGHT(TRIM(B253), 3) &amp; PROPER(LEFT(TRIM(I253), 2))</f>
        <v>Kav008Hy</v>
      </c>
      <c r="AD253" s="154">
        <f t="shared" ca="1" si="10"/>
        <v>49</v>
      </c>
      <c r="AE253" s="154">
        <f>IFERROR(IF(OR(E253="", D253="", LOWER(TRIM(E253))="pending", LOWER(TRIM(D253))="pending"), "Pending", E253 - D253), "Pending")</f>
        <v>3</v>
      </c>
      <c r="AF253" s="138" t="str">
        <f>IFERROR(IF(OR(E253="", D253="","Pending","Pending"), "Pending", IF((E253 - D253) &lt;= 5, "On Time", "Delayed")), "Pending")</f>
        <v>On Time</v>
      </c>
      <c r="AG253" s="24" t="str">
        <f t="shared" si="11"/>
        <v>Completed</v>
      </c>
    </row>
    <row r="254" spans="1:33">
      <c r="A254" s="24" t="s">
        <v>1213</v>
      </c>
      <c r="B254" s="24" t="s">
        <v>327</v>
      </c>
      <c r="C254" s="24" t="s">
        <v>72</v>
      </c>
      <c r="D254" s="30">
        <v>46006</v>
      </c>
      <c r="E254" s="30" t="s">
        <v>692</v>
      </c>
      <c r="F254" s="24" t="str">
        <f>VLOOKUP(B254,Custumer_Master!A:D,2,FALSE)</f>
        <v>Amit Sharma</v>
      </c>
      <c r="G254" s="24" t="str">
        <f>VLOOKUP($B254,Custumer_Master!$A:$J,6,FALSE)</f>
        <v>Male</v>
      </c>
      <c r="H254" s="30" t="str">
        <f>VLOOKUP($B254,Custumer_Master!$A:$J,7,FALSE)</f>
        <v>09/08/1991</v>
      </c>
      <c r="I254" s="24" t="str">
        <f>VLOOKUP($B254,Custumer_Master!$A:$J,9,FALSE)</f>
        <v>Pune</v>
      </c>
      <c r="J254" s="24" t="str">
        <f>VLOOKUP($B254,Custumer_Master!$A:$J,10,FALSE)</f>
        <v>West</v>
      </c>
      <c r="K254" s="24" t="str">
        <f>VLOOKUP(B254,Custumer_Master!A:D,4,FALSE)</f>
        <v>RJ</v>
      </c>
      <c r="L254" s="24" t="str">
        <f>PROPER(TRIM(VLOOKUP('Final Data'!C254,Product_Master!A:F,3,FALSE)))</f>
        <v>Electronics</v>
      </c>
      <c r="M254" s="24" t="s">
        <v>78</v>
      </c>
      <c r="N254" s="34">
        <v>10</v>
      </c>
      <c r="O254" s="192">
        <f>VLOOKUP(C254,Product_Master!A:F,5,FALSE)</f>
        <v>900</v>
      </c>
      <c r="P254" s="33">
        <v>0.15</v>
      </c>
      <c r="Q254" s="34">
        <f t="shared" si="9"/>
        <v>7650</v>
      </c>
      <c r="R254" s="34">
        <v>5</v>
      </c>
      <c r="S254" s="24" t="s">
        <v>34</v>
      </c>
      <c r="T254" s="24" t="s">
        <v>49</v>
      </c>
      <c r="U254" s="24" t="s">
        <v>332</v>
      </c>
      <c r="V254" s="34">
        <v>9769075826</v>
      </c>
      <c r="W254" s="24" t="str">
        <f>VLOOKUP(C254,Product_Master!A:F,4,FALSE)</f>
        <v>TechHub</v>
      </c>
      <c r="X254" s="34">
        <f>VLOOKUP(C254,Product_Master!A:F,6,FALSE)</f>
        <v>6</v>
      </c>
      <c r="Y254" s="24" t="str">
        <f>VLOOKUP(B254,Custumer_Master!A:D,3,FALSE)</f>
        <v>Silver</v>
      </c>
      <c r="Z254" s="30">
        <f>EDATE(E254,X254)</f>
        <v>46189</v>
      </c>
      <c r="AA254" s="29" t="str">
        <f>VLOOKUP(B254,Custumer_Master!A:K,11,)</f>
        <v>August</v>
      </c>
      <c r="AB254" s="24" t="s">
        <v>2108</v>
      </c>
      <c r="AC254" s="138" t="str">
        <f>PROPER(LEFT(TRIM(F254), 3)) &amp; RIGHT(TRIM(B254), 3) &amp; PROPER(LEFT(TRIM(I254), 2))</f>
        <v>Ami001Pu</v>
      </c>
      <c r="AD254" s="154">
        <f t="shared" ca="1" si="10"/>
        <v>34</v>
      </c>
      <c r="AE254" s="154">
        <f>IFERROR(IF(OR(E254="", D254="", LOWER(TRIM(E254))="pending", LOWER(TRIM(D254))="pending"), "Pending", E254 - D254), "Pending")</f>
        <v>1</v>
      </c>
      <c r="AF254" s="138" t="str">
        <f>IFERROR(IF(OR(E254="", D254="","Pending","Pending"), "Pending", IF((E254 - D254) &lt;= 5, "On Time", "Delayed")), "Pending")</f>
        <v>On Time</v>
      </c>
      <c r="AG254" s="24" t="str">
        <f t="shared" si="11"/>
        <v>Completed</v>
      </c>
    </row>
    <row r="255" spans="1:33">
      <c r="A255" s="24" t="s">
        <v>1217</v>
      </c>
      <c r="B255" s="24" t="s">
        <v>127</v>
      </c>
      <c r="C255" s="24" t="s">
        <v>40</v>
      </c>
      <c r="D255" s="30">
        <v>45721</v>
      </c>
      <c r="E255" s="30" t="s">
        <v>136</v>
      </c>
      <c r="F255" s="24" t="str">
        <f>VLOOKUP(B255,Custumer_Master!A:D,2,FALSE)</f>
        <v>Rohit Singh</v>
      </c>
      <c r="G255" s="24" t="str">
        <f>VLOOKUP($B255,Custumer_Master!$A:$J,6,FALSE)</f>
        <v>Male</v>
      </c>
      <c r="H255" s="30" t="str">
        <f>VLOOKUP($B255,Custumer_Master!$A:$J,7,FALSE)</f>
        <v>10/05/1982</v>
      </c>
      <c r="I255" s="24" t="str">
        <f>VLOOKUP($B255,Custumer_Master!$A:$J,9,FALSE)</f>
        <v>Delhi</v>
      </c>
      <c r="J255" s="24" t="str">
        <f>VLOOKUP($B255,Custumer_Master!$A:$J,10,FALSE)</f>
        <v>North</v>
      </c>
      <c r="K255" s="24" t="str">
        <f>VLOOKUP(B255,Custumer_Master!A:D,4,FALSE)</f>
        <v>DL</v>
      </c>
      <c r="L255" s="24" t="str">
        <f>PROPER(TRIM(VLOOKUP('Final Data'!C255,Product_Master!A:F,3,FALSE)))</f>
        <v>Electronics</v>
      </c>
      <c r="M255" s="24" t="s">
        <v>47</v>
      </c>
      <c r="N255" s="34">
        <v>7</v>
      </c>
      <c r="O255" s="192">
        <f>VLOOKUP(C255,Product_Master!A:F,5,FALSE)</f>
        <v>9000</v>
      </c>
      <c r="P255" s="33">
        <v>0</v>
      </c>
      <c r="Q255" s="34">
        <f t="shared" si="9"/>
        <v>63000</v>
      </c>
      <c r="R255" s="34">
        <v>1</v>
      </c>
      <c r="S255" s="24" t="s">
        <v>2149</v>
      </c>
      <c r="T255" s="24" t="s">
        <v>151</v>
      </c>
      <c r="U255" s="24" t="s">
        <v>132</v>
      </c>
      <c r="V255" s="34">
        <v>9467916296</v>
      </c>
      <c r="W255" s="24" t="str">
        <f>VLOOKUP(C255,Product_Master!A:F,4,FALSE)</f>
        <v>Global Trade</v>
      </c>
      <c r="X255" s="34">
        <f>VLOOKUP(C255,Product_Master!A:F,6,FALSE)</f>
        <v>24</v>
      </c>
      <c r="Y255" s="24" t="str">
        <f>VLOOKUP(B255,Custumer_Master!A:D,3,FALSE)</f>
        <v>Gold</v>
      </c>
      <c r="Z255" s="30">
        <f>EDATE(E255,X255)</f>
        <v>46461</v>
      </c>
      <c r="AA255" s="29" t="str">
        <f>VLOOKUP(B255,Custumer_Master!A:K,11,)</f>
        <v>May</v>
      </c>
      <c r="AB255" s="24" t="s">
        <v>2160</v>
      </c>
      <c r="AC255" s="138" t="str">
        <f>PROPER(LEFT(TRIM(F255), 3)) &amp; RIGHT(TRIM(B255), 3) &amp; PROPER(LEFT(TRIM(I255), 2))</f>
        <v>Roh003De</v>
      </c>
      <c r="AD255" s="154">
        <f t="shared" ca="1" si="10"/>
        <v>44</v>
      </c>
      <c r="AE255" s="154">
        <f>IFERROR(IF(OR(E255="", D255="", LOWER(TRIM(E255))="pending", LOWER(TRIM(D255))="pending"), "Pending", E255 - D255), "Pending")</f>
        <v>10</v>
      </c>
      <c r="AF255" s="138" t="str">
        <f>IFERROR(IF(OR(E255="", D255="","Pending","Pending"), "Pending", IF((E255 - D255) &lt;= 5, "On Time", "Delayed")), "Pending")</f>
        <v>Delayed</v>
      </c>
      <c r="AG255" s="24" t="str">
        <f t="shared" si="11"/>
        <v>Completed</v>
      </c>
    </row>
    <row r="256" spans="1:33">
      <c r="A256" s="24" t="s">
        <v>1220</v>
      </c>
      <c r="B256" s="24" t="s">
        <v>221</v>
      </c>
      <c r="C256" s="24" t="s">
        <v>40</v>
      </c>
      <c r="D256" s="30">
        <v>45919</v>
      </c>
      <c r="E256" s="30" t="s">
        <v>1221</v>
      </c>
      <c r="F256" s="24" t="str">
        <f>VLOOKUP(B256,Custumer_Master!A:D,2,FALSE)</f>
        <v>Vikas Mehta</v>
      </c>
      <c r="G256" s="24" t="str">
        <f>VLOOKUP($B256,Custumer_Master!$A:$J,6,FALSE)</f>
        <v>Male</v>
      </c>
      <c r="H256" s="30" t="str">
        <f>VLOOKUP($B256,Custumer_Master!$A:$J,7,FALSE)</f>
        <v>03/08/1991</v>
      </c>
      <c r="I256" s="24" t="str">
        <f>VLOOKUP($B256,Custumer_Master!$A:$J,9,FALSE)</f>
        <v>Mumbai</v>
      </c>
      <c r="J256" s="24" t="str">
        <f>VLOOKUP($B256,Custumer_Master!$A:$J,10,FALSE)</f>
        <v>West</v>
      </c>
      <c r="K256" s="24" t="str">
        <f>VLOOKUP(B256,Custumer_Master!A:D,4,FALSE)</f>
        <v>DL</v>
      </c>
      <c r="L256" s="24" t="str">
        <f>PROPER(TRIM(VLOOKUP('Final Data'!C256,Product_Master!A:F,3,FALSE)))</f>
        <v>Electronics</v>
      </c>
      <c r="M256" s="24" t="s">
        <v>47</v>
      </c>
      <c r="N256" s="34">
        <v>3</v>
      </c>
      <c r="O256" s="192">
        <f>VLOOKUP(C256,Product_Master!A:F,5,FALSE)</f>
        <v>9000</v>
      </c>
      <c r="P256" s="33">
        <v>0.1</v>
      </c>
      <c r="Q256" s="34">
        <f t="shared" si="9"/>
        <v>24300</v>
      </c>
      <c r="R256" s="34">
        <v>4</v>
      </c>
      <c r="S256" s="24" t="s">
        <v>79</v>
      </c>
      <c r="T256" s="24" t="s">
        <v>151</v>
      </c>
      <c r="U256" s="24" t="s">
        <v>228</v>
      </c>
      <c r="V256" s="34">
        <v>9477052923</v>
      </c>
      <c r="W256" s="24" t="str">
        <f>VLOOKUP(C256,Product_Master!A:F,4,FALSE)</f>
        <v>Global Trade</v>
      </c>
      <c r="X256" s="34">
        <f>VLOOKUP(C256,Product_Master!A:F,6,FALSE)</f>
        <v>24</v>
      </c>
      <c r="Y256" s="24" t="str">
        <f>VLOOKUP(B256,Custumer_Master!A:D,3,FALSE)</f>
        <v>Gold</v>
      </c>
      <c r="Z256" s="30">
        <f>EDATE(E256,X256)</f>
        <v>46661</v>
      </c>
      <c r="AA256" s="29" t="str">
        <f>VLOOKUP(B256,Custumer_Master!A:K,11,)</f>
        <v>August</v>
      </c>
      <c r="AB256" s="24" t="s">
        <v>2108</v>
      </c>
      <c r="AC256" s="138" t="str">
        <f>PROPER(LEFT(TRIM(F256), 3)) &amp; RIGHT(TRIM(B256), 3) &amp; PROPER(LEFT(TRIM(I256), 2))</f>
        <v>Vik005Mu</v>
      </c>
      <c r="AD256" s="154">
        <f t="shared" ca="1" si="10"/>
        <v>34</v>
      </c>
      <c r="AE256" s="154">
        <f>IFERROR(IF(OR(E256="", D256="", LOWER(TRIM(E256))="pending", LOWER(TRIM(D256))="pending"), "Pending", E256 - D256), "Pending")</f>
        <v>12</v>
      </c>
      <c r="AF256" s="138" t="str">
        <f>IFERROR(IF(OR(E256="", D256="","Pending","Pending"), "Pending", IF((E256 - D256) &lt;= 5, "On Time", "Delayed")), "Pending")</f>
        <v>Delayed</v>
      </c>
      <c r="AG256" s="24" t="str">
        <f t="shared" si="11"/>
        <v>Completed</v>
      </c>
    </row>
    <row r="257" spans="1:33">
      <c r="A257" s="24" t="s">
        <v>1224</v>
      </c>
      <c r="B257" s="24" t="s">
        <v>221</v>
      </c>
      <c r="C257" s="24" t="s">
        <v>40</v>
      </c>
      <c r="D257" s="30">
        <v>45964</v>
      </c>
      <c r="E257" s="30" t="s">
        <v>927</v>
      </c>
      <c r="F257" s="24" t="str">
        <f>VLOOKUP(B257,Custumer_Master!A:D,2,FALSE)</f>
        <v>Vikas Mehta</v>
      </c>
      <c r="G257" s="24" t="str">
        <f>VLOOKUP($B257,Custumer_Master!$A:$J,6,FALSE)</f>
        <v>Male</v>
      </c>
      <c r="H257" s="30" t="str">
        <f>VLOOKUP($B257,Custumer_Master!$A:$J,7,FALSE)</f>
        <v>03/08/1991</v>
      </c>
      <c r="I257" s="24" t="str">
        <f>VLOOKUP($B257,Custumer_Master!$A:$J,9,FALSE)</f>
        <v>Mumbai</v>
      </c>
      <c r="J257" s="24" t="str">
        <f>VLOOKUP($B257,Custumer_Master!$A:$J,10,FALSE)</f>
        <v>West</v>
      </c>
      <c r="K257" s="24" t="str">
        <f>VLOOKUP(B257,Custumer_Master!A:D,4,FALSE)</f>
        <v>DL</v>
      </c>
      <c r="L257" s="24" t="str">
        <f>PROPER(TRIM(VLOOKUP('Final Data'!C257,Product_Master!A:F,3,FALSE)))</f>
        <v>Electronics</v>
      </c>
      <c r="M257" s="24" t="s">
        <v>47</v>
      </c>
      <c r="N257" s="34">
        <v>4</v>
      </c>
      <c r="O257" s="192">
        <f>VLOOKUP(C257,Product_Master!A:F,5,FALSE)</f>
        <v>9000</v>
      </c>
      <c r="P257" s="33">
        <v>0.15</v>
      </c>
      <c r="Q257" s="34">
        <f t="shared" si="9"/>
        <v>30600</v>
      </c>
      <c r="R257" s="34">
        <v>3</v>
      </c>
      <c r="S257" s="24" t="s">
        <v>79</v>
      </c>
      <c r="T257" s="24" t="s">
        <v>35</v>
      </c>
      <c r="U257" s="24" t="s">
        <v>228</v>
      </c>
      <c r="V257" s="34">
        <v>9184311420</v>
      </c>
      <c r="W257" s="24" t="str">
        <f>VLOOKUP(C257,Product_Master!A:F,4,FALSE)</f>
        <v>Global Trade</v>
      </c>
      <c r="X257" s="34">
        <f>VLOOKUP(C257,Product_Master!A:F,6,FALSE)</f>
        <v>24</v>
      </c>
      <c r="Y257" s="24" t="str">
        <f>VLOOKUP(B257,Custumer_Master!A:D,3,FALSE)</f>
        <v>Gold</v>
      </c>
      <c r="Z257" s="30">
        <f>EDATE(E257,X257)</f>
        <v>46700</v>
      </c>
      <c r="AA257" s="29" t="str">
        <f>VLOOKUP(B257,Custumer_Master!A:K,11,)</f>
        <v>August</v>
      </c>
      <c r="AB257" s="24" t="s">
        <v>2108</v>
      </c>
      <c r="AC257" s="138" t="str">
        <f>PROPER(LEFT(TRIM(F257), 3)) &amp; RIGHT(TRIM(B257), 3) &amp; PROPER(LEFT(TRIM(I257), 2))</f>
        <v>Vik005Mu</v>
      </c>
      <c r="AD257" s="154">
        <f t="shared" ca="1" si="10"/>
        <v>34</v>
      </c>
      <c r="AE257" s="154">
        <f>IFERROR(IF(OR(E257="", D257="", LOWER(TRIM(E257))="pending", LOWER(TRIM(D257))="pending"), "Pending", E257 - D257), "Pending")</f>
        <v>6</v>
      </c>
      <c r="AF257" s="138" t="str">
        <f>IFERROR(IF(OR(E257="", D257="","Pending","Pending"), "Pending", IF((E257 - D257) &lt;= 5, "On Time", "Delayed")), "Pending")</f>
        <v>Delayed</v>
      </c>
      <c r="AG257" s="24" t="str">
        <f t="shared" si="11"/>
        <v>Completed</v>
      </c>
    </row>
    <row r="258" spans="1:33">
      <c r="A258" s="24" t="s">
        <v>1228</v>
      </c>
      <c r="B258" s="24" t="s">
        <v>127</v>
      </c>
      <c r="C258" s="24" t="s">
        <v>40</v>
      </c>
      <c r="D258" s="30">
        <v>45824</v>
      </c>
      <c r="E258" s="30" t="s">
        <v>498</v>
      </c>
      <c r="F258" s="24" t="str">
        <f>VLOOKUP(B258,Custumer_Master!A:D,2,FALSE)</f>
        <v>Rohit Singh</v>
      </c>
      <c r="G258" s="24" t="str">
        <f>VLOOKUP($B258,Custumer_Master!$A:$J,6,FALSE)</f>
        <v>Male</v>
      </c>
      <c r="H258" s="30" t="str">
        <f>VLOOKUP($B258,Custumer_Master!$A:$J,7,FALSE)</f>
        <v>10/05/1982</v>
      </c>
      <c r="I258" s="24" t="str">
        <f>VLOOKUP($B258,Custumer_Master!$A:$J,9,FALSE)</f>
        <v>Delhi</v>
      </c>
      <c r="J258" s="24" t="str">
        <f>VLOOKUP($B258,Custumer_Master!$A:$J,10,FALSE)</f>
        <v>North</v>
      </c>
      <c r="K258" s="24" t="str">
        <f>VLOOKUP(B258,Custumer_Master!A:D,4,FALSE)</f>
        <v>DL</v>
      </c>
      <c r="L258" s="24" t="str">
        <f>PROPER(TRIM(VLOOKUP('Final Data'!C258,Product_Master!A:F,3,FALSE)))</f>
        <v>Electronics</v>
      </c>
      <c r="M258" s="24" t="s">
        <v>47</v>
      </c>
      <c r="N258" s="34">
        <v>13</v>
      </c>
      <c r="O258" s="192">
        <f>VLOOKUP(C258,Product_Master!A:F,5,FALSE)</f>
        <v>9000</v>
      </c>
      <c r="P258" s="33">
        <v>0.1</v>
      </c>
      <c r="Q258" s="34">
        <f t="shared" si="9"/>
        <v>105300</v>
      </c>
      <c r="R258" s="34">
        <v>2</v>
      </c>
      <c r="S258" s="24" t="s">
        <v>34</v>
      </c>
      <c r="T258" s="24" t="s">
        <v>151</v>
      </c>
      <c r="U258" s="24" t="s">
        <v>132</v>
      </c>
      <c r="V258" s="34">
        <v>9630913127</v>
      </c>
      <c r="W258" s="24" t="str">
        <f>VLOOKUP(C258,Product_Master!A:F,4,FALSE)</f>
        <v>Global Trade</v>
      </c>
      <c r="X258" s="34">
        <f>VLOOKUP(C258,Product_Master!A:F,6,FALSE)</f>
        <v>24</v>
      </c>
      <c r="Y258" s="24" t="str">
        <f>VLOOKUP(B258,Custumer_Master!A:D,3,FALSE)</f>
        <v>Gold</v>
      </c>
      <c r="Z258" s="30">
        <f>EDATE(E258,X258)</f>
        <v>46556</v>
      </c>
      <c r="AA258" s="29" t="str">
        <f>VLOOKUP(B258,Custumer_Master!A:K,11,)</f>
        <v>May</v>
      </c>
      <c r="AB258" s="24" t="s">
        <v>2160</v>
      </c>
      <c r="AC258" s="138" t="str">
        <f>PROPER(LEFT(TRIM(F258), 3)) &amp; RIGHT(TRIM(B258), 3) &amp; PROPER(LEFT(TRIM(I258), 2))</f>
        <v>Roh003De</v>
      </c>
      <c r="AD258" s="154">
        <f t="shared" ca="1" si="10"/>
        <v>44</v>
      </c>
      <c r="AE258" s="154">
        <f>IFERROR(IF(OR(E258="", D258="", LOWER(TRIM(E258))="pending", LOWER(TRIM(D258))="pending"), "Pending", E258 - D258), "Pending")</f>
        <v>2</v>
      </c>
      <c r="AF258" s="138" t="str">
        <f>IFERROR(IF(OR(E258="", D258="","Pending","Pending"), "Pending", IF((E258 - D258) &lt;= 5, "On Time", "Delayed")), "Pending")</f>
        <v>On Time</v>
      </c>
      <c r="AG258" s="24" t="str">
        <f t="shared" si="11"/>
        <v>Completed</v>
      </c>
    </row>
    <row r="259" spans="1:33">
      <c r="A259" s="24" t="s">
        <v>1231</v>
      </c>
      <c r="B259" s="24" t="s">
        <v>23</v>
      </c>
      <c r="C259" s="24" t="s">
        <v>92</v>
      </c>
      <c r="D259" s="30">
        <v>45812</v>
      </c>
      <c r="E259" s="30" t="s">
        <v>679</v>
      </c>
      <c r="F259" s="24" t="str">
        <f>VLOOKUP(B259,Custumer_Master!A:D,2,FALSE)</f>
        <v>Kavya Nair</v>
      </c>
      <c r="G259" s="24" t="str">
        <f>VLOOKUP($B259,Custumer_Master!$A:$J,6,FALSE)</f>
        <v>Female</v>
      </c>
      <c r="H259" s="30" t="str">
        <f>VLOOKUP($B259,Custumer_Master!$A:$J,7,FALSE)</f>
        <v>01/08/1976</v>
      </c>
      <c r="I259" s="24" t="str">
        <f>VLOOKUP($B259,Custumer_Master!$A:$J,9,FALSE)</f>
        <v>Hyderabad</v>
      </c>
      <c r="J259" s="24" t="str">
        <f>VLOOKUP($B259,Custumer_Master!$A:$J,10,FALSE)</f>
        <v>South</v>
      </c>
      <c r="K259" s="24" t="str">
        <f>VLOOKUP(B259,Custumer_Master!A:D,4,FALSE)</f>
        <v>WB</v>
      </c>
      <c r="L259" s="24" t="str">
        <f>PROPER(TRIM(VLOOKUP('Final Data'!C259,Product_Master!A:F,3,FALSE)))</f>
        <v>Home Appliances</v>
      </c>
      <c r="M259" s="24" t="s">
        <v>97</v>
      </c>
      <c r="N259" s="34">
        <v>19</v>
      </c>
      <c r="O259" s="192">
        <f>VLOOKUP(C259,Product_Master!A:F,5,FALSE)</f>
        <v>2625</v>
      </c>
      <c r="P259" s="33">
        <v>0.2</v>
      </c>
      <c r="Q259" s="34">
        <f t="shared" ref="Q259:Q322" si="12">(N259*O259)-(N259*O259)*P259</f>
        <v>39900</v>
      </c>
      <c r="R259" s="34">
        <v>1</v>
      </c>
      <c r="S259" s="24" t="s">
        <v>34</v>
      </c>
      <c r="T259" s="24" t="s">
        <v>61</v>
      </c>
      <c r="U259" s="24" t="s">
        <v>50</v>
      </c>
      <c r="V259" s="34">
        <v>9997515828</v>
      </c>
      <c r="W259" s="24" t="str">
        <f>VLOOKUP(C259,Product_Master!A:F,4,FALSE)</f>
        <v>Global Trade</v>
      </c>
      <c r="X259" s="34">
        <f>VLOOKUP(C259,Product_Master!A:F,6,FALSE)</f>
        <v>6</v>
      </c>
      <c r="Y259" s="24" t="str">
        <f>VLOOKUP(B259,Custumer_Master!A:D,3,FALSE)</f>
        <v>Silver</v>
      </c>
      <c r="Z259" s="30">
        <f>EDATE(E259,X259)</f>
        <v>46002</v>
      </c>
      <c r="AA259" s="29" t="str">
        <f>VLOOKUP(B259,Custumer_Master!A:K,11,)</f>
        <v>August</v>
      </c>
      <c r="AB259" s="24" t="s">
        <v>2160</v>
      </c>
      <c r="AC259" s="138" t="str">
        <f>PROPER(LEFT(TRIM(F259), 3)) &amp; RIGHT(TRIM(B259), 3) &amp; PROPER(LEFT(TRIM(I259), 2))</f>
        <v>Kav008Hy</v>
      </c>
      <c r="AD259" s="154">
        <f t="shared" ref="AD259:AD322" ca="1" si="13">DATEDIF(H259, TODAY(), "Y")</f>
        <v>49</v>
      </c>
      <c r="AE259" s="154">
        <f>IFERROR(IF(OR(E259="", D259="", LOWER(TRIM(E259))="pending", LOWER(TRIM(D259))="pending"), "Pending", E259 - D259), "Pending")</f>
        <v>7</v>
      </c>
      <c r="AF259" s="138" t="str">
        <f>IFERROR(IF(OR(E259="", D259="","Pending","Pending"), "Pending", IF((E259 - D259) &lt;= 5, "On Time", "Delayed")), "Pending")</f>
        <v>Delayed</v>
      </c>
      <c r="AG259" s="24" t="str">
        <f t="shared" ref="AG259:AG322" si="14">IF(AF259="Pending","Pending","Completed")</f>
        <v>Completed</v>
      </c>
    </row>
    <row r="260" spans="1:33">
      <c r="A260" s="24" t="s">
        <v>1234</v>
      </c>
      <c r="B260" s="24" t="s">
        <v>23</v>
      </c>
      <c r="C260" s="24" t="s">
        <v>24</v>
      </c>
      <c r="D260" s="30">
        <v>45695</v>
      </c>
      <c r="E260" s="30" t="s">
        <v>436</v>
      </c>
      <c r="F260" s="24" t="str">
        <f>VLOOKUP(B260,Custumer_Master!A:D,2,FALSE)</f>
        <v>Kavya Nair</v>
      </c>
      <c r="G260" s="24" t="str">
        <f>VLOOKUP($B260,Custumer_Master!$A:$J,6,FALSE)</f>
        <v>Female</v>
      </c>
      <c r="H260" s="30" t="str">
        <f>VLOOKUP($B260,Custumer_Master!$A:$J,7,FALSE)</f>
        <v>01/08/1976</v>
      </c>
      <c r="I260" s="24" t="str">
        <f>VLOOKUP($B260,Custumer_Master!$A:$J,9,FALSE)</f>
        <v>Hyderabad</v>
      </c>
      <c r="J260" s="24" t="str">
        <f>VLOOKUP($B260,Custumer_Master!$A:$J,10,FALSE)</f>
        <v>South</v>
      </c>
      <c r="K260" s="24" t="str">
        <f>VLOOKUP(B260,Custumer_Master!A:D,4,FALSE)</f>
        <v>WB</v>
      </c>
      <c r="L260" s="24" t="str">
        <f>PROPER(TRIM(VLOOKUP('Final Data'!C260,Product_Master!A:F,3,FALSE)))</f>
        <v>Home Appliances</v>
      </c>
      <c r="M260" s="24" t="s">
        <v>33</v>
      </c>
      <c r="N260" s="34">
        <v>7</v>
      </c>
      <c r="O260" s="192">
        <f>VLOOKUP(C260,Product_Master!A:F,5,FALSE)</f>
        <v>1650</v>
      </c>
      <c r="P260" s="33">
        <v>0.05</v>
      </c>
      <c r="Q260" s="34">
        <f t="shared" si="12"/>
        <v>10972.5</v>
      </c>
      <c r="R260" s="34">
        <v>3</v>
      </c>
      <c r="S260" s="24" t="s">
        <v>2149</v>
      </c>
      <c r="T260" s="24" t="s">
        <v>61</v>
      </c>
      <c r="U260" s="24" t="s">
        <v>50</v>
      </c>
      <c r="V260" s="34">
        <v>9394291182</v>
      </c>
      <c r="W260" s="24" t="str">
        <f>VLOOKUP(C260,Product_Master!A:F,4,FALSE)</f>
        <v>Global Trade</v>
      </c>
      <c r="X260" s="34">
        <f>VLOOKUP(C260,Product_Master!A:F,6,FALSE)</f>
        <v>24</v>
      </c>
      <c r="Y260" s="24" t="str">
        <f>VLOOKUP(B260,Custumer_Master!A:D,3,FALSE)</f>
        <v>Silver</v>
      </c>
      <c r="Z260" s="30">
        <f>EDATE(E260,X260)</f>
        <v>46430</v>
      </c>
      <c r="AA260" s="29" t="str">
        <f>VLOOKUP(B260,Custumer_Master!A:K,11,)</f>
        <v>August</v>
      </c>
      <c r="AB260" s="24" t="s">
        <v>2108</v>
      </c>
      <c r="AC260" s="138" t="str">
        <f>PROPER(LEFT(TRIM(F260), 3)) &amp; RIGHT(TRIM(B260), 3) &amp; PROPER(LEFT(TRIM(I260), 2))</f>
        <v>Kav008Hy</v>
      </c>
      <c r="AD260" s="154">
        <f t="shared" ca="1" si="13"/>
        <v>49</v>
      </c>
      <c r="AE260" s="154">
        <f>IFERROR(IF(OR(E260="", D260="", LOWER(TRIM(E260))="pending", LOWER(TRIM(D260))="pending"), "Pending", E260 - D260), "Pending")</f>
        <v>5</v>
      </c>
      <c r="AF260" s="138" t="str">
        <f>IFERROR(IF(OR(E260="", D260="","Pending","Pending"), "Pending", IF((E260 - D260) &lt;= 5, "On Time", "Delayed")), "Pending")</f>
        <v>On Time</v>
      </c>
      <c r="AG260" s="24" t="str">
        <f t="shared" si="14"/>
        <v>Completed</v>
      </c>
    </row>
    <row r="261" spans="1:33">
      <c r="A261" s="24" t="s">
        <v>1237</v>
      </c>
      <c r="B261" s="24" t="s">
        <v>83</v>
      </c>
      <c r="C261" s="24" t="s">
        <v>184</v>
      </c>
      <c r="D261" s="30">
        <v>46151</v>
      </c>
      <c r="E261" s="30" t="s">
        <v>426</v>
      </c>
      <c r="F261" s="24" t="str">
        <f>VLOOKUP(B261,Custumer_Master!A:D,2,FALSE)</f>
        <v>Arjun Rao</v>
      </c>
      <c r="G261" s="24" t="str">
        <f>VLOOKUP($B261,Custumer_Master!$A:$J,6,FALSE)</f>
        <v>Male</v>
      </c>
      <c r="H261" s="30" t="str">
        <f>VLOOKUP($B261,Custumer_Master!$A:$J,7,FALSE)</f>
        <v>07/02/1988</v>
      </c>
      <c r="I261" s="24" t="str">
        <f>VLOOKUP($B261,Custumer_Master!$A:$J,9,FALSE)</f>
        <v>Hyderabad</v>
      </c>
      <c r="J261" s="24" t="str">
        <f>VLOOKUP($B261,Custumer_Master!$A:$J,10,FALSE)</f>
        <v>South</v>
      </c>
      <c r="K261" s="24" t="str">
        <f>VLOOKUP(B261,Custumer_Master!A:D,4,FALSE)</f>
        <v>RJ</v>
      </c>
      <c r="L261" s="24" t="str">
        <f>PROPER(TRIM(VLOOKUP('Final Data'!C261,Product_Master!A:F,3,FALSE)))</f>
        <v>Electronics</v>
      </c>
      <c r="M261" s="24" t="s">
        <v>189</v>
      </c>
      <c r="N261" s="34">
        <v>18</v>
      </c>
      <c r="O261" s="192">
        <f>VLOOKUP(C261,Product_Master!A:F,5,FALSE)</f>
        <v>525</v>
      </c>
      <c r="P261" s="33">
        <v>0.05</v>
      </c>
      <c r="Q261" s="34">
        <f t="shared" si="12"/>
        <v>8977.5</v>
      </c>
      <c r="R261" s="34">
        <v>2</v>
      </c>
      <c r="S261" s="24" t="s">
        <v>2149</v>
      </c>
      <c r="T261" s="24" t="s">
        <v>61</v>
      </c>
      <c r="U261" s="24" t="s">
        <v>89</v>
      </c>
      <c r="V261" s="34">
        <v>9616853220</v>
      </c>
      <c r="W261" s="24" t="str">
        <f>VLOOKUP(C261,Product_Master!A:F,4,FALSE)</f>
        <v>TechHub</v>
      </c>
      <c r="X261" s="34">
        <f>VLOOKUP(C261,Product_Master!A:F,6,FALSE)</f>
        <v>24</v>
      </c>
      <c r="Y261" s="24" t="str">
        <f>VLOOKUP(B261,Custumer_Master!A:D,3,FALSE)</f>
        <v>Silver</v>
      </c>
      <c r="Z261" s="30">
        <f>EDATE(E261,X261)</f>
        <v>46886</v>
      </c>
      <c r="AA261" s="29" t="str">
        <f>VLOOKUP(B261,Custumer_Master!A:K,11,)</f>
        <v>February</v>
      </c>
      <c r="AB261" s="24" t="s">
        <v>2160</v>
      </c>
      <c r="AC261" s="138" t="str">
        <f>PROPER(LEFT(TRIM(F261), 3)) &amp; RIGHT(TRIM(B261), 3) &amp; PROPER(LEFT(TRIM(I261), 2))</f>
        <v>Arj007Hy</v>
      </c>
      <c r="AD261" s="154">
        <f t="shared" ca="1" si="13"/>
        <v>38</v>
      </c>
      <c r="AE261" s="154">
        <f>IFERROR(IF(OR(E261="", D261="", LOWER(TRIM(E261))="pending", LOWER(TRIM(D261))="pending"), "Pending", E261 - D261), "Pending")</f>
        <v>4</v>
      </c>
      <c r="AF261" s="138" t="str">
        <f>IFERROR(IF(OR(E261="", D261="","Pending","Pending"), "Pending", IF((E261 - D261) &lt;= 5, "On Time", "Delayed")), "Pending")</f>
        <v>On Time</v>
      </c>
      <c r="AG261" s="24" t="str">
        <f t="shared" si="14"/>
        <v>Completed</v>
      </c>
    </row>
    <row r="262" spans="1:33">
      <c r="A262" s="24" t="s">
        <v>1241</v>
      </c>
      <c r="B262" s="24" t="s">
        <v>23</v>
      </c>
      <c r="C262" s="24" t="s">
        <v>222</v>
      </c>
      <c r="D262" s="30">
        <v>45858</v>
      </c>
      <c r="E262" s="30" t="s">
        <v>1242</v>
      </c>
      <c r="F262" s="24" t="str">
        <f>VLOOKUP(B262,Custumer_Master!A:D,2,FALSE)</f>
        <v>Kavya Nair</v>
      </c>
      <c r="G262" s="24" t="str">
        <f>VLOOKUP($B262,Custumer_Master!$A:$J,6,FALSE)</f>
        <v>Female</v>
      </c>
      <c r="H262" s="30" t="str">
        <f>VLOOKUP($B262,Custumer_Master!$A:$J,7,FALSE)</f>
        <v>01/08/1976</v>
      </c>
      <c r="I262" s="24" t="str">
        <f>VLOOKUP($B262,Custumer_Master!$A:$J,9,FALSE)</f>
        <v>Hyderabad</v>
      </c>
      <c r="J262" s="24" t="str">
        <f>VLOOKUP($B262,Custumer_Master!$A:$J,10,FALSE)</f>
        <v>South</v>
      </c>
      <c r="K262" s="24" t="str">
        <f>VLOOKUP(B262,Custumer_Master!A:D,4,FALSE)</f>
        <v>WB</v>
      </c>
      <c r="L262" s="24" t="str">
        <f>PROPER(TRIM(VLOOKUP('Final Data'!C262,Product_Master!A:F,3,FALSE)))</f>
        <v>Stationery</v>
      </c>
      <c r="M262" s="24" t="s">
        <v>227</v>
      </c>
      <c r="N262" s="34">
        <v>11</v>
      </c>
      <c r="O262" s="192">
        <f>VLOOKUP(C262,Product_Master!A:F,5,FALSE)</f>
        <v>15</v>
      </c>
      <c r="P262" s="33">
        <v>0</v>
      </c>
      <c r="Q262" s="34">
        <f t="shared" si="12"/>
        <v>165</v>
      </c>
      <c r="R262" s="34">
        <v>2</v>
      </c>
      <c r="S262" s="24" t="s">
        <v>2148</v>
      </c>
      <c r="T262" s="24" t="s">
        <v>115</v>
      </c>
      <c r="U262" s="24" t="s">
        <v>50</v>
      </c>
      <c r="V262" s="34">
        <v>9147552626</v>
      </c>
      <c r="W262" s="24" t="str">
        <f>VLOOKUP(C262,Product_Master!A:F,4,FALSE)</f>
        <v>Prime Supplies</v>
      </c>
      <c r="X262" s="34">
        <f>VLOOKUP(C262,Product_Master!A:F,6,FALSE)</f>
        <v>12</v>
      </c>
      <c r="Y262" s="24" t="str">
        <f>VLOOKUP(B262,Custumer_Master!A:D,3,FALSE)</f>
        <v>Silver</v>
      </c>
      <c r="Z262" s="30">
        <f>EDATE(E262,X262)</f>
        <v>46233</v>
      </c>
      <c r="AA262" s="29" t="str">
        <f>VLOOKUP(B262,Custumer_Master!A:K,11,)</f>
        <v>August</v>
      </c>
      <c r="AB262" s="24" t="s">
        <v>2160</v>
      </c>
      <c r="AC262" s="138" t="str">
        <f>PROPER(LEFT(TRIM(F262), 3)) &amp; RIGHT(TRIM(B262), 3) &amp; PROPER(LEFT(TRIM(I262), 2))</f>
        <v>Kav008Hy</v>
      </c>
      <c r="AD262" s="154">
        <f t="shared" ca="1" si="13"/>
        <v>49</v>
      </c>
      <c r="AE262" s="154">
        <f>IFERROR(IF(OR(E262="", D262="", LOWER(TRIM(E262))="pending", LOWER(TRIM(D262))="pending"), "Pending", E262 - D262), "Pending")</f>
        <v>10</v>
      </c>
      <c r="AF262" s="138" t="str">
        <f>IFERROR(IF(OR(E262="", D262="","Pending","Pending"), "Pending", IF((E262 - D262) &lt;= 5, "On Time", "Delayed")), "Pending")</f>
        <v>Delayed</v>
      </c>
      <c r="AG262" s="24" t="str">
        <f t="shared" si="14"/>
        <v>Completed</v>
      </c>
    </row>
    <row r="263" spans="1:33">
      <c r="A263" s="24" t="s">
        <v>1245</v>
      </c>
      <c r="B263" s="24" t="s">
        <v>327</v>
      </c>
      <c r="C263" s="24" t="s">
        <v>40</v>
      </c>
      <c r="D263" s="30">
        <v>45716</v>
      </c>
      <c r="E263" s="30" t="s">
        <v>272</v>
      </c>
      <c r="F263" s="24" t="str">
        <f>VLOOKUP(B263,Custumer_Master!A:D,2,FALSE)</f>
        <v>Amit Sharma</v>
      </c>
      <c r="G263" s="24" t="str">
        <f>VLOOKUP($B263,Custumer_Master!$A:$J,6,FALSE)</f>
        <v>Male</v>
      </c>
      <c r="H263" s="30" t="str">
        <f>VLOOKUP($B263,Custumer_Master!$A:$J,7,FALSE)</f>
        <v>09/08/1991</v>
      </c>
      <c r="I263" s="24" t="str">
        <f>VLOOKUP($B263,Custumer_Master!$A:$J,9,FALSE)</f>
        <v>Pune</v>
      </c>
      <c r="J263" s="24" t="str">
        <f>VLOOKUP($B263,Custumer_Master!$A:$J,10,FALSE)</f>
        <v>West</v>
      </c>
      <c r="K263" s="24" t="str">
        <f>VLOOKUP(B263,Custumer_Master!A:D,4,FALSE)</f>
        <v>RJ</v>
      </c>
      <c r="L263" s="24" t="str">
        <f>PROPER(TRIM(VLOOKUP('Final Data'!C263,Product_Master!A:F,3,FALSE)))</f>
        <v>Electronics</v>
      </c>
      <c r="M263" s="24" t="s">
        <v>47</v>
      </c>
      <c r="N263" s="34">
        <v>17</v>
      </c>
      <c r="O263" s="192">
        <f>VLOOKUP(C263,Product_Master!A:F,5,FALSE)</f>
        <v>9000</v>
      </c>
      <c r="P263" s="33">
        <v>0.2</v>
      </c>
      <c r="Q263" s="34">
        <f t="shared" si="12"/>
        <v>122400</v>
      </c>
      <c r="R263" s="34">
        <v>4</v>
      </c>
      <c r="S263" s="24" t="s">
        <v>2149</v>
      </c>
      <c r="T263" s="24" t="s">
        <v>151</v>
      </c>
      <c r="U263" s="24" t="s">
        <v>332</v>
      </c>
      <c r="V263" s="34">
        <v>9724197033</v>
      </c>
      <c r="W263" s="24" t="str">
        <f>VLOOKUP(C263,Product_Master!A:F,4,FALSE)</f>
        <v>Global Trade</v>
      </c>
      <c r="X263" s="34">
        <f>VLOOKUP(C263,Product_Master!A:F,6,FALSE)</f>
        <v>24</v>
      </c>
      <c r="Y263" s="24" t="str">
        <f>VLOOKUP(B263,Custumer_Master!A:D,3,FALSE)</f>
        <v>Silver</v>
      </c>
      <c r="Z263" s="30">
        <f>EDATE(E263,X263)</f>
        <v>46453</v>
      </c>
      <c r="AA263" s="29" t="str">
        <f>VLOOKUP(B263,Custumer_Master!A:K,11,)</f>
        <v>August</v>
      </c>
      <c r="AB263" s="24" t="s">
        <v>2112</v>
      </c>
      <c r="AC263" s="138" t="str">
        <f>PROPER(LEFT(TRIM(F263), 3)) &amp; RIGHT(TRIM(B263), 3) &amp; PROPER(LEFT(TRIM(I263), 2))</f>
        <v>Ami001Pu</v>
      </c>
      <c r="AD263" s="154">
        <f t="shared" ca="1" si="13"/>
        <v>34</v>
      </c>
      <c r="AE263" s="154">
        <f>IFERROR(IF(OR(E263="", D263="", LOWER(TRIM(E263))="pending", LOWER(TRIM(D263))="pending"), "Pending", E263 - D263), "Pending")</f>
        <v>7</v>
      </c>
      <c r="AF263" s="138" t="str">
        <f>IFERROR(IF(OR(E263="", D263="","Pending","Pending"), "Pending", IF((E263 - D263) &lt;= 5, "On Time", "Delayed")), "Pending")</f>
        <v>Delayed</v>
      </c>
      <c r="AG263" s="24" t="str">
        <f t="shared" si="14"/>
        <v>Completed</v>
      </c>
    </row>
    <row r="264" spans="1:33">
      <c r="A264" s="24" t="s">
        <v>1248</v>
      </c>
      <c r="B264" s="24" t="s">
        <v>251</v>
      </c>
      <c r="C264" s="24" t="s">
        <v>24</v>
      </c>
      <c r="D264" s="30">
        <v>45846</v>
      </c>
      <c r="E264" s="30" t="s">
        <v>267</v>
      </c>
      <c r="F264" s="24" t="str">
        <f>VLOOKUP(B264,Custumer_Master!A:D,2,FALSE)</f>
        <v>Sneha Joshi</v>
      </c>
      <c r="G264" s="24" t="str">
        <f>VLOOKUP($B264,Custumer_Master!$A:$J,6,FALSE)</f>
        <v>Female</v>
      </c>
      <c r="H264" s="30" t="str">
        <f>VLOOKUP($B264,Custumer_Master!$A:$J,7,FALSE)</f>
        <v>04/04/1981</v>
      </c>
      <c r="I264" s="24" t="str">
        <f>VLOOKUP($B264,Custumer_Master!$A:$J,9,FALSE)</f>
        <v>Pune</v>
      </c>
      <c r="J264" s="24" t="str">
        <f>VLOOKUP($B264,Custumer_Master!$A:$J,10,FALSE)</f>
        <v>West</v>
      </c>
      <c r="K264" s="24" t="str">
        <f>VLOOKUP(B264,Custumer_Master!A:D,4,FALSE)</f>
        <v>WB</v>
      </c>
      <c r="L264" s="24" t="str">
        <f>PROPER(TRIM(VLOOKUP('Final Data'!C264,Product_Master!A:F,3,FALSE)))</f>
        <v>Home Appliances</v>
      </c>
      <c r="M264" s="24" t="s">
        <v>33</v>
      </c>
      <c r="N264" s="34">
        <v>4</v>
      </c>
      <c r="O264" s="192">
        <f>VLOOKUP(C264,Product_Master!A:F,5,FALSE)</f>
        <v>1650</v>
      </c>
      <c r="P264" s="33">
        <v>0.05</v>
      </c>
      <c r="Q264" s="34">
        <f t="shared" si="12"/>
        <v>6270</v>
      </c>
      <c r="R264" s="34">
        <v>2</v>
      </c>
      <c r="S264" s="24" t="s">
        <v>34</v>
      </c>
      <c r="T264" s="24" t="s">
        <v>35</v>
      </c>
      <c r="U264" s="24" t="s">
        <v>256</v>
      </c>
      <c r="V264" s="34">
        <v>9130666128</v>
      </c>
      <c r="W264" s="24" t="str">
        <f>VLOOKUP(C264,Product_Master!A:F,4,FALSE)</f>
        <v>Global Trade</v>
      </c>
      <c r="X264" s="34">
        <f>VLOOKUP(C264,Product_Master!A:F,6,FALSE)</f>
        <v>24</v>
      </c>
      <c r="Y264" s="24" t="str">
        <f>VLOOKUP(B264,Custumer_Master!A:D,3,FALSE)</f>
        <v>Gold</v>
      </c>
      <c r="Z264" s="30">
        <f>EDATE(E264,X264)</f>
        <v>46581</v>
      </c>
      <c r="AA264" s="29" t="str">
        <f>VLOOKUP(B264,Custumer_Master!A:K,11,)</f>
        <v>April</v>
      </c>
      <c r="AB264" s="24" t="s">
        <v>2160</v>
      </c>
      <c r="AC264" s="138" t="str">
        <f>PROPER(LEFT(TRIM(F264), 3)) &amp; RIGHT(TRIM(B264), 3) &amp; PROPER(LEFT(TRIM(I264), 2))</f>
        <v>Sne006Pu</v>
      </c>
      <c r="AD264" s="154">
        <f t="shared" ca="1" si="13"/>
        <v>45</v>
      </c>
      <c r="AE264" s="154">
        <f>IFERROR(IF(OR(E264="", D264="", LOWER(TRIM(E264))="pending", LOWER(TRIM(D264))="pending"), "Pending", E264 - D264), "Pending")</f>
        <v>5</v>
      </c>
      <c r="AF264" s="138" t="str">
        <f>IFERROR(IF(OR(E264="", D264="","Pending","Pending"), "Pending", IF((E264 - D264) &lt;= 5, "On Time", "Delayed")), "Pending")</f>
        <v>On Time</v>
      </c>
      <c r="AG264" s="24" t="str">
        <f t="shared" si="14"/>
        <v>Completed</v>
      </c>
    </row>
    <row r="265" spans="1:33">
      <c r="A265" s="24" t="s">
        <v>1252</v>
      </c>
      <c r="B265" s="24" t="s">
        <v>23</v>
      </c>
      <c r="C265" s="24" t="s">
        <v>54</v>
      </c>
      <c r="D265" s="30">
        <v>46003</v>
      </c>
      <c r="E265" s="30" t="s">
        <v>455</v>
      </c>
      <c r="F265" s="24" t="str">
        <f>VLOOKUP(B265,Custumer_Master!A:D,2,FALSE)</f>
        <v>Kavya Nair</v>
      </c>
      <c r="G265" s="24" t="str">
        <f>VLOOKUP($B265,Custumer_Master!$A:$J,6,FALSE)</f>
        <v>Female</v>
      </c>
      <c r="H265" s="30" t="str">
        <f>VLOOKUP($B265,Custumer_Master!$A:$J,7,FALSE)</f>
        <v>01/08/1976</v>
      </c>
      <c r="I265" s="24" t="str">
        <f>VLOOKUP($B265,Custumer_Master!$A:$J,9,FALSE)</f>
        <v>Hyderabad</v>
      </c>
      <c r="J265" s="24" t="str">
        <f>VLOOKUP($B265,Custumer_Master!$A:$J,10,FALSE)</f>
        <v>South</v>
      </c>
      <c r="K265" s="24" t="str">
        <f>VLOOKUP(B265,Custumer_Master!A:D,4,FALSE)</f>
        <v>WB</v>
      </c>
      <c r="L265" s="24" t="str">
        <f>PROPER(TRIM(VLOOKUP('Final Data'!C265,Product_Master!A:F,3,FALSE)))</f>
        <v>Electronics</v>
      </c>
      <c r="M265" s="24" t="s">
        <v>60</v>
      </c>
      <c r="N265" s="34">
        <v>6</v>
      </c>
      <c r="O265" s="192">
        <f>VLOOKUP(C265,Product_Master!A:F,5,FALSE)</f>
        <v>41250</v>
      </c>
      <c r="P265" s="33">
        <v>0.2</v>
      </c>
      <c r="Q265" s="34">
        <f t="shared" si="12"/>
        <v>198000</v>
      </c>
      <c r="R265" s="34">
        <v>2</v>
      </c>
      <c r="S265" s="24" t="s">
        <v>2149</v>
      </c>
      <c r="T265" s="24" t="s">
        <v>151</v>
      </c>
      <c r="U265" s="24" t="s">
        <v>50</v>
      </c>
      <c r="V265" s="34">
        <v>9866567601</v>
      </c>
      <c r="W265" s="24" t="str">
        <f>VLOOKUP(C265,Product_Master!A:F,4,FALSE)</f>
        <v>TechHub</v>
      </c>
      <c r="X265" s="34">
        <f>VLOOKUP(C265,Product_Master!A:F,6,FALSE)</f>
        <v>12</v>
      </c>
      <c r="Y265" s="24" t="str">
        <f>VLOOKUP(B265,Custumer_Master!A:D,3,FALSE)</f>
        <v>Silver</v>
      </c>
      <c r="Z265" s="30">
        <f>EDATE(E265,X265)</f>
        <v>46375</v>
      </c>
      <c r="AA265" s="29" t="str">
        <f>VLOOKUP(B265,Custumer_Master!A:K,11,)</f>
        <v>August</v>
      </c>
      <c r="AB265" s="24" t="s">
        <v>2160</v>
      </c>
      <c r="AC265" s="138" t="str">
        <f>PROPER(LEFT(TRIM(F265), 3)) &amp; RIGHT(TRIM(B265), 3) &amp; PROPER(LEFT(TRIM(I265), 2))</f>
        <v>Kav008Hy</v>
      </c>
      <c r="AD265" s="154">
        <f t="shared" ca="1" si="13"/>
        <v>49</v>
      </c>
      <c r="AE265" s="154">
        <f>IFERROR(IF(OR(E265="", D265="", LOWER(TRIM(E265))="pending", LOWER(TRIM(D265))="pending"), "Pending", E265 - D265), "Pending")</f>
        <v>7</v>
      </c>
      <c r="AF265" s="138" t="str">
        <f>IFERROR(IF(OR(E265="", D265="","Pending","Pending"), "Pending", IF((E265 - D265) &lt;= 5, "On Time", "Delayed")), "Pending")</f>
        <v>Delayed</v>
      </c>
      <c r="AG265" s="24" t="str">
        <f t="shared" si="14"/>
        <v>Completed</v>
      </c>
    </row>
    <row r="266" spans="1:33">
      <c r="A266" s="24" t="s">
        <v>1256</v>
      </c>
      <c r="B266" s="24" t="s">
        <v>71</v>
      </c>
      <c r="C266" s="24" t="s">
        <v>169</v>
      </c>
      <c r="D266" s="30">
        <v>46026</v>
      </c>
      <c r="E266" s="30" t="s">
        <v>998</v>
      </c>
      <c r="F266" s="24" t="str">
        <f>VLOOKUP(B266,Custumer_Master!A:D,2,FALSE)</f>
        <v>Mohit Verma</v>
      </c>
      <c r="G266" s="24" t="str">
        <f>VLOOKUP($B266,Custumer_Master!$A:$J,6,FALSE)</f>
        <v>Male</v>
      </c>
      <c r="H266" s="30" t="str">
        <f>VLOOKUP($B266,Custumer_Master!$A:$J,7,FALSE)</f>
        <v>13/04/1976</v>
      </c>
      <c r="I266" s="24" t="str">
        <f>VLOOKUP($B266,Custumer_Master!$A:$J,9,FALSE)</f>
        <v>Delhi</v>
      </c>
      <c r="J266" s="24" t="str">
        <f>VLOOKUP($B266,Custumer_Master!$A:$J,10,FALSE)</f>
        <v>North</v>
      </c>
      <c r="K266" s="24" t="str">
        <f>VLOOKUP(B266,Custumer_Master!A:D,4,FALSE)</f>
        <v>KA</v>
      </c>
      <c r="L266" s="24" t="str">
        <f>PROPER(TRIM(VLOOKUP('Final Data'!C266,Product_Master!A:F,3,FALSE)))</f>
        <v>Home Appliances</v>
      </c>
      <c r="M266" s="24" t="s">
        <v>174</v>
      </c>
      <c r="N266" s="34">
        <v>6</v>
      </c>
      <c r="O266" s="192">
        <f>VLOOKUP(C266,Product_Master!A:F,5,FALSE)</f>
        <v>6375</v>
      </c>
      <c r="P266" s="33">
        <v>0.1</v>
      </c>
      <c r="Q266" s="34">
        <f t="shared" si="12"/>
        <v>34425</v>
      </c>
      <c r="R266" s="34">
        <v>5</v>
      </c>
      <c r="S266" s="24" t="s">
        <v>2149</v>
      </c>
      <c r="T266" s="24" t="s">
        <v>61</v>
      </c>
      <c r="U266" s="24" t="s">
        <v>80</v>
      </c>
      <c r="V266" s="34">
        <v>9477282450</v>
      </c>
      <c r="W266" s="24" t="str">
        <f>VLOOKUP(C266,Product_Master!A:F,4,FALSE)</f>
        <v>TechHub</v>
      </c>
      <c r="X266" s="34">
        <f>VLOOKUP(C266,Product_Master!A:F,6,FALSE)</f>
        <v>24</v>
      </c>
      <c r="Y266" s="24" t="str">
        <f>VLOOKUP(B266,Custumer_Master!A:D,3,FALSE)</f>
        <v>Platinum</v>
      </c>
      <c r="Z266" s="30">
        <f>EDATE(E266,X266)</f>
        <v>46766</v>
      </c>
      <c r="AA266" s="29" t="str">
        <f>VLOOKUP(B266,Custumer_Master!A:K,11,)</f>
        <v>April</v>
      </c>
      <c r="AB266" s="24" t="s">
        <v>2108</v>
      </c>
      <c r="AC266" s="138" t="str">
        <f>PROPER(LEFT(TRIM(F266), 3)) &amp; RIGHT(TRIM(B266), 3) &amp; PROPER(LEFT(TRIM(I266), 2))</f>
        <v>Moh009De</v>
      </c>
      <c r="AD266" s="154">
        <f t="shared" ca="1" si="13"/>
        <v>50</v>
      </c>
      <c r="AE266" s="154">
        <f>IFERROR(IF(OR(E266="", D266="", LOWER(TRIM(E266))="pending", LOWER(TRIM(D266))="pending"), "Pending", E266 - D266), "Pending")</f>
        <v>10</v>
      </c>
      <c r="AF266" s="138" t="str">
        <f>IFERROR(IF(OR(E266="", D266="","Pending","Pending"), "Pending", IF((E266 - D266) &lt;= 5, "On Time", "Delayed")), "Pending")</f>
        <v>Delayed</v>
      </c>
      <c r="AG266" s="24" t="str">
        <f t="shared" si="14"/>
        <v>Completed</v>
      </c>
    </row>
    <row r="267" spans="1:33">
      <c r="A267" s="24" t="s">
        <v>1259</v>
      </c>
      <c r="B267" s="24" t="s">
        <v>23</v>
      </c>
      <c r="C267" s="24" t="s">
        <v>222</v>
      </c>
      <c r="D267" s="30">
        <v>45889</v>
      </c>
      <c r="E267" s="30" t="s">
        <v>371</v>
      </c>
      <c r="F267" s="24" t="str">
        <f>VLOOKUP(B267,Custumer_Master!A:D,2,FALSE)</f>
        <v>Kavya Nair</v>
      </c>
      <c r="G267" s="24" t="str">
        <f>VLOOKUP($B267,Custumer_Master!$A:$J,6,FALSE)</f>
        <v>Female</v>
      </c>
      <c r="H267" s="30" t="str">
        <f>VLOOKUP($B267,Custumer_Master!$A:$J,7,FALSE)</f>
        <v>01/08/1976</v>
      </c>
      <c r="I267" s="24" t="str">
        <f>VLOOKUP($B267,Custumer_Master!$A:$J,9,FALSE)</f>
        <v>Hyderabad</v>
      </c>
      <c r="J267" s="24" t="str">
        <f>VLOOKUP($B267,Custumer_Master!$A:$J,10,FALSE)</f>
        <v>South</v>
      </c>
      <c r="K267" s="24" t="str">
        <f>VLOOKUP(B267,Custumer_Master!A:D,4,FALSE)</f>
        <v>WB</v>
      </c>
      <c r="L267" s="24" t="str">
        <f>PROPER(TRIM(VLOOKUP('Final Data'!C267,Product_Master!A:F,3,FALSE)))</f>
        <v>Stationery</v>
      </c>
      <c r="M267" s="24" t="s">
        <v>227</v>
      </c>
      <c r="N267" s="34">
        <v>6</v>
      </c>
      <c r="O267" s="192">
        <f>VLOOKUP(C267,Product_Master!A:F,5,FALSE)</f>
        <v>15</v>
      </c>
      <c r="P267" s="33">
        <v>0.15</v>
      </c>
      <c r="Q267" s="34">
        <f t="shared" si="12"/>
        <v>76.5</v>
      </c>
      <c r="R267" s="34">
        <v>2</v>
      </c>
      <c r="S267" s="24" t="s">
        <v>2149</v>
      </c>
      <c r="T267" s="24" t="s">
        <v>49</v>
      </c>
      <c r="U267" s="24" t="s">
        <v>50</v>
      </c>
      <c r="V267" s="34">
        <v>9857621478</v>
      </c>
      <c r="W267" s="24" t="str">
        <f>VLOOKUP(C267,Product_Master!A:F,4,FALSE)</f>
        <v>Prime Supplies</v>
      </c>
      <c r="X267" s="34">
        <f>VLOOKUP(C267,Product_Master!A:F,6,FALSE)</f>
        <v>12</v>
      </c>
      <c r="Y267" s="24" t="str">
        <f>VLOOKUP(B267,Custumer_Master!A:D,3,FALSE)</f>
        <v>Silver</v>
      </c>
      <c r="Z267" s="30">
        <f>EDATE(E267,X267)</f>
        <v>46259</v>
      </c>
      <c r="AA267" s="29" t="str">
        <f>VLOOKUP(B267,Custumer_Master!A:K,11,)</f>
        <v>August</v>
      </c>
      <c r="AB267" s="24" t="s">
        <v>2160</v>
      </c>
      <c r="AC267" s="138" t="str">
        <f>PROPER(LEFT(TRIM(F267), 3)) &amp; RIGHT(TRIM(B267), 3) &amp; PROPER(LEFT(TRIM(I267), 2))</f>
        <v>Kav008Hy</v>
      </c>
      <c r="AD267" s="154">
        <f t="shared" ca="1" si="13"/>
        <v>49</v>
      </c>
      <c r="AE267" s="154">
        <f>IFERROR(IF(OR(E267="", D267="", LOWER(TRIM(E267))="pending", LOWER(TRIM(D267))="pending"), "Pending", E267 - D267), "Pending")</f>
        <v>5</v>
      </c>
      <c r="AF267" s="138" t="str">
        <f>IFERROR(IF(OR(E267="", D267="","Pending","Pending"), "Pending", IF((E267 - D267) &lt;= 5, "On Time", "Delayed")), "Pending")</f>
        <v>On Time</v>
      </c>
      <c r="AG267" s="24" t="str">
        <f t="shared" si="14"/>
        <v>Completed</v>
      </c>
    </row>
    <row r="268" spans="1:33">
      <c r="A268" s="24" t="s">
        <v>1262</v>
      </c>
      <c r="B268" s="24" t="s">
        <v>53</v>
      </c>
      <c r="C268" s="24" t="s">
        <v>118</v>
      </c>
      <c r="D268" s="30">
        <v>45780</v>
      </c>
      <c r="E268" s="30" t="s">
        <v>597</v>
      </c>
      <c r="F268" s="24" t="str">
        <f>VLOOKUP(B268,Custumer_Master!A:D,2,FALSE)</f>
        <v>Pooja Shah</v>
      </c>
      <c r="G268" s="24" t="str">
        <f>VLOOKUP($B268,Custumer_Master!$A:$J,6,FALSE)</f>
        <v>Female</v>
      </c>
      <c r="H268" s="30" t="str">
        <f>VLOOKUP($B268,Custumer_Master!$A:$J,7,FALSE)</f>
        <v>16/09/1994</v>
      </c>
      <c r="I268" s="24" t="str">
        <f>VLOOKUP($B268,Custumer_Master!$A:$J,9,FALSE)</f>
        <v>Bengaluru</v>
      </c>
      <c r="J268" s="24" t="str">
        <f>VLOOKUP($B268,Custumer_Master!$A:$J,10,FALSE)</f>
        <v>South</v>
      </c>
      <c r="K268" s="24" t="str">
        <f>VLOOKUP(B268,Custumer_Master!A:D,4,FALSE)</f>
        <v>WB</v>
      </c>
      <c r="L268" s="24" t="str">
        <f>PROPER(TRIM(VLOOKUP('Final Data'!C268,Product_Master!A:F,3,FALSE)))</f>
        <v>Stationery</v>
      </c>
      <c r="M268" s="24" t="s">
        <v>123</v>
      </c>
      <c r="N268" s="34">
        <v>6</v>
      </c>
      <c r="O268" s="192">
        <f>VLOOKUP(C268,Product_Master!A:F,5,FALSE)</f>
        <v>45</v>
      </c>
      <c r="P268" s="33">
        <v>0.05</v>
      </c>
      <c r="Q268" s="34">
        <f t="shared" si="12"/>
        <v>256.5</v>
      </c>
      <c r="R268" s="34">
        <v>1</v>
      </c>
      <c r="S268" s="24" t="s">
        <v>2148</v>
      </c>
      <c r="T268" s="24" t="s">
        <v>61</v>
      </c>
      <c r="U268" s="24" t="s">
        <v>62</v>
      </c>
      <c r="V268" s="34">
        <v>9753869055</v>
      </c>
      <c r="W268" s="24" t="str">
        <f>VLOOKUP(C268,Product_Master!A:F,4,FALSE)</f>
        <v>ABC Corp</v>
      </c>
      <c r="X268" s="34">
        <f>VLOOKUP(C268,Product_Master!A:F,6,FALSE)</f>
        <v>12</v>
      </c>
      <c r="Y268" s="24" t="str">
        <f>VLOOKUP(B268,Custumer_Master!A:D,3,FALSE)</f>
        <v>Silver</v>
      </c>
      <c r="Z268" s="30">
        <f>EDATE(E268,X268)</f>
        <v>46153</v>
      </c>
      <c r="AA268" s="29" t="str">
        <f>VLOOKUP(B268,Custumer_Master!A:K,11,)</f>
        <v>September</v>
      </c>
      <c r="AB268" s="24" t="s">
        <v>2160</v>
      </c>
      <c r="AC268" s="138" t="str">
        <f>PROPER(LEFT(TRIM(F268), 3)) &amp; RIGHT(TRIM(B268), 3) &amp; PROPER(LEFT(TRIM(I268), 2))</f>
        <v>Poo010Be</v>
      </c>
      <c r="AD268" s="154">
        <f t="shared" ca="1" si="13"/>
        <v>31</v>
      </c>
      <c r="AE268" s="154">
        <f>IFERROR(IF(OR(E268="", D268="", LOWER(TRIM(E268))="pending", LOWER(TRIM(D268))="pending"), "Pending", E268 - D268), "Pending")</f>
        <v>8</v>
      </c>
      <c r="AF268" s="138" t="str">
        <f>IFERROR(IF(OR(E268="", D268="","Pending","Pending"), "Pending", IF((E268 - D268) &lt;= 5, "On Time", "Delayed")), "Pending")</f>
        <v>Delayed</v>
      </c>
      <c r="AG268" s="24" t="str">
        <f t="shared" si="14"/>
        <v>Completed</v>
      </c>
    </row>
    <row r="269" spans="1:33">
      <c r="A269" s="24" t="s">
        <v>1266</v>
      </c>
      <c r="B269" s="24" t="s">
        <v>127</v>
      </c>
      <c r="C269" s="24" t="s">
        <v>169</v>
      </c>
      <c r="D269" s="30">
        <v>45666</v>
      </c>
      <c r="E269" s="30" t="s">
        <v>1268</v>
      </c>
      <c r="F269" s="24" t="str">
        <f>VLOOKUP(B269,Custumer_Master!A:D,2,FALSE)</f>
        <v>Rohit Singh</v>
      </c>
      <c r="G269" s="24" t="str">
        <f>VLOOKUP($B269,Custumer_Master!$A:$J,6,FALSE)</f>
        <v>Male</v>
      </c>
      <c r="H269" s="30" t="str">
        <f>VLOOKUP($B269,Custumer_Master!$A:$J,7,FALSE)</f>
        <v>10/05/1982</v>
      </c>
      <c r="I269" s="24" t="str">
        <f>VLOOKUP($B269,Custumer_Master!$A:$J,9,FALSE)</f>
        <v>Delhi</v>
      </c>
      <c r="J269" s="24" t="str">
        <f>VLOOKUP($B269,Custumer_Master!$A:$J,10,FALSE)</f>
        <v>North</v>
      </c>
      <c r="K269" s="24" t="str">
        <f>VLOOKUP(B269,Custumer_Master!A:D,4,FALSE)</f>
        <v>DL</v>
      </c>
      <c r="L269" s="24" t="str">
        <f>PROPER(TRIM(VLOOKUP('Final Data'!C269,Product_Master!A:F,3,FALSE)))</f>
        <v>Home Appliances</v>
      </c>
      <c r="M269" s="24" t="s">
        <v>174</v>
      </c>
      <c r="N269" s="34">
        <v>19</v>
      </c>
      <c r="O269" s="192">
        <f>VLOOKUP(C269,Product_Master!A:F,5,FALSE)</f>
        <v>6375</v>
      </c>
      <c r="P269" s="33">
        <v>0</v>
      </c>
      <c r="Q269" s="34">
        <f t="shared" si="12"/>
        <v>121125</v>
      </c>
      <c r="R269" s="34">
        <v>5</v>
      </c>
      <c r="S269" s="24" t="s">
        <v>2149</v>
      </c>
      <c r="T269" s="24" t="s">
        <v>151</v>
      </c>
      <c r="U269" s="24" t="s">
        <v>132</v>
      </c>
      <c r="V269" s="34">
        <v>9663266204</v>
      </c>
      <c r="W269" s="24" t="str">
        <f>VLOOKUP(C269,Product_Master!A:F,4,FALSE)</f>
        <v>TechHub</v>
      </c>
      <c r="X269" s="34">
        <f>VLOOKUP(C269,Product_Master!A:F,6,FALSE)</f>
        <v>24</v>
      </c>
      <c r="Y269" s="24" t="str">
        <f>VLOOKUP(B269,Custumer_Master!A:D,3,FALSE)</f>
        <v>Gold</v>
      </c>
      <c r="Z269" s="30">
        <f>EDATE(E269,X269)</f>
        <v>46399</v>
      </c>
      <c r="AA269" s="29" t="str">
        <f>VLOOKUP(B269,Custumer_Master!A:K,11,)</f>
        <v>May</v>
      </c>
      <c r="AB269" s="24" t="s">
        <v>2110</v>
      </c>
      <c r="AC269" s="138" t="str">
        <f>PROPER(LEFT(TRIM(F269), 3)) &amp; RIGHT(TRIM(B269), 3) &amp; PROPER(LEFT(TRIM(I269), 2))</f>
        <v>Roh003De</v>
      </c>
      <c r="AD269" s="154">
        <f t="shared" ca="1" si="13"/>
        <v>44</v>
      </c>
      <c r="AE269" s="154">
        <f>IFERROR(IF(OR(E269="", D269="", LOWER(TRIM(E269))="pending", LOWER(TRIM(D269))="pending"), "Pending", E269 - D269), "Pending")</f>
        <v>3</v>
      </c>
      <c r="AF269" s="138" t="str">
        <f>IFERROR(IF(OR(E269="", D269="","Pending","Pending"), "Pending", IF((E269 - D269) &lt;= 5, "On Time", "Delayed")), "Pending")</f>
        <v>On Time</v>
      </c>
      <c r="AG269" s="24" t="str">
        <f t="shared" si="14"/>
        <v>Completed</v>
      </c>
    </row>
    <row r="270" spans="1:33">
      <c r="A270" s="24" t="s">
        <v>1271</v>
      </c>
      <c r="B270" s="24" t="s">
        <v>251</v>
      </c>
      <c r="C270" s="24" t="s">
        <v>54</v>
      </c>
      <c r="D270" s="30">
        <v>45901</v>
      </c>
      <c r="E270" s="30" t="s">
        <v>573</v>
      </c>
      <c r="F270" s="24" t="str">
        <f>VLOOKUP(B270,Custumer_Master!A:D,2,FALSE)</f>
        <v>Sneha Joshi</v>
      </c>
      <c r="G270" s="24" t="str">
        <f>VLOOKUP($B270,Custumer_Master!$A:$J,6,FALSE)</f>
        <v>Female</v>
      </c>
      <c r="H270" s="30" t="str">
        <f>VLOOKUP($B270,Custumer_Master!$A:$J,7,FALSE)</f>
        <v>04/04/1981</v>
      </c>
      <c r="I270" s="24" t="str">
        <f>VLOOKUP($B270,Custumer_Master!$A:$J,9,FALSE)</f>
        <v>Pune</v>
      </c>
      <c r="J270" s="24" t="str">
        <f>VLOOKUP($B270,Custumer_Master!$A:$J,10,FALSE)</f>
        <v>West</v>
      </c>
      <c r="K270" s="24" t="str">
        <f>VLOOKUP(B270,Custumer_Master!A:D,4,FALSE)</f>
        <v>WB</v>
      </c>
      <c r="L270" s="24" t="str">
        <f>PROPER(TRIM(VLOOKUP('Final Data'!C270,Product_Master!A:F,3,FALSE)))</f>
        <v>Electronics</v>
      </c>
      <c r="M270" s="24" t="s">
        <v>60</v>
      </c>
      <c r="N270" s="34">
        <v>8</v>
      </c>
      <c r="O270" s="192">
        <f>VLOOKUP(C270,Product_Master!A:F,5,FALSE)</f>
        <v>41250</v>
      </c>
      <c r="P270" s="33">
        <v>0</v>
      </c>
      <c r="Q270" s="34">
        <f t="shared" si="12"/>
        <v>330000</v>
      </c>
      <c r="R270" s="34">
        <v>3</v>
      </c>
      <c r="S270" s="24" t="s">
        <v>79</v>
      </c>
      <c r="T270" s="24" t="s">
        <v>115</v>
      </c>
      <c r="U270" s="24" t="s">
        <v>256</v>
      </c>
      <c r="V270" s="34">
        <v>9675208616</v>
      </c>
      <c r="W270" s="24" t="str">
        <f>VLOOKUP(C270,Product_Master!A:F,4,FALSE)</f>
        <v>TechHub</v>
      </c>
      <c r="X270" s="34">
        <f>VLOOKUP(C270,Product_Master!A:F,6,FALSE)</f>
        <v>12</v>
      </c>
      <c r="Y270" s="24" t="str">
        <f>VLOOKUP(B270,Custumer_Master!A:D,3,FALSE)</f>
        <v>Gold</v>
      </c>
      <c r="Z270" s="30">
        <f>EDATE(E270,X270)</f>
        <v>46275</v>
      </c>
      <c r="AA270" s="29" t="str">
        <f>VLOOKUP(B270,Custumer_Master!A:K,11,)</f>
        <v>April</v>
      </c>
      <c r="AB270" s="24" t="s">
        <v>2112</v>
      </c>
      <c r="AC270" s="138" t="str">
        <f>PROPER(LEFT(TRIM(F270), 3)) &amp; RIGHT(TRIM(B270), 3) &amp; PROPER(LEFT(TRIM(I270), 2))</f>
        <v>Sne006Pu</v>
      </c>
      <c r="AD270" s="154">
        <f t="shared" ca="1" si="13"/>
        <v>45</v>
      </c>
      <c r="AE270" s="154">
        <f>IFERROR(IF(OR(E270="", D270="", LOWER(TRIM(E270))="pending", LOWER(TRIM(D270))="pending"), "Pending", E270 - D270), "Pending")</f>
        <v>9</v>
      </c>
      <c r="AF270" s="138" t="str">
        <f>IFERROR(IF(OR(E270="", D270="","Pending","Pending"), "Pending", IF((E270 - D270) &lt;= 5, "On Time", "Delayed")), "Pending")</f>
        <v>Delayed</v>
      </c>
      <c r="AG270" s="24" t="str">
        <f t="shared" si="14"/>
        <v>Completed</v>
      </c>
    </row>
    <row r="271" spans="1:33">
      <c r="A271" s="24" t="s">
        <v>1274</v>
      </c>
      <c r="B271" s="24" t="s">
        <v>71</v>
      </c>
      <c r="C271" s="24" t="s">
        <v>40</v>
      </c>
      <c r="D271" s="30">
        <v>46144</v>
      </c>
      <c r="E271" s="30" t="s">
        <v>583</v>
      </c>
      <c r="F271" s="24" t="str">
        <f>VLOOKUP(B271,Custumer_Master!A:D,2,FALSE)</f>
        <v>Mohit Verma</v>
      </c>
      <c r="G271" s="24" t="str">
        <f>VLOOKUP($B271,Custumer_Master!$A:$J,6,FALSE)</f>
        <v>Male</v>
      </c>
      <c r="H271" s="30" t="str">
        <f>VLOOKUP($B271,Custumer_Master!$A:$J,7,FALSE)</f>
        <v>13/04/1976</v>
      </c>
      <c r="I271" s="24" t="str">
        <f>VLOOKUP($B271,Custumer_Master!$A:$J,9,FALSE)</f>
        <v>Delhi</v>
      </c>
      <c r="J271" s="24" t="str">
        <f>VLOOKUP($B271,Custumer_Master!$A:$J,10,FALSE)</f>
        <v>North</v>
      </c>
      <c r="K271" s="24" t="str">
        <f>VLOOKUP(B271,Custumer_Master!A:D,4,FALSE)</f>
        <v>KA</v>
      </c>
      <c r="L271" s="24" t="str">
        <f>PROPER(TRIM(VLOOKUP('Final Data'!C271,Product_Master!A:F,3,FALSE)))</f>
        <v>Electronics</v>
      </c>
      <c r="M271" s="24" t="s">
        <v>47</v>
      </c>
      <c r="N271" s="34">
        <v>18</v>
      </c>
      <c r="O271" s="192">
        <f>VLOOKUP(C271,Product_Master!A:F,5,FALSE)</f>
        <v>9000</v>
      </c>
      <c r="P271" s="33">
        <v>0.2</v>
      </c>
      <c r="Q271" s="34">
        <f t="shared" si="12"/>
        <v>129600</v>
      </c>
      <c r="R271" s="34">
        <v>5</v>
      </c>
      <c r="S271" s="24" t="s">
        <v>2149</v>
      </c>
      <c r="T271" s="24" t="s">
        <v>61</v>
      </c>
      <c r="U271" s="24" t="s">
        <v>80</v>
      </c>
      <c r="V271" s="34">
        <v>9618393586</v>
      </c>
      <c r="W271" s="24" t="str">
        <f>VLOOKUP(C271,Product_Master!A:F,4,FALSE)</f>
        <v>Global Trade</v>
      </c>
      <c r="X271" s="34">
        <f>VLOOKUP(C271,Product_Master!A:F,6,FALSE)</f>
        <v>24</v>
      </c>
      <c r="Y271" s="24" t="str">
        <f>VLOOKUP(B271,Custumer_Master!A:D,3,FALSE)</f>
        <v>Platinum</v>
      </c>
      <c r="Z271" s="30">
        <f>EDATE(E271,X271)</f>
        <v>46880</v>
      </c>
      <c r="AA271" s="29" t="str">
        <f>VLOOKUP(B271,Custumer_Master!A:K,11,)</f>
        <v>April</v>
      </c>
      <c r="AB271" s="24" t="s">
        <v>2112</v>
      </c>
      <c r="AC271" s="138" t="str">
        <f>PROPER(LEFT(TRIM(F271), 3)) &amp; RIGHT(TRIM(B271), 3) &amp; PROPER(LEFT(TRIM(I271), 2))</f>
        <v>Moh009De</v>
      </c>
      <c r="AD271" s="154">
        <f t="shared" ca="1" si="13"/>
        <v>50</v>
      </c>
      <c r="AE271" s="154">
        <f>IFERROR(IF(OR(E271="", D271="", LOWER(TRIM(E271))="pending", LOWER(TRIM(D271))="pending"), "Pending", E271 - D271), "Pending")</f>
        <v>5</v>
      </c>
      <c r="AF271" s="138" t="str">
        <f>IFERROR(IF(OR(E271="", D271="","Pending","Pending"), "Pending", IF((E271 - D271) &lt;= 5, "On Time", "Delayed")), "Pending")</f>
        <v>On Time</v>
      </c>
      <c r="AG271" s="24" t="str">
        <f t="shared" si="14"/>
        <v>Completed</v>
      </c>
    </row>
    <row r="272" spans="1:33">
      <c r="A272" s="24" t="s">
        <v>1277</v>
      </c>
      <c r="B272" s="24" t="s">
        <v>127</v>
      </c>
      <c r="C272" s="24" t="s">
        <v>169</v>
      </c>
      <c r="D272" s="30">
        <v>45764</v>
      </c>
      <c r="E272" s="30" t="s">
        <v>198</v>
      </c>
      <c r="F272" s="24" t="str">
        <f>VLOOKUP(B272,Custumer_Master!A:D,2,FALSE)</f>
        <v>Rohit Singh</v>
      </c>
      <c r="G272" s="24" t="str">
        <f>VLOOKUP($B272,Custumer_Master!$A:$J,6,FALSE)</f>
        <v>Male</v>
      </c>
      <c r="H272" s="30" t="str">
        <f>VLOOKUP($B272,Custumer_Master!$A:$J,7,FALSE)</f>
        <v>10/05/1982</v>
      </c>
      <c r="I272" s="24" t="str">
        <f>VLOOKUP($B272,Custumer_Master!$A:$J,9,FALSE)</f>
        <v>Delhi</v>
      </c>
      <c r="J272" s="24" t="str">
        <f>VLOOKUP($B272,Custumer_Master!$A:$J,10,FALSE)</f>
        <v>North</v>
      </c>
      <c r="K272" s="24" t="str">
        <f>VLOOKUP(B272,Custumer_Master!A:D,4,FALSE)</f>
        <v>DL</v>
      </c>
      <c r="L272" s="24" t="str">
        <f>PROPER(TRIM(VLOOKUP('Final Data'!C272,Product_Master!A:F,3,FALSE)))</f>
        <v>Home Appliances</v>
      </c>
      <c r="M272" s="24" t="s">
        <v>174</v>
      </c>
      <c r="N272" s="34">
        <v>8</v>
      </c>
      <c r="O272" s="192">
        <f>VLOOKUP(C272,Product_Master!A:F,5,FALSE)</f>
        <v>6375</v>
      </c>
      <c r="P272" s="33">
        <v>0.05</v>
      </c>
      <c r="Q272" s="34">
        <f t="shared" si="12"/>
        <v>48450</v>
      </c>
      <c r="R272" s="34">
        <v>2</v>
      </c>
      <c r="S272" s="24" t="s">
        <v>79</v>
      </c>
      <c r="T272" s="24" t="s">
        <v>61</v>
      </c>
      <c r="U272" s="24" t="s">
        <v>132</v>
      </c>
      <c r="V272" s="34">
        <v>9137027840</v>
      </c>
      <c r="W272" s="24" t="str">
        <f>VLOOKUP(C272,Product_Master!A:F,4,FALSE)</f>
        <v>TechHub</v>
      </c>
      <c r="X272" s="34">
        <f>VLOOKUP(C272,Product_Master!A:F,6,FALSE)</f>
        <v>24</v>
      </c>
      <c r="Y272" s="24" t="str">
        <f>VLOOKUP(B272,Custumer_Master!A:D,3,FALSE)</f>
        <v>Gold</v>
      </c>
      <c r="Z272" s="30">
        <f>EDATE(E272,X272)</f>
        <v>46503</v>
      </c>
      <c r="AA272" s="29" t="str">
        <f>VLOOKUP(B272,Custumer_Master!A:K,11,)</f>
        <v>May</v>
      </c>
      <c r="AB272" s="24" t="s">
        <v>2160</v>
      </c>
      <c r="AC272" s="138" t="str">
        <f>PROPER(LEFT(TRIM(F272), 3)) &amp; RIGHT(TRIM(B272), 3) &amp; PROPER(LEFT(TRIM(I272), 2))</f>
        <v>Roh003De</v>
      </c>
      <c r="AD272" s="154">
        <f t="shared" ca="1" si="13"/>
        <v>44</v>
      </c>
      <c r="AE272" s="154">
        <f>IFERROR(IF(OR(E272="", D272="", LOWER(TRIM(E272))="pending", LOWER(TRIM(D272))="pending"), "Pending", E272 - D272), "Pending")</f>
        <v>9</v>
      </c>
      <c r="AF272" s="138" t="str">
        <f>IFERROR(IF(OR(E272="", D272="","Pending","Pending"), "Pending", IF((E272 - D272) &lt;= 5, "On Time", "Delayed")), "Pending")</f>
        <v>Delayed</v>
      </c>
      <c r="AG272" s="24" t="str">
        <f t="shared" si="14"/>
        <v>Completed</v>
      </c>
    </row>
    <row r="273" spans="1:33">
      <c r="A273" s="24" t="s">
        <v>1281</v>
      </c>
      <c r="B273" s="24" t="s">
        <v>23</v>
      </c>
      <c r="C273" s="24" t="s">
        <v>222</v>
      </c>
      <c r="D273" s="30">
        <v>45878</v>
      </c>
      <c r="E273" s="30" t="s">
        <v>724</v>
      </c>
      <c r="F273" s="24" t="str">
        <f>VLOOKUP(B273,Custumer_Master!A:D,2,FALSE)</f>
        <v>Kavya Nair</v>
      </c>
      <c r="G273" s="24" t="str">
        <f>VLOOKUP($B273,Custumer_Master!$A:$J,6,FALSE)</f>
        <v>Female</v>
      </c>
      <c r="H273" s="30" t="str">
        <f>VLOOKUP($B273,Custumer_Master!$A:$J,7,FALSE)</f>
        <v>01/08/1976</v>
      </c>
      <c r="I273" s="24" t="str">
        <f>VLOOKUP($B273,Custumer_Master!$A:$J,9,FALSE)</f>
        <v>Hyderabad</v>
      </c>
      <c r="J273" s="24" t="str">
        <f>VLOOKUP($B273,Custumer_Master!$A:$J,10,FALSE)</f>
        <v>South</v>
      </c>
      <c r="K273" s="24" t="str">
        <f>VLOOKUP(B273,Custumer_Master!A:D,4,FALSE)</f>
        <v>WB</v>
      </c>
      <c r="L273" s="24" t="str">
        <f>PROPER(TRIM(VLOOKUP('Final Data'!C273,Product_Master!A:F,3,FALSE)))</f>
        <v>Stationery</v>
      </c>
      <c r="M273" s="24" t="s">
        <v>227</v>
      </c>
      <c r="N273" s="34">
        <v>13</v>
      </c>
      <c r="O273" s="192">
        <f>VLOOKUP(C273,Product_Master!A:F,5,FALSE)</f>
        <v>15</v>
      </c>
      <c r="P273" s="33">
        <v>0.05</v>
      </c>
      <c r="Q273" s="34">
        <f t="shared" si="12"/>
        <v>185.25</v>
      </c>
      <c r="R273" s="34">
        <v>3</v>
      </c>
      <c r="S273" s="24" t="s">
        <v>2148</v>
      </c>
      <c r="T273" s="24" t="s">
        <v>115</v>
      </c>
      <c r="U273" s="24" t="s">
        <v>50</v>
      </c>
      <c r="V273" s="34">
        <v>9362758134</v>
      </c>
      <c r="W273" s="24" t="str">
        <f>VLOOKUP(C273,Product_Master!A:F,4,FALSE)</f>
        <v>Prime Supplies</v>
      </c>
      <c r="X273" s="34">
        <f>VLOOKUP(C273,Product_Master!A:F,6,FALSE)</f>
        <v>12</v>
      </c>
      <c r="Y273" s="24" t="str">
        <f>VLOOKUP(B273,Custumer_Master!A:D,3,FALSE)</f>
        <v>Silver</v>
      </c>
      <c r="Z273" s="30">
        <f>EDATE(E273,X273)</f>
        <v>46252</v>
      </c>
      <c r="AA273" s="29" t="str">
        <f>VLOOKUP(B273,Custumer_Master!A:K,11,)</f>
        <v>August</v>
      </c>
      <c r="AB273" s="24" t="s">
        <v>2108</v>
      </c>
      <c r="AC273" s="138" t="str">
        <f>PROPER(LEFT(TRIM(F273), 3)) &amp; RIGHT(TRIM(B273), 3) &amp; PROPER(LEFT(TRIM(I273), 2))</f>
        <v>Kav008Hy</v>
      </c>
      <c r="AD273" s="154">
        <f t="shared" ca="1" si="13"/>
        <v>49</v>
      </c>
      <c r="AE273" s="154">
        <f>IFERROR(IF(OR(E273="", D273="", LOWER(TRIM(E273))="pending", LOWER(TRIM(D273))="pending"), "Pending", E273 - D273), "Pending")</f>
        <v>9</v>
      </c>
      <c r="AF273" s="138" t="str">
        <f>IFERROR(IF(OR(E273="", D273="","Pending","Pending"), "Pending", IF((E273 - D273) &lt;= 5, "On Time", "Delayed")), "Pending")</f>
        <v>Delayed</v>
      </c>
      <c r="AG273" s="24" t="str">
        <f t="shared" si="14"/>
        <v>Completed</v>
      </c>
    </row>
    <row r="274" spans="1:33">
      <c r="A274" s="24" t="s">
        <v>1285</v>
      </c>
      <c r="B274" s="24" t="s">
        <v>83</v>
      </c>
      <c r="C274" s="24" t="s">
        <v>118</v>
      </c>
      <c r="D274" s="30">
        <v>46116</v>
      </c>
      <c r="E274" s="30" t="s">
        <v>1286</v>
      </c>
      <c r="F274" s="24" t="str">
        <f>VLOOKUP(B274,Custumer_Master!A:D,2,FALSE)</f>
        <v>Arjun Rao</v>
      </c>
      <c r="G274" s="24" t="str">
        <f>VLOOKUP($B274,Custumer_Master!$A:$J,6,FALSE)</f>
        <v>Male</v>
      </c>
      <c r="H274" s="30" t="str">
        <f>VLOOKUP($B274,Custumer_Master!$A:$J,7,FALSE)</f>
        <v>07/02/1988</v>
      </c>
      <c r="I274" s="24" t="str">
        <f>VLOOKUP($B274,Custumer_Master!$A:$J,9,FALSE)</f>
        <v>Hyderabad</v>
      </c>
      <c r="J274" s="24" t="str">
        <f>VLOOKUP($B274,Custumer_Master!$A:$J,10,FALSE)</f>
        <v>South</v>
      </c>
      <c r="K274" s="24" t="str">
        <f>VLOOKUP(B274,Custumer_Master!A:D,4,FALSE)</f>
        <v>RJ</v>
      </c>
      <c r="L274" s="24" t="str">
        <f>PROPER(TRIM(VLOOKUP('Final Data'!C274,Product_Master!A:F,3,FALSE)))</f>
        <v>Stationery</v>
      </c>
      <c r="M274" s="24" t="s">
        <v>123</v>
      </c>
      <c r="N274" s="34">
        <v>1</v>
      </c>
      <c r="O274" s="192">
        <f>VLOOKUP(C274,Product_Master!A:F,5,FALSE)</f>
        <v>45</v>
      </c>
      <c r="P274" s="33">
        <v>0.15</v>
      </c>
      <c r="Q274" s="34">
        <f t="shared" si="12"/>
        <v>38.25</v>
      </c>
      <c r="R274" s="34">
        <v>2</v>
      </c>
      <c r="S274" s="24" t="s">
        <v>79</v>
      </c>
      <c r="T274" s="24" t="s">
        <v>61</v>
      </c>
      <c r="U274" s="24" t="s">
        <v>89</v>
      </c>
      <c r="V274" s="34">
        <v>9648541985</v>
      </c>
      <c r="W274" s="24" t="str">
        <f>VLOOKUP(C274,Product_Master!A:F,4,FALSE)</f>
        <v>ABC Corp</v>
      </c>
      <c r="X274" s="34">
        <f>VLOOKUP(C274,Product_Master!A:F,6,FALSE)</f>
        <v>12</v>
      </c>
      <c r="Y274" s="24" t="str">
        <f>VLOOKUP(B274,Custumer_Master!A:D,3,FALSE)</f>
        <v>Silver</v>
      </c>
      <c r="Z274" s="30">
        <f>EDATE(E274,X274)</f>
        <v>46493</v>
      </c>
      <c r="AA274" s="29" t="str">
        <f>VLOOKUP(B274,Custumer_Master!A:K,11,)</f>
        <v>February</v>
      </c>
      <c r="AB274" s="24" t="s">
        <v>2160</v>
      </c>
      <c r="AC274" s="138" t="str">
        <f>PROPER(LEFT(TRIM(F274), 3)) &amp; RIGHT(TRIM(B274), 3) &amp; PROPER(LEFT(TRIM(I274), 2))</f>
        <v>Arj007Hy</v>
      </c>
      <c r="AD274" s="154">
        <f t="shared" ca="1" si="13"/>
        <v>38</v>
      </c>
      <c r="AE274" s="154">
        <f>IFERROR(IF(OR(E274="", D274="", LOWER(TRIM(E274))="pending", LOWER(TRIM(D274))="pending"), "Pending", E274 - D274), "Pending")</f>
        <v>12</v>
      </c>
      <c r="AF274" s="138" t="str">
        <f>IFERROR(IF(OR(E274="", D274="","Pending","Pending"), "Pending", IF((E274 - D274) &lt;= 5, "On Time", "Delayed")), "Pending")</f>
        <v>Delayed</v>
      </c>
      <c r="AG274" s="24" t="str">
        <f t="shared" si="14"/>
        <v>Completed</v>
      </c>
    </row>
    <row r="275" spans="1:33">
      <c r="A275" s="24" t="s">
        <v>1289</v>
      </c>
      <c r="B275" s="24" t="s">
        <v>53</v>
      </c>
      <c r="C275" s="24" t="s">
        <v>222</v>
      </c>
      <c r="D275" s="30">
        <v>45830</v>
      </c>
      <c r="E275" s="30" t="s">
        <v>965</v>
      </c>
      <c r="F275" s="24" t="str">
        <f>VLOOKUP(B275,Custumer_Master!A:D,2,FALSE)</f>
        <v>Pooja Shah</v>
      </c>
      <c r="G275" s="24" t="str">
        <f>VLOOKUP($B275,Custumer_Master!$A:$J,6,FALSE)</f>
        <v>Female</v>
      </c>
      <c r="H275" s="30" t="str">
        <f>VLOOKUP($B275,Custumer_Master!$A:$J,7,FALSE)</f>
        <v>16/09/1994</v>
      </c>
      <c r="I275" s="24" t="str">
        <f>VLOOKUP($B275,Custumer_Master!$A:$J,9,FALSE)</f>
        <v>Bengaluru</v>
      </c>
      <c r="J275" s="24" t="str">
        <f>VLOOKUP($B275,Custumer_Master!$A:$J,10,FALSE)</f>
        <v>South</v>
      </c>
      <c r="K275" s="24" t="str">
        <f>VLOOKUP(B275,Custumer_Master!A:D,4,FALSE)</f>
        <v>WB</v>
      </c>
      <c r="L275" s="24" t="str">
        <f>PROPER(TRIM(VLOOKUP('Final Data'!C275,Product_Master!A:F,3,FALSE)))</f>
        <v>Stationery</v>
      </c>
      <c r="M275" s="24" t="s">
        <v>227</v>
      </c>
      <c r="N275" s="34">
        <v>5</v>
      </c>
      <c r="O275" s="192">
        <f>VLOOKUP(C275,Product_Master!A:F,5,FALSE)</f>
        <v>15</v>
      </c>
      <c r="P275" s="33">
        <v>0.05</v>
      </c>
      <c r="Q275" s="34">
        <f t="shared" si="12"/>
        <v>71.25</v>
      </c>
      <c r="R275" s="34">
        <v>2</v>
      </c>
      <c r="S275" s="24" t="s">
        <v>2148</v>
      </c>
      <c r="T275" s="24" t="s">
        <v>49</v>
      </c>
      <c r="U275" s="24" t="s">
        <v>62</v>
      </c>
      <c r="V275" s="34">
        <v>9175002781</v>
      </c>
      <c r="W275" s="24" t="str">
        <f>VLOOKUP(C275,Product_Master!A:F,4,FALSE)</f>
        <v>Prime Supplies</v>
      </c>
      <c r="X275" s="34">
        <f>VLOOKUP(C275,Product_Master!A:F,6,FALSE)</f>
        <v>12</v>
      </c>
      <c r="Y275" s="24" t="str">
        <f>VLOOKUP(B275,Custumer_Master!A:D,3,FALSE)</f>
        <v>Silver</v>
      </c>
      <c r="Z275" s="30">
        <f>EDATE(E275,X275)</f>
        <v>46201</v>
      </c>
      <c r="AA275" s="29" t="str">
        <f>VLOOKUP(B275,Custumer_Master!A:K,11,)</f>
        <v>September</v>
      </c>
      <c r="AB275" s="24" t="s">
        <v>2160</v>
      </c>
      <c r="AC275" s="138" t="str">
        <f>PROPER(LEFT(TRIM(F275), 3)) &amp; RIGHT(TRIM(B275), 3) &amp; PROPER(LEFT(TRIM(I275), 2))</f>
        <v>Poo010Be</v>
      </c>
      <c r="AD275" s="154">
        <f t="shared" ca="1" si="13"/>
        <v>31</v>
      </c>
      <c r="AE275" s="154">
        <f>IFERROR(IF(OR(E275="", D275="", LOWER(TRIM(E275))="pending", LOWER(TRIM(D275))="pending"), "Pending", E275 - D275), "Pending")</f>
        <v>6</v>
      </c>
      <c r="AF275" s="138" t="str">
        <f>IFERROR(IF(OR(E275="", D275="","Pending","Pending"), "Pending", IF((E275 - D275) &lt;= 5, "On Time", "Delayed")), "Pending")</f>
        <v>Delayed</v>
      </c>
      <c r="AG275" s="24" t="str">
        <f t="shared" si="14"/>
        <v>Completed</v>
      </c>
    </row>
    <row r="276" spans="1:33">
      <c r="A276" s="24" t="s">
        <v>1293</v>
      </c>
      <c r="B276" s="24" t="s">
        <v>221</v>
      </c>
      <c r="C276" s="24" t="s">
        <v>222</v>
      </c>
      <c r="D276" s="30">
        <v>45796</v>
      </c>
      <c r="E276" s="30" t="s">
        <v>1017</v>
      </c>
      <c r="F276" s="24" t="str">
        <f>VLOOKUP(B276,Custumer_Master!A:D,2,FALSE)</f>
        <v>Vikas Mehta</v>
      </c>
      <c r="G276" s="24" t="str">
        <f>VLOOKUP($B276,Custumer_Master!$A:$J,6,FALSE)</f>
        <v>Male</v>
      </c>
      <c r="H276" s="30" t="str">
        <f>VLOOKUP($B276,Custumer_Master!$A:$J,7,FALSE)</f>
        <v>03/08/1991</v>
      </c>
      <c r="I276" s="24" t="str">
        <f>VLOOKUP($B276,Custumer_Master!$A:$J,9,FALSE)</f>
        <v>Mumbai</v>
      </c>
      <c r="J276" s="24" t="str">
        <f>VLOOKUP($B276,Custumer_Master!$A:$J,10,FALSE)</f>
        <v>West</v>
      </c>
      <c r="K276" s="24" t="str">
        <f>VLOOKUP(B276,Custumer_Master!A:D,4,FALSE)</f>
        <v>DL</v>
      </c>
      <c r="L276" s="24" t="str">
        <f>PROPER(TRIM(VLOOKUP('Final Data'!C276,Product_Master!A:F,3,FALSE)))</f>
        <v>Stationery</v>
      </c>
      <c r="M276" s="24" t="s">
        <v>227</v>
      </c>
      <c r="N276" s="34">
        <v>19</v>
      </c>
      <c r="O276" s="192">
        <f>VLOOKUP(C276,Product_Master!A:F,5,FALSE)</f>
        <v>15</v>
      </c>
      <c r="P276" s="33">
        <v>0.2</v>
      </c>
      <c r="Q276" s="34">
        <f t="shared" si="12"/>
        <v>228</v>
      </c>
      <c r="R276" s="34">
        <v>3</v>
      </c>
      <c r="S276" s="24" t="s">
        <v>34</v>
      </c>
      <c r="T276" s="24" t="s">
        <v>35</v>
      </c>
      <c r="U276" s="24" t="s">
        <v>228</v>
      </c>
      <c r="V276" s="34">
        <v>9786241263</v>
      </c>
      <c r="W276" s="24" t="str">
        <f>VLOOKUP(C276,Product_Master!A:F,4,FALSE)</f>
        <v>Prime Supplies</v>
      </c>
      <c r="X276" s="34">
        <f>VLOOKUP(C276,Product_Master!A:F,6,FALSE)</f>
        <v>12</v>
      </c>
      <c r="Y276" s="24" t="str">
        <f>VLOOKUP(B276,Custumer_Master!A:D,3,FALSE)</f>
        <v>Gold</v>
      </c>
      <c r="Z276" s="30">
        <f>EDATE(E276,X276)</f>
        <v>46166</v>
      </c>
      <c r="AA276" s="29" t="str">
        <f>VLOOKUP(B276,Custumer_Master!A:K,11,)</f>
        <v>August</v>
      </c>
      <c r="AB276" s="24" t="s">
        <v>2108</v>
      </c>
      <c r="AC276" s="138" t="str">
        <f>PROPER(LEFT(TRIM(F276), 3)) &amp; RIGHT(TRIM(B276), 3) &amp; PROPER(LEFT(TRIM(I276), 2))</f>
        <v>Vik005Mu</v>
      </c>
      <c r="AD276" s="154">
        <f t="shared" ca="1" si="13"/>
        <v>34</v>
      </c>
      <c r="AE276" s="154">
        <f>IFERROR(IF(OR(E276="", D276="", LOWER(TRIM(E276))="pending", LOWER(TRIM(D276))="pending"), "Pending", E276 - D276), "Pending")</f>
        <v>5</v>
      </c>
      <c r="AF276" s="138" t="str">
        <f>IFERROR(IF(OR(E276="", D276="","Pending","Pending"), "Pending", IF((E276 - D276) &lt;= 5, "On Time", "Delayed")), "Pending")</f>
        <v>On Time</v>
      </c>
      <c r="AG276" s="24" t="str">
        <f t="shared" si="14"/>
        <v>Completed</v>
      </c>
    </row>
    <row r="277" spans="1:33">
      <c r="A277" s="24" t="s">
        <v>1297</v>
      </c>
      <c r="B277" s="24" t="s">
        <v>100</v>
      </c>
      <c r="C277" s="24" t="s">
        <v>259</v>
      </c>
      <c r="D277" s="30">
        <v>45745</v>
      </c>
      <c r="E277" s="30" t="s">
        <v>366</v>
      </c>
      <c r="F277" s="24" t="str">
        <f>VLOOKUP(B277,Custumer_Master!A:D,2,FALSE)</f>
        <v>Priya Patel</v>
      </c>
      <c r="G277" s="24" t="str">
        <f>VLOOKUP($B277,Custumer_Master!$A:$J,6,FALSE)</f>
        <v>Female</v>
      </c>
      <c r="H277" s="30" t="str">
        <f>VLOOKUP($B277,Custumer_Master!$A:$J,7,FALSE)</f>
        <v>07/03/1995</v>
      </c>
      <c r="I277" s="24" t="str">
        <f>VLOOKUP($B277,Custumer_Master!$A:$J,9,FALSE)</f>
        <v>Mumbai</v>
      </c>
      <c r="J277" s="24" t="str">
        <f>VLOOKUP($B277,Custumer_Master!$A:$J,10,FALSE)</f>
        <v>West</v>
      </c>
      <c r="K277" s="24" t="str">
        <f>VLOOKUP(B277,Custumer_Master!A:D,4,FALSE)</f>
        <v>WB</v>
      </c>
      <c r="L277" s="24" t="str">
        <f>PROPER(TRIM(VLOOKUP('Final Data'!C277,Product_Master!A:F,3,FALSE)))</f>
        <v>Stationery</v>
      </c>
      <c r="M277" s="24" t="s">
        <v>263</v>
      </c>
      <c r="N277" s="34">
        <v>17</v>
      </c>
      <c r="O277" s="192">
        <f>VLOOKUP(C277,Product_Master!A:F,5,FALSE)</f>
        <v>33.75</v>
      </c>
      <c r="P277" s="33">
        <v>0.05</v>
      </c>
      <c r="Q277" s="34">
        <f t="shared" si="12"/>
        <v>545.0625</v>
      </c>
      <c r="R277" s="34">
        <v>4</v>
      </c>
      <c r="S277" s="24" t="s">
        <v>34</v>
      </c>
      <c r="T277" s="24" t="s">
        <v>115</v>
      </c>
      <c r="U277" s="24" t="s">
        <v>144</v>
      </c>
      <c r="V277" s="34">
        <v>9691078176</v>
      </c>
      <c r="W277" s="24" t="str">
        <f>VLOOKUP(C277,Product_Master!A:F,4,FALSE)</f>
        <v>TechHub</v>
      </c>
      <c r="X277" s="34">
        <f>VLOOKUP(C277,Product_Master!A:F,6,FALSE)</f>
        <v>12</v>
      </c>
      <c r="Y277" s="24" t="str">
        <f>VLOOKUP(B277,Custumer_Master!A:D,3,FALSE)</f>
        <v>Platinum</v>
      </c>
      <c r="Z277" s="30">
        <f>EDATE(E277,X277)</f>
        <v>46119</v>
      </c>
      <c r="AA277" s="29" t="str">
        <f>VLOOKUP(B277,Custumer_Master!A:K,11,)</f>
        <v>March</v>
      </c>
      <c r="AB277" s="24" t="s">
        <v>2108</v>
      </c>
      <c r="AC277" s="138" t="str">
        <f>PROPER(LEFT(TRIM(F277), 3)) &amp; RIGHT(TRIM(B277), 3) &amp; PROPER(LEFT(TRIM(I277), 2))</f>
        <v>Pri002Mu</v>
      </c>
      <c r="AD277" s="154">
        <f t="shared" ca="1" si="13"/>
        <v>31</v>
      </c>
      <c r="AE277" s="154">
        <f>IFERROR(IF(OR(E277="", D277="", LOWER(TRIM(E277))="pending", LOWER(TRIM(D277))="pending"), "Pending", E277 - D277), "Pending")</f>
        <v>9</v>
      </c>
      <c r="AF277" s="138" t="str">
        <f>IFERROR(IF(OR(E277="", D277="","Pending","Pending"), "Pending", IF((E277 - D277) &lt;= 5, "On Time", "Delayed")), "Pending")</f>
        <v>Delayed</v>
      </c>
      <c r="AG277" s="24" t="str">
        <f t="shared" si="14"/>
        <v>Completed</v>
      </c>
    </row>
    <row r="278" spans="1:33">
      <c r="A278" s="24" t="s">
        <v>1301</v>
      </c>
      <c r="B278" s="24" t="s">
        <v>83</v>
      </c>
      <c r="C278" s="24" t="s">
        <v>184</v>
      </c>
      <c r="D278" s="30">
        <v>46071</v>
      </c>
      <c r="E278" s="30" t="s">
        <v>170</v>
      </c>
      <c r="F278" s="24" t="str">
        <f>VLOOKUP(B278,Custumer_Master!A:D,2,FALSE)</f>
        <v>Arjun Rao</v>
      </c>
      <c r="G278" s="24" t="str">
        <f>VLOOKUP($B278,Custumer_Master!$A:$J,6,FALSE)</f>
        <v>Male</v>
      </c>
      <c r="H278" s="30" t="str">
        <f>VLOOKUP($B278,Custumer_Master!$A:$J,7,FALSE)</f>
        <v>07/02/1988</v>
      </c>
      <c r="I278" s="24" t="str">
        <f>VLOOKUP($B278,Custumer_Master!$A:$J,9,FALSE)</f>
        <v>Hyderabad</v>
      </c>
      <c r="J278" s="24" t="str">
        <f>VLOOKUP($B278,Custumer_Master!$A:$J,10,FALSE)</f>
        <v>South</v>
      </c>
      <c r="K278" s="24" t="str">
        <f>VLOOKUP(B278,Custumer_Master!A:D,4,FALSE)</f>
        <v>RJ</v>
      </c>
      <c r="L278" s="24" t="str">
        <f>PROPER(TRIM(VLOOKUP('Final Data'!C278,Product_Master!A:F,3,FALSE)))</f>
        <v>Electronics</v>
      </c>
      <c r="M278" s="24" t="s">
        <v>189</v>
      </c>
      <c r="N278" s="34">
        <v>8</v>
      </c>
      <c r="O278" s="192">
        <f>VLOOKUP(C278,Product_Master!A:F,5,FALSE)</f>
        <v>525</v>
      </c>
      <c r="P278" s="33">
        <v>0.15</v>
      </c>
      <c r="Q278" s="34">
        <f t="shared" si="12"/>
        <v>3570</v>
      </c>
      <c r="R278" s="34">
        <v>4</v>
      </c>
      <c r="S278" s="24" t="s">
        <v>2148</v>
      </c>
      <c r="T278" s="24" t="s">
        <v>35</v>
      </c>
      <c r="U278" s="24" t="s">
        <v>89</v>
      </c>
      <c r="V278" s="34">
        <v>9336679085</v>
      </c>
      <c r="W278" s="24" t="str">
        <f>VLOOKUP(C278,Product_Master!A:F,4,FALSE)</f>
        <v>TechHub</v>
      </c>
      <c r="X278" s="34">
        <f>VLOOKUP(C278,Product_Master!A:F,6,FALSE)</f>
        <v>24</v>
      </c>
      <c r="Y278" s="24" t="str">
        <f>VLOOKUP(B278,Custumer_Master!A:D,3,FALSE)</f>
        <v>Silver</v>
      </c>
      <c r="Z278" s="30">
        <f>EDATE(E278,X278)</f>
        <v>46805</v>
      </c>
      <c r="AA278" s="29" t="str">
        <f>VLOOKUP(B278,Custumer_Master!A:K,11,)</f>
        <v>February</v>
      </c>
      <c r="AB278" s="24" t="s">
        <v>2108</v>
      </c>
      <c r="AC278" s="138" t="str">
        <f>PROPER(LEFT(TRIM(F278), 3)) &amp; RIGHT(TRIM(B278), 3) &amp; PROPER(LEFT(TRIM(I278), 2))</f>
        <v>Arj007Hy</v>
      </c>
      <c r="AD278" s="154">
        <f t="shared" ca="1" si="13"/>
        <v>38</v>
      </c>
      <c r="AE278" s="154">
        <f>IFERROR(IF(OR(E278="", D278="", LOWER(TRIM(E278))="pending", LOWER(TRIM(D278))="pending"), "Pending", E278 - D278), "Pending")</f>
        <v>4</v>
      </c>
      <c r="AF278" s="138" t="str">
        <f>IFERROR(IF(OR(E278="", D278="","Pending","Pending"), "Pending", IF((E278 - D278) &lt;= 5, "On Time", "Delayed")), "Pending")</f>
        <v>On Time</v>
      </c>
      <c r="AG278" s="24" t="str">
        <f t="shared" si="14"/>
        <v>Completed</v>
      </c>
    </row>
    <row r="279" spans="1:33">
      <c r="A279" s="24" t="s">
        <v>1305</v>
      </c>
      <c r="B279" s="24" t="s">
        <v>168</v>
      </c>
      <c r="C279" s="24" t="s">
        <v>24</v>
      </c>
      <c r="D279" s="30">
        <v>46043</v>
      </c>
      <c r="E279" s="30" t="s">
        <v>1307</v>
      </c>
      <c r="F279" s="24" t="str">
        <f>VLOOKUP(B279,Custumer_Master!A:D,2,FALSE)</f>
        <v>Anita Gupta</v>
      </c>
      <c r="G279" s="24" t="str">
        <f>VLOOKUP($B279,Custumer_Master!$A:$J,6,FALSE)</f>
        <v>Female</v>
      </c>
      <c r="H279" s="30" t="str">
        <f>VLOOKUP($B279,Custumer_Master!$A:$J,7,FALSE)</f>
        <v>16/01/2002</v>
      </c>
      <c r="I279" s="24" t="str">
        <f>VLOOKUP($B279,Custumer_Master!$A:$J,9,FALSE)</f>
        <v>Pune</v>
      </c>
      <c r="J279" s="24" t="str">
        <f>VLOOKUP($B279,Custumer_Master!$A:$J,10,FALSE)</f>
        <v>West</v>
      </c>
      <c r="K279" s="24" t="str">
        <f>VLOOKUP(B279,Custumer_Master!A:D,4,FALSE)</f>
        <v>WB</v>
      </c>
      <c r="L279" s="24" t="str">
        <f>PROPER(TRIM(VLOOKUP('Final Data'!C279,Product_Master!A:F,3,FALSE)))</f>
        <v>Home Appliances</v>
      </c>
      <c r="M279" s="24" t="s">
        <v>33</v>
      </c>
      <c r="N279" s="34">
        <v>15</v>
      </c>
      <c r="O279" s="192">
        <f>VLOOKUP(C279,Product_Master!A:F,5,FALSE)</f>
        <v>1650</v>
      </c>
      <c r="P279" s="33">
        <v>0.1</v>
      </c>
      <c r="Q279" s="34">
        <f t="shared" si="12"/>
        <v>22275</v>
      </c>
      <c r="R279" s="34">
        <v>5</v>
      </c>
      <c r="S279" s="24" t="s">
        <v>2149</v>
      </c>
      <c r="T279" s="24" t="s">
        <v>151</v>
      </c>
      <c r="U279" s="24" t="s">
        <v>175</v>
      </c>
      <c r="V279" s="34">
        <v>9497351043</v>
      </c>
      <c r="W279" s="24" t="str">
        <f>VLOOKUP(C279,Product_Master!A:F,4,FALSE)</f>
        <v>Global Trade</v>
      </c>
      <c r="X279" s="34">
        <f>VLOOKUP(C279,Product_Master!A:F,6,FALSE)</f>
        <v>24</v>
      </c>
      <c r="Y279" s="24" t="str">
        <f>VLOOKUP(B279,Custumer_Master!A:D,3,FALSE)</f>
        <v>Gold</v>
      </c>
      <c r="Z279" s="30">
        <f>EDATE(E279,X279)</f>
        <v>46781</v>
      </c>
      <c r="AA279" s="29" t="str">
        <f>VLOOKUP(B279,Custumer_Master!A:K,11,)</f>
        <v>January</v>
      </c>
      <c r="AB279" s="24" t="s">
        <v>2108</v>
      </c>
      <c r="AC279" s="138" t="str">
        <f>PROPER(LEFT(TRIM(F279), 3)) &amp; RIGHT(TRIM(B279), 3) &amp; PROPER(LEFT(TRIM(I279), 2))</f>
        <v>Ani004Pu</v>
      </c>
      <c r="AD279" s="154">
        <f t="shared" ca="1" si="13"/>
        <v>24</v>
      </c>
      <c r="AE279" s="154">
        <f>IFERROR(IF(OR(E279="", D279="", LOWER(TRIM(E279))="pending", LOWER(TRIM(D279))="pending"), "Pending", E279 - D279), "Pending")</f>
        <v>8</v>
      </c>
      <c r="AF279" s="138" t="str">
        <f>IFERROR(IF(OR(E279="", D279="","Pending","Pending"), "Pending", IF((E279 - D279) &lt;= 5, "On Time", "Delayed")), "Pending")</f>
        <v>Delayed</v>
      </c>
      <c r="AG279" s="24" t="str">
        <f t="shared" si="14"/>
        <v>Completed</v>
      </c>
    </row>
    <row r="280" spans="1:33">
      <c r="A280" s="24" t="s">
        <v>1310</v>
      </c>
      <c r="B280" s="24" t="s">
        <v>100</v>
      </c>
      <c r="C280" s="24" t="s">
        <v>24</v>
      </c>
      <c r="D280" s="30">
        <v>45917</v>
      </c>
      <c r="E280" s="30" t="s">
        <v>1311</v>
      </c>
      <c r="F280" s="24" t="str">
        <f>VLOOKUP(B280,Custumer_Master!A:D,2,FALSE)</f>
        <v>Priya Patel</v>
      </c>
      <c r="G280" s="24" t="str">
        <f>VLOOKUP($B280,Custumer_Master!$A:$J,6,FALSE)</f>
        <v>Female</v>
      </c>
      <c r="H280" s="30" t="str">
        <f>VLOOKUP($B280,Custumer_Master!$A:$J,7,FALSE)</f>
        <v>07/03/1995</v>
      </c>
      <c r="I280" s="24" t="str">
        <f>VLOOKUP($B280,Custumer_Master!$A:$J,9,FALSE)</f>
        <v>Mumbai</v>
      </c>
      <c r="J280" s="24" t="str">
        <f>VLOOKUP($B280,Custumer_Master!$A:$J,10,FALSE)</f>
        <v>West</v>
      </c>
      <c r="K280" s="24" t="str">
        <f>VLOOKUP(B280,Custumer_Master!A:D,4,FALSE)</f>
        <v>WB</v>
      </c>
      <c r="L280" s="24" t="str">
        <f>PROPER(TRIM(VLOOKUP('Final Data'!C280,Product_Master!A:F,3,FALSE)))</f>
        <v>Home Appliances</v>
      </c>
      <c r="M280" s="24" t="s">
        <v>33</v>
      </c>
      <c r="N280" s="34">
        <v>1</v>
      </c>
      <c r="O280" s="192">
        <f>VLOOKUP(C280,Product_Master!A:F,5,FALSE)</f>
        <v>1650</v>
      </c>
      <c r="P280" s="33">
        <v>0</v>
      </c>
      <c r="Q280" s="34">
        <f t="shared" si="12"/>
        <v>1650</v>
      </c>
      <c r="R280" s="34">
        <v>4</v>
      </c>
      <c r="S280" s="24" t="s">
        <v>34</v>
      </c>
      <c r="T280" s="24" t="s">
        <v>49</v>
      </c>
      <c r="U280" s="24" t="s">
        <v>144</v>
      </c>
      <c r="V280" s="34">
        <v>9357038998</v>
      </c>
      <c r="W280" s="24" t="str">
        <f>VLOOKUP(C280,Product_Master!A:F,4,FALSE)</f>
        <v>Global Trade</v>
      </c>
      <c r="X280" s="34">
        <f>VLOOKUP(C280,Product_Master!A:F,6,FALSE)</f>
        <v>24</v>
      </c>
      <c r="Y280" s="24" t="str">
        <f>VLOOKUP(B280,Custumer_Master!A:D,3,FALSE)</f>
        <v>Platinum</v>
      </c>
      <c r="Z280" s="30">
        <f>EDATE(E280,X280)</f>
        <v>46659</v>
      </c>
      <c r="AA280" s="29" t="str">
        <f>VLOOKUP(B280,Custumer_Master!A:K,11,)</f>
        <v>March</v>
      </c>
      <c r="AB280" s="24" t="s">
        <v>2108</v>
      </c>
      <c r="AC280" s="138" t="str">
        <f>PROPER(LEFT(TRIM(F280), 3)) &amp; RIGHT(TRIM(B280), 3) &amp; PROPER(LEFT(TRIM(I280), 2))</f>
        <v>Pri002Mu</v>
      </c>
      <c r="AD280" s="154">
        <f t="shared" ca="1" si="13"/>
        <v>31</v>
      </c>
      <c r="AE280" s="154">
        <f>IFERROR(IF(OR(E280="", D280="", LOWER(TRIM(E280))="pending", LOWER(TRIM(D280))="pending"), "Pending", E280 - D280), "Pending")</f>
        <v>12</v>
      </c>
      <c r="AF280" s="138" t="str">
        <f>IFERROR(IF(OR(E280="", D280="","Pending","Pending"), "Pending", IF((E280 - D280) &lt;= 5, "On Time", "Delayed")), "Pending")</f>
        <v>Delayed</v>
      </c>
      <c r="AG280" s="24" t="str">
        <f t="shared" si="14"/>
        <v>Completed</v>
      </c>
    </row>
    <row r="281" spans="1:33">
      <c r="A281" s="24" t="s">
        <v>1314</v>
      </c>
      <c r="B281" s="24" t="s">
        <v>251</v>
      </c>
      <c r="C281" s="24" t="s">
        <v>92</v>
      </c>
      <c r="D281" s="30">
        <v>45827</v>
      </c>
      <c r="E281" s="30" t="s">
        <v>1315</v>
      </c>
      <c r="F281" s="24" t="str">
        <f>VLOOKUP(B281,Custumer_Master!A:D,2,FALSE)</f>
        <v>Sneha Joshi</v>
      </c>
      <c r="G281" s="24" t="str">
        <f>VLOOKUP($B281,Custumer_Master!$A:$J,6,FALSE)</f>
        <v>Female</v>
      </c>
      <c r="H281" s="30" t="str">
        <f>VLOOKUP($B281,Custumer_Master!$A:$J,7,FALSE)</f>
        <v>04/04/1981</v>
      </c>
      <c r="I281" s="24" t="str">
        <f>VLOOKUP($B281,Custumer_Master!$A:$J,9,FALSE)</f>
        <v>Pune</v>
      </c>
      <c r="J281" s="24" t="str">
        <f>VLOOKUP($B281,Custumer_Master!$A:$J,10,FALSE)</f>
        <v>West</v>
      </c>
      <c r="K281" s="24" t="str">
        <f>VLOOKUP(B281,Custumer_Master!A:D,4,FALSE)</f>
        <v>WB</v>
      </c>
      <c r="L281" s="24" t="str">
        <f>PROPER(TRIM(VLOOKUP('Final Data'!C281,Product_Master!A:F,3,FALSE)))</f>
        <v>Home Appliances</v>
      </c>
      <c r="M281" s="24" t="s">
        <v>97</v>
      </c>
      <c r="N281" s="34">
        <v>10</v>
      </c>
      <c r="O281" s="192">
        <f>VLOOKUP(C281,Product_Master!A:F,5,FALSE)</f>
        <v>2625</v>
      </c>
      <c r="P281" s="33">
        <v>0.1</v>
      </c>
      <c r="Q281" s="34">
        <f t="shared" si="12"/>
        <v>23625</v>
      </c>
      <c r="R281" s="34">
        <v>4</v>
      </c>
      <c r="S281" s="24" t="s">
        <v>2148</v>
      </c>
      <c r="T281" s="24" t="s">
        <v>35</v>
      </c>
      <c r="U281" s="24" t="s">
        <v>256</v>
      </c>
      <c r="V281" s="34">
        <v>9986371291</v>
      </c>
      <c r="W281" s="24" t="str">
        <f>VLOOKUP(C281,Product_Master!A:F,4,FALSE)</f>
        <v>Global Trade</v>
      </c>
      <c r="X281" s="34">
        <f>VLOOKUP(C281,Product_Master!A:F,6,FALSE)</f>
        <v>6</v>
      </c>
      <c r="Y281" s="24" t="str">
        <f>VLOOKUP(B281,Custumer_Master!A:D,3,FALSE)</f>
        <v>Gold</v>
      </c>
      <c r="Z281" s="30">
        <f>EDATE(E281,X281)</f>
        <v>46021</v>
      </c>
      <c r="AA281" s="29" t="str">
        <f>VLOOKUP(B281,Custumer_Master!A:K,11,)</f>
        <v>April</v>
      </c>
      <c r="AB281" s="24" t="s">
        <v>2108</v>
      </c>
      <c r="AC281" s="138" t="str">
        <f>PROPER(LEFT(TRIM(F281), 3)) &amp; RIGHT(TRIM(B281), 3) &amp; PROPER(LEFT(TRIM(I281), 2))</f>
        <v>Sne006Pu</v>
      </c>
      <c r="AD281" s="154">
        <f t="shared" ca="1" si="13"/>
        <v>45</v>
      </c>
      <c r="AE281" s="154">
        <f>IFERROR(IF(OR(E281="", D281="", LOWER(TRIM(E281))="pending", LOWER(TRIM(D281))="pending"), "Pending", E281 - D281), "Pending")</f>
        <v>11</v>
      </c>
      <c r="AF281" s="138" t="str">
        <f>IFERROR(IF(OR(E281="", D281="","Pending","Pending"), "Pending", IF((E281 - D281) &lt;= 5, "On Time", "Delayed")), "Pending")</f>
        <v>Delayed</v>
      </c>
      <c r="AG281" s="24" t="str">
        <f t="shared" si="14"/>
        <v>Completed</v>
      </c>
    </row>
    <row r="282" spans="1:33">
      <c r="A282" s="24" t="s">
        <v>1318</v>
      </c>
      <c r="B282" s="24" t="s">
        <v>71</v>
      </c>
      <c r="C282" s="24" t="s">
        <v>92</v>
      </c>
      <c r="D282" s="30">
        <v>45789</v>
      </c>
      <c r="E282" s="30" t="s">
        <v>1320</v>
      </c>
      <c r="F282" s="24" t="str">
        <f>VLOOKUP(B282,Custumer_Master!A:D,2,FALSE)</f>
        <v>Mohit Verma</v>
      </c>
      <c r="G282" s="24" t="str">
        <f>VLOOKUP($B282,Custumer_Master!$A:$J,6,FALSE)</f>
        <v>Male</v>
      </c>
      <c r="H282" s="30" t="str">
        <f>VLOOKUP($B282,Custumer_Master!$A:$J,7,FALSE)</f>
        <v>13/04/1976</v>
      </c>
      <c r="I282" s="24" t="str">
        <f>VLOOKUP($B282,Custumer_Master!$A:$J,9,FALSE)</f>
        <v>Delhi</v>
      </c>
      <c r="J282" s="24" t="str">
        <f>VLOOKUP($B282,Custumer_Master!$A:$J,10,FALSE)</f>
        <v>North</v>
      </c>
      <c r="K282" s="24" t="str">
        <f>VLOOKUP(B282,Custumer_Master!A:D,4,FALSE)</f>
        <v>KA</v>
      </c>
      <c r="L282" s="24" t="str">
        <f>PROPER(TRIM(VLOOKUP('Final Data'!C282,Product_Master!A:F,3,FALSE)))</f>
        <v>Home Appliances</v>
      </c>
      <c r="M282" s="24" t="s">
        <v>97</v>
      </c>
      <c r="N282" s="34">
        <v>16</v>
      </c>
      <c r="O282" s="192">
        <f>VLOOKUP(C282,Product_Master!A:F,5,FALSE)</f>
        <v>2625</v>
      </c>
      <c r="P282" s="33">
        <v>0.15</v>
      </c>
      <c r="Q282" s="34">
        <f t="shared" si="12"/>
        <v>35700</v>
      </c>
      <c r="R282" s="34">
        <v>1</v>
      </c>
      <c r="S282" s="24" t="s">
        <v>79</v>
      </c>
      <c r="T282" s="24" t="s">
        <v>115</v>
      </c>
      <c r="U282" s="24" t="s">
        <v>80</v>
      </c>
      <c r="V282" s="34">
        <v>9397839191</v>
      </c>
      <c r="W282" s="24" t="str">
        <f>VLOOKUP(C282,Product_Master!A:F,4,FALSE)</f>
        <v>Global Trade</v>
      </c>
      <c r="X282" s="34">
        <f>VLOOKUP(C282,Product_Master!A:F,6,FALSE)</f>
        <v>6</v>
      </c>
      <c r="Y282" s="24" t="str">
        <f>VLOOKUP(B282,Custumer_Master!A:D,3,FALSE)</f>
        <v>Platinum</v>
      </c>
      <c r="Z282" s="30">
        <f>EDATE(E282,X282)</f>
        <v>45977</v>
      </c>
      <c r="AA282" s="29" t="str">
        <f>VLOOKUP(B282,Custumer_Master!A:K,11,)</f>
        <v>April</v>
      </c>
      <c r="AB282" s="24" t="s">
        <v>2160</v>
      </c>
      <c r="AC282" s="138" t="str">
        <f>PROPER(LEFT(TRIM(F282), 3)) &amp; RIGHT(TRIM(B282), 3) &amp; PROPER(LEFT(TRIM(I282), 2))</f>
        <v>Moh009De</v>
      </c>
      <c r="AD282" s="154">
        <f t="shared" ca="1" si="13"/>
        <v>50</v>
      </c>
      <c r="AE282" s="154">
        <f>IFERROR(IF(OR(E282="", D282="", LOWER(TRIM(E282))="pending", LOWER(TRIM(D282))="pending"), "Pending", E282 - D282), "Pending")</f>
        <v>4</v>
      </c>
      <c r="AF282" s="138" t="str">
        <f>IFERROR(IF(OR(E282="", D282="","Pending","Pending"), "Pending", IF((E282 - D282) &lt;= 5, "On Time", "Delayed")), "Pending")</f>
        <v>On Time</v>
      </c>
      <c r="AG282" s="24" t="str">
        <f t="shared" si="14"/>
        <v>Completed</v>
      </c>
    </row>
    <row r="283" spans="1:33">
      <c r="A283" s="24" t="s">
        <v>1323</v>
      </c>
      <c r="B283" s="24" t="s">
        <v>251</v>
      </c>
      <c r="C283" s="24" t="s">
        <v>40</v>
      </c>
      <c r="D283" s="30">
        <v>45906</v>
      </c>
      <c r="E283" s="30" t="s">
        <v>25</v>
      </c>
      <c r="F283" s="24" t="str">
        <f>VLOOKUP(B283,Custumer_Master!A:D,2,FALSE)</f>
        <v>Sneha Joshi</v>
      </c>
      <c r="G283" s="24" t="str">
        <f>VLOOKUP($B283,Custumer_Master!$A:$J,6,FALSE)</f>
        <v>Female</v>
      </c>
      <c r="H283" s="30" t="str">
        <f>VLOOKUP($B283,Custumer_Master!$A:$J,7,FALSE)</f>
        <v>04/04/1981</v>
      </c>
      <c r="I283" s="24" t="str">
        <f>VLOOKUP($B283,Custumer_Master!$A:$J,9,FALSE)</f>
        <v>Pune</v>
      </c>
      <c r="J283" s="24" t="str">
        <f>VLOOKUP($B283,Custumer_Master!$A:$J,10,FALSE)</f>
        <v>West</v>
      </c>
      <c r="K283" s="24" t="str">
        <f>VLOOKUP(B283,Custumer_Master!A:D,4,FALSE)</f>
        <v>WB</v>
      </c>
      <c r="L283" s="24" t="str">
        <f>PROPER(TRIM(VLOOKUP('Final Data'!C283,Product_Master!A:F,3,FALSE)))</f>
        <v>Electronics</v>
      </c>
      <c r="M283" s="24" t="s">
        <v>47</v>
      </c>
      <c r="N283" s="34">
        <v>1</v>
      </c>
      <c r="O283" s="192">
        <f>VLOOKUP(C283,Product_Master!A:F,5,FALSE)</f>
        <v>9000</v>
      </c>
      <c r="P283" s="33">
        <v>0</v>
      </c>
      <c r="Q283" s="34">
        <f t="shared" si="12"/>
        <v>9000</v>
      </c>
      <c r="R283" s="34">
        <v>4</v>
      </c>
      <c r="S283" s="24" t="s">
        <v>2148</v>
      </c>
      <c r="T283" s="24" t="s">
        <v>115</v>
      </c>
      <c r="U283" s="24" t="s">
        <v>256</v>
      </c>
      <c r="V283" s="34">
        <v>9162975843</v>
      </c>
      <c r="W283" s="24" t="str">
        <f>VLOOKUP(C283,Product_Master!A:F,4,FALSE)</f>
        <v>Global Trade</v>
      </c>
      <c r="X283" s="34">
        <f>VLOOKUP(C283,Product_Master!A:F,6,FALSE)</f>
        <v>24</v>
      </c>
      <c r="Y283" s="24" t="str">
        <f>VLOOKUP(B283,Custumer_Master!A:D,3,FALSE)</f>
        <v>Gold</v>
      </c>
      <c r="Z283" s="30">
        <f>EDATE(E283,X283)</f>
        <v>46648</v>
      </c>
      <c r="AA283" s="29" t="str">
        <f>VLOOKUP(B283,Custumer_Master!A:K,11,)</f>
        <v>April</v>
      </c>
      <c r="AB283" s="24" t="s">
        <v>2108</v>
      </c>
      <c r="AC283" s="138" t="str">
        <f>PROPER(LEFT(TRIM(F283), 3)) &amp; RIGHT(TRIM(B283), 3) &amp; PROPER(LEFT(TRIM(I283), 2))</f>
        <v>Sne006Pu</v>
      </c>
      <c r="AD283" s="154">
        <f t="shared" ca="1" si="13"/>
        <v>45</v>
      </c>
      <c r="AE283" s="154">
        <f>IFERROR(IF(OR(E283="", D283="", LOWER(TRIM(E283))="pending", LOWER(TRIM(D283))="pending"), "Pending", E283 - D283), "Pending")</f>
        <v>12</v>
      </c>
      <c r="AF283" s="138" t="str">
        <f>IFERROR(IF(OR(E283="", D283="","Pending","Pending"), "Pending", IF((E283 - D283) &lt;= 5, "On Time", "Delayed")), "Pending")</f>
        <v>Delayed</v>
      </c>
      <c r="AG283" s="24" t="str">
        <f t="shared" si="14"/>
        <v>Completed</v>
      </c>
    </row>
    <row r="284" spans="1:33">
      <c r="A284" s="24" t="s">
        <v>1327</v>
      </c>
      <c r="B284" s="24" t="s">
        <v>83</v>
      </c>
      <c r="C284" s="24" t="s">
        <v>184</v>
      </c>
      <c r="D284" s="30">
        <v>45770</v>
      </c>
      <c r="E284" s="30" t="s">
        <v>606</v>
      </c>
      <c r="F284" s="24" t="str">
        <f>VLOOKUP(B284,Custumer_Master!A:D,2,FALSE)</f>
        <v>Arjun Rao</v>
      </c>
      <c r="G284" s="24" t="str">
        <f>VLOOKUP($B284,Custumer_Master!$A:$J,6,FALSE)</f>
        <v>Male</v>
      </c>
      <c r="H284" s="30" t="str">
        <f>VLOOKUP($B284,Custumer_Master!$A:$J,7,FALSE)</f>
        <v>07/02/1988</v>
      </c>
      <c r="I284" s="24" t="str">
        <f>VLOOKUP($B284,Custumer_Master!$A:$J,9,FALSE)</f>
        <v>Hyderabad</v>
      </c>
      <c r="J284" s="24" t="str">
        <f>VLOOKUP($B284,Custumer_Master!$A:$J,10,FALSE)</f>
        <v>South</v>
      </c>
      <c r="K284" s="24" t="str">
        <f>VLOOKUP(B284,Custumer_Master!A:D,4,FALSE)</f>
        <v>RJ</v>
      </c>
      <c r="L284" s="24" t="str">
        <f>PROPER(TRIM(VLOOKUP('Final Data'!C284,Product_Master!A:F,3,FALSE)))</f>
        <v>Electronics</v>
      </c>
      <c r="M284" s="24" t="s">
        <v>189</v>
      </c>
      <c r="N284" s="34">
        <v>6</v>
      </c>
      <c r="O284" s="192">
        <f>VLOOKUP(C284,Product_Master!A:F,5,FALSE)</f>
        <v>525</v>
      </c>
      <c r="P284" s="33">
        <v>0.2</v>
      </c>
      <c r="Q284" s="34">
        <f t="shared" si="12"/>
        <v>2520</v>
      </c>
      <c r="R284" s="34">
        <v>2</v>
      </c>
      <c r="S284" s="24" t="s">
        <v>2148</v>
      </c>
      <c r="T284" s="24" t="s">
        <v>115</v>
      </c>
      <c r="U284" s="24" t="s">
        <v>89</v>
      </c>
      <c r="V284" s="34">
        <v>9237616558</v>
      </c>
      <c r="W284" s="24" t="str">
        <f>VLOOKUP(C284,Product_Master!A:F,4,FALSE)</f>
        <v>TechHub</v>
      </c>
      <c r="X284" s="34">
        <f>VLOOKUP(C284,Product_Master!A:F,6,FALSE)</f>
        <v>24</v>
      </c>
      <c r="Y284" s="24" t="str">
        <f>VLOOKUP(B284,Custumer_Master!A:D,3,FALSE)</f>
        <v>Silver</v>
      </c>
      <c r="Z284" s="30">
        <f>EDATE(E284,X284)</f>
        <v>46506</v>
      </c>
      <c r="AA284" s="29" t="str">
        <f>VLOOKUP(B284,Custumer_Master!A:K,11,)</f>
        <v>February</v>
      </c>
      <c r="AB284" s="24" t="s">
        <v>2160</v>
      </c>
      <c r="AC284" s="138" t="str">
        <f>PROPER(LEFT(TRIM(F284), 3)) &amp; RIGHT(TRIM(B284), 3) &amp; PROPER(LEFT(TRIM(I284), 2))</f>
        <v>Arj007Hy</v>
      </c>
      <c r="AD284" s="154">
        <f t="shared" ca="1" si="13"/>
        <v>38</v>
      </c>
      <c r="AE284" s="154">
        <f>IFERROR(IF(OR(E284="", D284="", LOWER(TRIM(E284))="pending", LOWER(TRIM(D284))="pending"), "Pending", E284 - D284), "Pending")</f>
        <v>6</v>
      </c>
      <c r="AF284" s="138" t="str">
        <f>IFERROR(IF(OR(E284="", D284="","Pending","Pending"), "Pending", IF((E284 - D284) &lt;= 5, "On Time", "Delayed")), "Pending")</f>
        <v>Delayed</v>
      </c>
      <c r="AG284" s="24" t="str">
        <f t="shared" si="14"/>
        <v>Completed</v>
      </c>
    </row>
    <row r="285" spans="1:33">
      <c r="A285" s="24" t="s">
        <v>1331</v>
      </c>
      <c r="B285" s="24" t="s">
        <v>71</v>
      </c>
      <c r="C285" s="24" t="s">
        <v>24</v>
      </c>
      <c r="D285" s="30">
        <v>46074</v>
      </c>
      <c r="E285" s="30" t="s">
        <v>1332</v>
      </c>
      <c r="F285" s="24" t="str">
        <f>VLOOKUP(B285,Custumer_Master!A:D,2,FALSE)</f>
        <v>Mohit Verma</v>
      </c>
      <c r="G285" s="24" t="str">
        <f>VLOOKUP($B285,Custumer_Master!$A:$J,6,FALSE)</f>
        <v>Male</v>
      </c>
      <c r="H285" s="30" t="str">
        <f>VLOOKUP($B285,Custumer_Master!$A:$J,7,FALSE)</f>
        <v>13/04/1976</v>
      </c>
      <c r="I285" s="24" t="str">
        <f>VLOOKUP($B285,Custumer_Master!$A:$J,9,FALSE)</f>
        <v>Delhi</v>
      </c>
      <c r="J285" s="24" t="str">
        <f>VLOOKUP($B285,Custumer_Master!$A:$J,10,FALSE)</f>
        <v>North</v>
      </c>
      <c r="K285" s="24" t="str">
        <f>VLOOKUP(B285,Custumer_Master!A:D,4,FALSE)</f>
        <v>KA</v>
      </c>
      <c r="L285" s="24" t="str">
        <f>PROPER(TRIM(VLOOKUP('Final Data'!C285,Product_Master!A:F,3,FALSE)))</f>
        <v>Home Appliances</v>
      </c>
      <c r="M285" s="24" t="s">
        <v>33</v>
      </c>
      <c r="N285" s="34">
        <v>3</v>
      </c>
      <c r="O285" s="192">
        <f>VLOOKUP(C285,Product_Master!A:F,5,FALSE)</f>
        <v>1650</v>
      </c>
      <c r="P285" s="33">
        <v>0</v>
      </c>
      <c r="Q285" s="34">
        <f t="shared" si="12"/>
        <v>4950</v>
      </c>
      <c r="R285" s="34">
        <v>4</v>
      </c>
      <c r="S285" s="24" t="s">
        <v>79</v>
      </c>
      <c r="T285" s="24" t="s">
        <v>35</v>
      </c>
      <c r="U285" s="24" t="s">
        <v>80</v>
      </c>
      <c r="V285" s="34">
        <v>9935063989</v>
      </c>
      <c r="W285" s="24" t="str">
        <f>VLOOKUP(C285,Product_Master!A:F,4,FALSE)</f>
        <v>Global Trade</v>
      </c>
      <c r="X285" s="34">
        <f>VLOOKUP(C285,Product_Master!A:F,6,FALSE)</f>
        <v>24</v>
      </c>
      <c r="Y285" s="24" t="str">
        <f>VLOOKUP(B285,Custumer_Master!A:D,3,FALSE)</f>
        <v>Platinum</v>
      </c>
      <c r="Z285" s="30">
        <f>EDATE(E285,X285)</f>
        <v>46810</v>
      </c>
      <c r="AA285" s="29" t="str">
        <f>VLOOKUP(B285,Custumer_Master!A:K,11,)</f>
        <v>April</v>
      </c>
      <c r="AB285" s="24" t="s">
        <v>2108</v>
      </c>
      <c r="AC285" s="138" t="str">
        <f>PROPER(LEFT(TRIM(F285), 3)) &amp; RIGHT(TRIM(B285), 3) &amp; PROPER(LEFT(TRIM(I285), 2))</f>
        <v>Moh009De</v>
      </c>
      <c r="AD285" s="154">
        <f t="shared" ca="1" si="13"/>
        <v>50</v>
      </c>
      <c r="AE285" s="154">
        <f>IFERROR(IF(OR(E285="", D285="", LOWER(TRIM(E285))="pending", LOWER(TRIM(D285))="pending"), "Pending", E285 - D285), "Pending")</f>
        <v>6</v>
      </c>
      <c r="AF285" s="138" t="str">
        <f>IFERROR(IF(OR(E285="", D285="","Pending","Pending"), "Pending", IF((E285 - D285) &lt;= 5, "On Time", "Delayed")), "Pending")</f>
        <v>Delayed</v>
      </c>
      <c r="AG285" s="24" t="str">
        <f t="shared" si="14"/>
        <v>Completed</v>
      </c>
    </row>
    <row r="286" spans="1:33">
      <c r="A286" s="24" t="s">
        <v>1335</v>
      </c>
      <c r="B286" s="24" t="s">
        <v>251</v>
      </c>
      <c r="C286" s="24" t="s">
        <v>259</v>
      </c>
      <c r="D286" s="30">
        <v>46019</v>
      </c>
      <c r="E286" s="30" t="s">
        <v>216</v>
      </c>
      <c r="F286" s="24" t="str">
        <f>VLOOKUP(B286,Custumer_Master!A:D,2,FALSE)</f>
        <v>Sneha Joshi</v>
      </c>
      <c r="G286" s="24" t="str">
        <f>VLOOKUP($B286,Custumer_Master!$A:$J,6,FALSE)</f>
        <v>Female</v>
      </c>
      <c r="H286" s="30" t="str">
        <f>VLOOKUP($B286,Custumer_Master!$A:$J,7,FALSE)</f>
        <v>04/04/1981</v>
      </c>
      <c r="I286" s="24" t="str">
        <f>VLOOKUP($B286,Custumer_Master!$A:$J,9,FALSE)</f>
        <v>Pune</v>
      </c>
      <c r="J286" s="24" t="str">
        <f>VLOOKUP($B286,Custumer_Master!$A:$J,10,FALSE)</f>
        <v>West</v>
      </c>
      <c r="K286" s="24" t="str">
        <f>VLOOKUP(B286,Custumer_Master!A:D,4,FALSE)</f>
        <v>WB</v>
      </c>
      <c r="L286" s="24" t="str">
        <f>PROPER(TRIM(VLOOKUP('Final Data'!C286,Product_Master!A:F,3,FALSE)))</f>
        <v>Stationery</v>
      </c>
      <c r="M286" s="24" t="s">
        <v>263</v>
      </c>
      <c r="N286" s="34">
        <v>6</v>
      </c>
      <c r="O286" s="192">
        <f>VLOOKUP(C286,Product_Master!A:F,5,FALSE)</f>
        <v>33.75</v>
      </c>
      <c r="P286" s="33">
        <v>0.15</v>
      </c>
      <c r="Q286" s="34">
        <f t="shared" si="12"/>
        <v>172.125</v>
      </c>
      <c r="R286" s="34">
        <v>1</v>
      </c>
      <c r="S286" s="24" t="s">
        <v>2149</v>
      </c>
      <c r="T286" s="24" t="s">
        <v>49</v>
      </c>
      <c r="U286" s="24" t="s">
        <v>256</v>
      </c>
      <c r="V286" s="34">
        <v>9167376169</v>
      </c>
      <c r="W286" s="24" t="str">
        <f>VLOOKUP(C286,Product_Master!A:F,4,FALSE)</f>
        <v>TechHub</v>
      </c>
      <c r="X286" s="34">
        <f>VLOOKUP(C286,Product_Master!A:F,6,FALSE)</f>
        <v>12</v>
      </c>
      <c r="Y286" s="24" t="str">
        <f>VLOOKUP(B286,Custumer_Master!A:D,3,FALSE)</f>
        <v>Gold</v>
      </c>
      <c r="Z286" s="30">
        <f>EDATE(E286,X286)</f>
        <v>46388</v>
      </c>
      <c r="AA286" s="29" t="str">
        <f>VLOOKUP(B286,Custumer_Master!A:K,11,)</f>
        <v>April</v>
      </c>
      <c r="AB286" s="24" t="s">
        <v>2160</v>
      </c>
      <c r="AC286" s="138" t="str">
        <f>PROPER(LEFT(TRIM(F286), 3)) &amp; RIGHT(TRIM(B286), 3) &amp; PROPER(LEFT(TRIM(I286), 2))</f>
        <v>Sne006Pu</v>
      </c>
      <c r="AD286" s="154">
        <f t="shared" ca="1" si="13"/>
        <v>45</v>
      </c>
      <c r="AE286" s="154">
        <f>IFERROR(IF(OR(E286="", D286="", LOWER(TRIM(E286))="pending", LOWER(TRIM(D286))="pending"), "Pending", E286 - D286), "Pending")</f>
        <v>4</v>
      </c>
      <c r="AF286" s="138" t="str">
        <f>IFERROR(IF(OR(E286="", D286="","Pending","Pending"), "Pending", IF((E286 - D286) &lt;= 5, "On Time", "Delayed")), "Pending")</f>
        <v>On Time</v>
      </c>
      <c r="AG286" s="24" t="str">
        <f t="shared" si="14"/>
        <v>Completed</v>
      </c>
    </row>
    <row r="287" spans="1:33">
      <c r="A287" s="24" t="s">
        <v>1338</v>
      </c>
      <c r="B287" s="24" t="s">
        <v>251</v>
      </c>
      <c r="C287" s="24" t="s">
        <v>72</v>
      </c>
      <c r="D287" s="30">
        <v>45922</v>
      </c>
      <c r="E287" s="30" t="s">
        <v>1339</v>
      </c>
      <c r="F287" s="24" t="str">
        <f>VLOOKUP(B287,Custumer_Master!A:D,2,FALSE)</f>
        <v>Sneha Joshi</v>
      </c>
      <c r="G287" s="24" t="str">
        <f>VLOOKUP($B287,Custumer_Master!$A:$J,6,FALSE)</f>
        <v>Female</v>
      </c>
      <c r="H287" s="30" t="str">
        <f>VLOOKUP($B287,Custumer_Master!$A:$J,7,FALSE)</f>
        <v>04/04/1981</v>
      </c>
      <c r="I287" s="24" t="str">
        <f>VLOOKUP($B287,Custumer_Master!$A:$J,9,FALSE)</f>
        <v>Pune</v>
      </c>
      <c r="J287" s="24" t="str">
        <f>VLOOKUP($B287,Custumer_Master!$A:$J,10,FALSE)</f>
        <v>West</v>
      </c>
      <c r="K287" s="24" t="str">
        <f>VLOOKUP(B287,Custumer_Master!A:D,4,FALSE)</f>
        <v>WB</v>
      </c>
      <c r="L287" s="24" t="str">
        <f>PROPER(TRIM(VLOOKUP('Final Data'!C287,Product_Master!A:F,3,FALSE)))</f>
        <v>Electronics</v>
      </c>
      <c r="M287" s="24" t="s">
        <v>78</v>
      </c>
      <c r="N287" s="34">
        <v>2</v>
      </c>
      <c r="O287" s="192">
        <f>VLOOKUP(C287,Product_Master!A:F,5,FALSE)</f>
        <v>900</v>
      </c>
      <c r="P287" s="33">
        <v>0</v>
      </c>
      <c r="Q287" s="34">
        <f t="shared" si="12"/>
        <v>1800</v>
      </c>
      <c r="R287" s="34">
        <v>1</v>
      </c>
      <c r="S287" s="24" t="s">
        <v>34</v>
      </c>
      <c r="T287" s="24" t="s">
        <v>151</v>
      </c>
      <c r="U287" s="24" t="s">
        <v>256</v>
      </c>
      <c r="V287" s="34">
        <v>9231845497</v>
      </c>
      <c r="W287" s="24" t="str">
        <f>VLOOKUP(C287,Product_Master!A:F,4,FALSE)</f>
        <v>TechHub</v>
      </c>
      <c r="X287" s="34">
        <f>VLOOKUP(C287,Product_Master!A:F,6,FALSE)</f>
        <v>6</v>
      </c>
      <c r="Y287" s="24" t="str">
        <f>VLOOKUP(B287,Custumer_Master!A:D,3,FALSE)</f>
        <v>Gold</v>
      </c>
      <c r="Z287" s="30">
        <f>EDATE(E287,X287)</f>
        <v>46111</v>
      </c>
      <c r="AA287" s="29" t="str">
        <f>VLOOKUP(B287,Custumer_Master!A:K,11,)</f>
        <v>April</v>
      </c>
      <c r="AB287" s="24" t="s">
        <v>2160</v>
      </c>
      <c r="AC287" s="138" t="str">
        <f>PROPER(LEFT(TRIM(F287), 3)) &amp; RIGHT(TRIM(B287), 3) &amp; PROPER(LEFT(TRIM(I287), 2))</f>
        <v>Sne006Pu</v>
      </c>
      <c r="AD287" s="154">
        <f t="shared" ca="1" si="13"/>
        <v>45</v>
      </c>
      <c r="AE287" s="154">
        <f>IFERROR(IF(OR(E287="", D287="", LOWER(TRIM(E287))="pending", LOWER(TRIM(D287))="pending"), "Pending", E287 - D287), "Pending")</f>
        <v>8</v>
      </c>
      <c r="AF287" s="138" t="str">
        <f>IFERROR(IF(OR(E287="", D287="","Pending","Pending"), "Pending", IF((E287 - D287) &lt;= 5, "On Time", "Delayed")), "Pending")</f>
        <v>Delayed</v>
      </c>
      <c r="AG287" s="24" t="str">
        <f t="shared" si="14"/>
        <v>Completed</v>
      </c>
    </row>
    <row r="288" spans="1:33">
      <c r="A288" s="24" t="s">
        <v>1342</v>
      </c>
      <c r="B288" s="24" t="s">
        <v>168</v>
      </c>
      <c r="C288" s="24" t="s">
        <v>184</v>
      </c>
      <c r="D288" s="30">
        <v>46150</v>
      </c>
      <c r="E288" s="30" t="s">
        <v>1344</v>
      </c>
      <c r="F288" s="24" t="str">
        <f>VLOOKUP(B288,Custumer_Master!A:D,2,FALSE)</f>
        <v>Anita Gupta</v>
      </c>
      <c r="G288" s="24" t="str">
        <f>VLOOKUP($B288,Custumer_Master!$A:$J,6,FALSE)</f>
        <v>Female</v>
      </c>
      <c r="H288" s="30" t="str">
        <f>VLOOKUP($B288,Custumer_Master!$A:$J,7,FALSE)</f>
        <v>16/01/2002</v>
      </c>
      <c r="I288" s="24" t="str">
        <f>VLOOKUP($B288,Custumer_Master!$A:$J,9,FALSE)</f>
        <v>Pune</v>
      </c>
      <c r="J288" s="24" t="str">
        <f>VLOOKUP($B288,Custumer_Master!$A:$J,10,FALSE)</f>
        <v>West</v>
      </c>
      <c r="K288" s="24" t="str">
        <f>VLOOKUP(B288,Custumer_Master!A:D,4,FALSE)</f>
        <v>WB</v>
      </c>
      <c r="L288" s="24" t="str">
        <f>PROPER(TRIM(VLOOKUP('Final Data'!C288,Product_Master!A:F,3,FALSE)))</f>
        <v>Electronics</v>
      </c>
      <c r="M288" s="24" t="s">
        <v>189</v>
      </c>
      <c r="N288" s="34">
        <v>14</v>
      </c>
      <c r="O288" s="192">
        <f>VLOOKUP(C288,Product_Master!A:F,5,FALSE)</f>
        <v>525</v>
      </c>
      <c r="P288" s="33">
        <v>0.15</v>
      </c>
      <c r="Q288" s="34">
        <f t="shared" si="12"/>
        <v>6247.5</v>
      </c>
      <c r="R288" s="34">
        <v>5</v>
      </c>
      <c r="S288" s="24" t="s">
        <v>34</v>
      </c>
      <c r="T288" s="24" t="s">
        <v>115</v>
      </c>
      <c r="U288" s="24" t="s">
        <v>175</v>
      </c>
      <c r="V288" s="34">
        <v>9409415805</v>
      </c>
      <c r="W288" s="24" t="str">
        <f>VLOOKUP(C288,Product_Master!A:F,4,FALSE)</f>
        <v>TechHub</v>
      </c>
      <c r="X288" s="34">
        <f>VLOOKUP(C288,Product_Master!A:F,6,FALSE)</f>
        <v>24</v>
      </c>
      <c r="Y288" s="24" t="str">
        <f>VLOOKUP(B288,Custumer_Master!A:D,3,FALSE)</f>
        <v>Gold</v>
      </c>
      <c r="Z288" s="30">
        <f>EDATE(E288,X288)</f>
        <v>46884</v>
      </c>
      <c r="AA288" s="29" t="str">
        <f>VLOOKUP(B288,Custumer_Master!A:K,11,)</f>
        <v>January</v>
      </c>
      <c r="AB288" s="24" t="s">
        <v>2108</v>
      </c>
      <c r="AC288" s="138" t="str">
        <f>PROPER(LEFT(TRIM(F288), 3)) &amp; RIGHT(TRIM(B288), 3) &amp; PROPER(LEFT(TRIM(I288), 2))</f>
        <v>Ani004Pu</v>
      </c>
      <c r="AD288" s="154">
        <f t="shared" ca="1" si="13"/>
        <v>24</v>
      </c>
      <c r="AE288" s="154">
        <f>IFERROR(IF(OR(E288="", D288="", LOWER(TRIM(E288))="pending", LOWER(TRIM(D288))="pending"), "Pending", E288 - D288), "Pending")</f>
        <v>3</v>
      </c>
      <c r="AF288" s="138" t="str">
        <f>IFERROR(IF(OR(E288="", D288="","Pending","Pending"), "Pending", IF((E288 - D288) &lt;= 5, "On Time", "Delayed")), "Pending")</f>
        <v>On Time</v>
      </c>
      <c r="AG288" s="24" t="str">
        <f t="shared" si="14"/>
        <v>Completed</v>
      </c>
    </row>
    <row r="289" spans="1:33">
      <c r="A289" s="24" t="s">
        <v>1347</v>
      </c>
      <c r="B289" s="24" t="s">
        <v>100</v>
      </c>
      <c r="C289" s="24" t="s">
        <v>222</v>
      </c>
      <c r="D289" s="30">
        <v>45966</v>
      </c>
      <c r="E289" s="30" t="s">
        <v>507</v>
      </c>
      <c r="F289" s="24" t="str">
        <f>VLOOKUP(B289,Custumer_Master!A:D,2,FALSE)</f>
        <v>Priya Patel</v>
      </c>
      <c r="G289" s="24" t="str">
        <f>VLOOKUP($B289,Custumer_Master!$A:$J,6,FALSE)</f>
        <v>Female</v>
      </c>
      <c r="H289" s="30" t="str">
        <f>VLOOKUP($B289,Custumer_Master!$A:$J,7,FALSE)</f>
        <v>07/03/1995</v>
      </c>
      <c r="I289" s="24" t="str">
        <f>VLOOKUP($B289,Custumer_Master!$A:$J,9,FALSE)</f>
        <v>Mumbai</v>
      </c>
      <c r="J289" s="24" t="str">
        <f>VLOOKUP($B289,Custumer_Master!$A:$J,10,FALSE)</f>
        <v>West</v>
      </c>
      <c r="K289" s="24" t="str">
        <f>VLOOKUP(B289,Custumer_Master!A:D,4,FALSE)</f>
        <v>WB</v>
      </c>
      <c r="L289" s="24" t="str">
        <f>PROPER(TRIM(VLOOKUP('Final Data'!C289,Product_Master!A:F,3,FALSE)))</f>
        <v>Stationery</v>
      </c>
      <c r="M289" s="24" t="s">
        <v>227</v>
      </c>
      <c r="N289" s="34">
        <v>13</v>
      </c>
      <c r="O289" s="192">
        <f>VLOOKUP(C289,Product_Master!A:F,5,FALSE)</f>
        <v>15</v>
      </c>
      <c r="P289" s="33">
        <v>0.05</v>
      </c>
      <c r="Q289" s="34">
        <f t="shared" si="12"/>
        <v>185.25</v>
      </c>
      <c r="R289" s="34">
        <v>1</v>
      </c>
      <c r="S289" s="24" t="s">
        <v>79</v>
      </c>
      <c r="T289" s="24" t="s">
        <v>35</v>
      </c>
      <c r="U289" s="24" t="s">
        <v>144</v>
      </c>
      <c r="V289" s="34">
        <v>9240800508</v>
      </c>
      <c r="W289" s="24" t="str">
        <f>VLOOKUP(C289,Product_Master!A:F,4,FALSE)</f>
        <v>Prime Supplies</v>
      </c>
      <c r="X289" s="34">
        <f>VLOOKUP(C289,Product_Master!A:F,6,FALSE)</f>
        <v>12</v>
      </c>
      <c r="Y289" s="24" t="str">
        <f>VLOOKUP(B289,Custumer_Master!A:D,3,FALSE)</f>
        <v>Platinum</v>
      </c>
      <c r="Z289" s="30">
        <f>EDATE(E289,X289)</f>
        <v>46332</v>
      </c>
      <c r="AA289" s="29" t="str">
        <f>VLOOKUP(B289,Custumer_Master!A:K,11,)</f>
        <v>March</v>
      </c>
      <c r="AB289" s="24" t="s">
        <v>2160</v>
      </c>
      <c r="AC289" s="138" t="str">
        <f>PROPER(LEFT(TRIM(F289), 3)) &amp; RIGHT(TRIM(B289), 3) &amp; PROPER(LEFT(TRIM(I289), 2))</f>
        <v>Pri002Mu</v>
      </c>
      <c r="AD289" s="154">
        <f t="shared" ca="1" si="13"/>
        <v>31</v>
      </c>
      <c r="AE289" s="154">
        <f>IFERROR(IF(OR(E289="", D289="", LOWER(TRIM(E289))="pending", LOWER(TRIM(D289))="pending"), "Pending", E289 - D289), "Pending")</f>
        <v>1</v>
      </c>
      <c r="AF289" s="138" t="str">
        <f>IFERROR(IF(OR(E289="", D289="","Pending","Pending"), "Pending", IF((E289 - D289) &lt;= 5, "On Time", "Delayed")), "Pending")</f>
        <v>On Time</v>
      </c>
      <c r="AG289" s="24" t="str">
        <f t="shared" si="14"/>
        <v>Completed</v>
      </c>
    </row>
    <row r="290" spans="1:33">
      <c r="A290" s="24" t="s">
        <v>1351</v>
      </c>
      <c r="B290" s="24" t="s">
        <v>71</v>
      </c>
      <c r="C290" s="24" t="s">
        <v>24</v>
      </c>
      <c r="D290" s="30">
        <v>45724</v>
      </c>
      <c r="E290" s="30" t="s">
        <v>136</v>
      </c>
      <c r="F290" s="24" t="str">
        <f>VLOOKUP(B290,Custumer_Master!A:D,2,FALSE)</f>
        <v>Mohit Verma</v>
      </c>
      <c r="G290" s="24" t="str">
        <f>VLOOKUP($B290,Custumer_Master!$A:$J,6,FALSE)</f>
        <v>Male</v>
      </c>
      <c r="H290" s="30" t="str">
        <f>VLOOKUP($B290,Custumer_Master!$A:$J,7,FALSE)</f>
        <v>13/04/1976</v>
      </c>
      <c r="I290" s="24" t="str">
        <f>VLOOKUP($B290,Custumer_Master!$A:$J,9,FALSE)</f>
        <v>Delhi</v>
      </c>
      <c r="J290" s="24" t="str">
        <f>VLOOKUP($B290,Custumer_Master!$A:$J,10,FALSE)</f>
        <v>North</v>
      </c>
      <c r="K290" s="24" t="str">
        <f>VLOOKUP(B290,Custumer_Master!A:D,4,FALSE)</f>
        <v>KA</v>
      </c>
      <c r="L290" s="24" t="str">
        <f>PROPER(TRIM(VLOOKUP('Final Data'!C290,Product_Master!A:F,3,FALSE)))</f>
        <v>Home Appliances</v>
      </c>
      <c r="M290" s="24" t="s">
        <v>33</v>
      </c>
      <c r="N290" s="34">
        <v>3</v>
      </c>
      <c r="O290" s="192">
        <f>VLOOKUP(C290,Product_Master!A:F,5,FALSE)</f>
        <v>1650</v>
      </c>
      <c r="P290" s="33">
        <v>0</v>
      </c>
      <c r="Q290" s="34">
        <f t="shared" si="12"/>
        <v>4950</v>
      </c>
      <c r="R290" s="34">
        <v>4</v>
      </c>
      <c r="S290" s="24" t="s">
        <v>2148</v>
      </c>
      <c r="T290" s="24" t="s">
        <v>61</v>
      </c>
      <c r="U290" s="24" t="s">
        <v>80</v>
      </c>
      <c r="V290" s="34">
        <v>9764609936</v>
      </c>
      <c r="W290" s="24" t="str">
        <f>VLOOKUP(C290,Product_Master!A:F,4,FALSE)</f>
        <v>Global Trade</v>
      </c>
      <c r="X290" s="34">
        <f>VLOOKUP(C290,Product_Master!A:F,6,FALSE)</f>
        <v>24</v>
      </c>
      <c r="Y290" s="24" t="str">
        <f>VLOOKUP(B290,Custumer_Master!A:D,3,FALSE)</f>
        <v>Platinum</v>
      </c>
      <c r="Z290" s="30">
        <f>EDATE(E290,X290)</f>
        <v>46461</v>
      </c>
      <c r="AA290" s="29" t="str">
        <f>VLOOKUP(B290,Custumer_Master!A:K,11,)</f>
        <v>April</v>
      </c>
      <c r="AB290" s="24" t="s">
        <v>2108</v>
      </c>
      <c r="AC290" s="138" t="str">
        <f>PROPER(LEFT(TRIM(F290), 3)) &amp; RIGHT(TRIM(B290), 3) &amp; PROPER(LEFT(TRIM(I290), 2))</f>
        <v>Moh009De</v>
      </c>
      <c r="AD290" s="154">
        <f t="shared" ca="1" si="13"/>
        <v>50</v>
      </c>
      <c r="AE290" s="154">
        <f>IFERROR(IF(OR(E290="", D290="", LOWER(TRIM(E290))="pending", LOWER(TRIM(D290))="pending"), "Pending", E290 - D290), "Pending")</f>
        <v>7</v>
      </c>
      <c r="AF290" s="138" t="str">
        <f>IFERROR(IF(OR(E290="", D290="","Pending","Pending"), "Pending", IF((E290 - D290) &lt;= 5, "On Time", "Delayed")), "Pending")</f>
        <v>Delayed</v>
      </c>
      <c r="AG290" s="24" t="str">
        <f t="shared" si="14"/>
        <v>Completed</v>
      </c>
    </row>
    <row r="291" spans="1:33">
      <c r="A291" s="24" t="s">
        <v>1354</v>
      </c>
      <c r="B291" s="24" t="s">
        <v>71</v>
      </c>
      <c r="C291" s="24" t="s">
        <v>118</v>
      </c>
      <c r="D291" s="30">
        <v>46062</v>
      </c>
      <c r="E291" s="30" t="s">
        <v>923</v>
      </c>
      <c r="F291" s="24" t="str">
        <f>VLOOKUP(B291,Custumer_Master!A:D,2,FALSE)</f>
        <v>Mohit Verma</v>
      </c>
      <c r="G291" s="24" t="str">
        <f>VLOOKUP($B291,Custumer_Master!$A:$J,6,FALSE)</f>
        <v>Male</v>
      </c>
      <c r="H291" s="30" t="str">
        <f>VLOOKUP($B291,Custumer_Master!$A:$J,7,FALSE)</f>
        <v>13/04/1976</v>
      </c>
      <c r="I291" s="24" t="str">
        <f>VLOOKUP($B291,Custumer_Master!$A:$J,9,FALSE)</f>
        <v>Delhi</v>
      </c>
      <c r="J291" s="24" t="str">
        <f>VLOOKUP($B291,Custumer_Master!$A:$J,10,FALSE)</f>
        <v>North</v>
      </c>
      <c r="K291" s="24" t="str">
        <f>VLOOKUP(B291,Custumer_Master!A:D,4,FALSE)</f>
        <v>KA</v>
      </c>
      <c r="L291" s="24" t="str">
        <f>PROPER(TRIM(VLOOKUP('Final Data'!C291,Product_Master!A:F,3,FALSE)))</f>
        <v>Stationery</v>
      </c>
      <c r="M291" s="24" t="s">
        <v>123</v>
      </c>
      <c r="N291" s="34">
        <v>3</v>
      </c>
      <c r="O291" s="192">
        <f>VLOOKUP(C291,Product_Master!A:F,5,FALSE)</f>
        <v>45</v>
      </c>
      <c r="P291" s="33">
        <v>0.15</v>
      </c>
      <c r="Q291" s="34">
        <f t="shared" si="12"/>
        <v>114.75</v>
      </c>
      <c r="R291" s="34">
        <v>4</v>
      </c>
      <c r="S291" s="24" t="s">
        <v>2149</v>
      </c>
      <c r="T291" s="24" t="s">
        <v>115</v>
      </c>
      <c r="U291" s="24" t="s">
        <v>80</v>
      </c>
      <c r="V291" s="34">
        <v>9362733217</v>
      </c>
      <c r="W291" s="24" t="str">
        <f>VLOOKUP(C291,Product_Master!A:F,4,FALSE)</f>
        <v>ABC Corp</v>
      </c>
      <c r="X291" s="34">
        <f>VLOOKUP(C291,Product_Master!A:F,6,FALSE)</f>
        <v>12</v>
      </c>
      <c r="Y291" s="24" t="str">
        <f>VLOOKUP(B291,Custumer_Master!A:D,3,FALSE)</f>
        <v>Platinum</v>
      </c>
      <c r="Z291" s="30">
        <f>EDATE(E291,X291)</f>
        <v>46439</v>
      </c>
      <c r="AA291" s="29" t="str">
        <f>VLOOKUP(B291,Custumer_Master!A:K,11,)</f>
        <v>April</v>
      </c>
      <c r="AB291" s="24" t="s">
        <v>2108</v>
      </c>
      <c r="AC291" s="138" t="str">
        <f>PROPER(LEFT(TRIM(F291), 3)) &amp; RIGHT(TRIM(B291), 3) &amp; PROPER(LEFT(TRIM(I291), 2))</f>
        <v>Moh009De</v>
      </c>
      <c r="AD291" s="154">
        <f t="shared" ca="1" si="13"/>
        <v>50</v>
      </c>
      <c r="AE291" s="154">
        <f>IFERROR(IF(OR(E291="", D291="", LOWER(TRIM(E291))="pending", LOWER(TRIM(D291))="pending"), "Pending", E291 - D291), "Pending")</f>
        <v>12</v>
      </c>
      <c r="AF291" s="138" t="str">
        <f>IFERROR(IF(OR(E291="", D291="","Pending","Pending"), "Pending", IF((E291 - D291) &lt;= 5, "On Time", "Delayed")), "Pending")</f>
        <v>Delayed</v>
      </c>
      <c r="AG291" s="24" t="str">
        <f t="shared" si="14"/>
        <v>Completed</v>
      </c>
    </row>
    <row r="292" spans="1:33">
      <c r="A292" s="24" t="s">
        <v>1357</v>
      </c>
      <c r="B292" s="24" t="s">
        <v>127</v>
      </c>
      <c r="C292" s="24" t="s">
        <v>92</v>
      </c>
      <c r="D292" s="30">
        <v>45733</v>
      </c>
      <c r="E292" s="30" t="s">
        <v>825</v>
      </c>
      <c r="F292" s="24" t="str">
        <f>VLOOKUP(B292,Custumer_Master!A:D,2,FALSE)</f>
        <v>Rohit Singh</v>
      </c>
      <c r="G292" s="24" t="str">
        <f>VLOOKUP($B292,Custumer_Master!$A:$J,6,FALSE)</f>
        <v>Male</v>
      </c>
      <c r="H292" s="30" t="str">
        <f>VLOOKUP($B292,Custumer_Master!$A:$J,7,FALSE)</f>
        <v>10/05/1982</v>
      </c>
      <c r="I292" s="24" t="str">
        <f>VLOOKUP($B292,Custumer_Master!$A:$J,9,FALSE)</f>
        <v>Delhi</v>
      </c>
      <c r="J292" s="24" t="str">
        <f>VLOOKUP($B292,Custumer_Master!$A:$J,10,FALSE)</f>
        <v>North</v>
      </c>
      <c r="K292" s="24" t="str">
        <f>VLOOKUP(B292,Custumer_Master!A:D,4,FALSE)</f>
        <v>DL</v>
      </c>
      <c r="L292" s="24" t="str">
        <f>PROPER(TRIM(VLOOKUP('Final Data'!C292,Product_Master!A:F,3,FALSE)))</f>
        <v>Home Appliances</v>
      </c>
      <c r="M292" s="24" t="s">
        <v>97</v>
      </c>
      <c r="N292" s="34">
        <v>9</v>
      </c>
      <c r="O292" s="192">
        <f>VLOOKUP(C292,Product_Master!A:F,5,FALSE)</f>
        <v>2625</v>
      </c>
      <c r="P292" s="33">
        <v>0.05</v>
      </c>
      <c r="Q292" s="34">
        <f t="shared" si="12"/>
        <v>22443.75</v>
      </c>
      <c r="R292" s="34">
        <v>1</v>
      </c>
      <c r="S292" s="24" t="s">
        <v>34</v>
      </c>
      <c r="T292" s="24" t="s">
        <v>61</v>
      </c>
      <c r="U292" s="24" t="s">
        <v>132</v>
      </c>
      <c r="V292" s="34">
        <v>9270466205</v>
      </c>
      <c r="W292" s="24" t="str">
        <f>VLOOKUP(C292,Product_Master!A:F,4,FALSE)</f>
        <v>Global Trade</v>
      </c>
      <c r="X292" s="34">
        <f>VLOOKUP(C292,Product_Master!A:F,6,FALSE)</f>
        <v>6</v>
      </c>
      <c r="Y292" s="24" t="str">
        <f>VLOOKUP(B292,Custumer_Master!A:D,3,FALSE)</f>
        <v>Gold</v>
      </c>
      <c r="Z292" s="30">
        <f>EDATE(E292,X292)</f>
        <v>45923</v>
      </c>
      <c r="AA292" s="29" t="str">
        <f>VLOOKUP(B292,Custumer_Master!A:K,11,)</f>
        <v>May</v>
      </c>
      <c r="AB292" s="24" t="s">
        <v>2160</v>
      </c>
      <c r="AC292" s="138" t="str">
        <f>PROPER(LEFT(TRIM(F292), 3)) &amp; RIGHT(TRIM(B292), 3) &amp; PROPER(LEFT(TRIM(I292), 2))</f>
        <v>Roh003De</v>
      </c>
      <c r="AD292" s="154">
        <f t="shared" ca="1" si="13"/>
        <v>44</v>
      </c>
      <c r="AE292" s="154">
        <f>IFERROR(IF(OR(E292="", D292="", LOWER(TRIM(E292))="pending", LOWER(TRIM(D292))="pending"), "Pending", E292 - D292), "Pending")</f>
        <v>6</v>
      </c>
      <c r="AF292" s="138" t="str">
        <f>IFERROR(IF(OR(E292="", D292="","Pending","Pending"), "Pending", IF((E292 - D292) &lt;= 5, "On Time", "Delayed")), "Pending")</f>
        <v>Delayed</v>
      </c>
      <c r="AG292" s="24" t="str">
        <f t="shared" si="14"/>
        <v>Completed</v>
      </c>
    </row>
    <row r="293" spans="1:33">
      <c r="A293" s="24" t="s">
        <v>1359</v>
      </c>
      <c r="B293" s="24" t="s">
        <v>327</v>
      </c>
      <c r="C293" s="24" t="s">
        <v>72</v>
      </c>
      <c r="D293" s="30">
        <v>45743</v>
      </c>
      <c r="E293" s="30" t="s">
        <v>1360</v>
      </c>
      <c r="F293" s="24" t="str">
        <f>VLOOKUP(B293,Custumer_Master!A:D,2,FALSE)</f>
        <v>Amit Sharma</v>
      </c>
      <c r="G293" s="24" t="str">
        <f>VLOOKUP($B293,Custumer_Master!$A:$J,6,FALSE)</f>
        <v>Male</v>
      </c>
      <c r="H293" s="30" t="str">
        <f>VLOOKUP($B293,Custumer_Master!$A:$J,7,FALSE)</f>
        <v>09/08/1991</v>
      </c>
      <c r="I293" s="24" t="str">
        <f>VLOOKUP($B293,Custumer_Master!$A:$J,9,FALSE)</f>
        <v>Pune</v>
      </c>
      <c r="J293" s="24" t="str">
        <f>VLOOKUP($B293,Custumer_Master!$A:$J,10,FALSE)</f>
        <v>West</v>
      </c>
      <c r="K293" s="24" t="str">
        <f>VLOOKUP(B293,Custumer_Master!A:D,4,FALSE)</f>
        <v>RJ</v>
      </c>
      <c r="L293" s="24" t="str">
        <f>PROPER(TRIM(VLOOKUP('Final Data'!C293,Product_Master!A:F,3,FALSE)))</f>
        <v>Electronics</v>
      </c>
      <c r="M293" s="24" t="s">
        <v>78</v>
      </c>
      <c r="N293" s="34">
        <v>5</v>
      </c>
      <c r="O293" s="192">
        <f>VLOOKUP(C293,Product_Master!A:F,5,FALSE)</f>
        <v>900</v>
      </c>
      <c r="P293" s="33">
        <v>0.2</v>
      </c>
      <c r="Q293" s="34">
        <f t="shared" si="12"/>
        <v>3600</v>
      </c>
      <c r="R293" s="34">
        <v>2</v>
      </c>
      <c r="S293" s="24" t="s">
        <v>2149</v>
      </c>
      <c r="T293" s="24" t="s">
        <v>115</v>
      </c>
      <c r="U293" s="24" t="s">
        <v>332</v>
      </c>
      <c r="V293" s="34">
        <v>9571436865</v>
      </c>
      <c r="W293" s="24" t="str">
        <f>VLOOKUP(C293,Product_Master!A:F,4,FALSE)</f>
        <v>TechHub</v>
      </c>
      <c r="X293" s="34">
        <f>VLOOKUP(C293,Product_Master!A:F,6,FALSE)</f>
        <v>6</v>
      </c>
      <c r="Y293" s="24" t="str">
        <f>VLOOKUP(B293,Custumer_Master!A:D,3,FALSE)</f>
        <v>Silver</v>
      </c>
      <c r="Z293" s="30">
        <f>EDATE(E293,X293)</f>
        <v>45931</v>
      </c>
      <c r="AA293" s="29" t="str">
        <f>VLOOKUP(B293,Custumer_Master!A:K,11,)</f>
        <v>August</v>
      </c>
      <c r="AB293" s="24" t="s">
        <v>2160</v>
      </c>
      <c r="AC293" s="138" t="str">
        <f>PROPER(LEFT(TRIM(F293), 3)) &amp; RIGHT(TRIM(B293), 3) &amp; PROPER(LEFT(TRIM(I293), 2))</f>
        <v>Ami001Pu</v>
      </c>
      <c r="AD293" s="154">
        <f t="shared" ca="1" si="13"/>
        <v>34</v>
      </c>
      <c r="AE293" s="154">
        <f>IFERROR(IF(OR(E293="", D293="", LOWER(TRIM(E293))="pending", LOWER(TRIM(D293))="pending"), "Pending", E293 - D293), "Pending")</f>
        <v>5</v>
      </c>
      <c r="AF293" s="138" t="str">
        <f>IFERROR(IF(OR(E293="", D293="","Pending","Pending"), "Pending", IF((E293 - D293) &lt;= 5, "On Time", "Delayed")), "Pending")</f>
        <v>On Time</v>
      </c>
      <c r="AG293" s="24" t="str">
        <f t="shared" si="14"/>
        <v>Completed</v>
      </c>
    </row>
    <row r="294" spans="1:33">
      <c r="A294" s="24" t="s">
        <v>1363</v>
      </c>
      <c r="B294" s="24" t="s">
        <v>53</v>
      </c>
      <c r="C294" s="24" t="s">
        <v>72</v>
      </c>
      <c r="D294" s="30">
        <v>45728</v>
      </c>
      <c r="E294" s="30" t="s">
        <v>910</v>
      </c>
      <c r="F294" s="24" t="str">
        <f>VLOOKUP(B294,Custumer_Master!A:D,2,FALSE)</f>
        <v>Pooja Shah</v>
      </c>
      <c r="G294" s="24" t="str">
        <f>VLOOKUP($B294,Custumer_Master!$A:$J,6,FALSE)</f>
        <v>Female</v>
      </c>
      <c r="H294" s="30" t="str">
        <f>VLOOKUP($B294,Custumer_Master!$A:$J,7,FALSE)</f>
        <v>16/09/1994</v>
      </c>
      <c r="I294" s="24" t="str">
        <f>VLOOKUP($B294,Custumer_Master!$A:$J,9,FALSE)</f>
        <v>Bengaluru</v>
      </c>
      <c r="J294" s="24" t="str">
        <f>VLOOKUP($B294,Custumer_Master!$A:$J,10,FALSE)</f>
        <v>South</v>
      </c>
      <c r="K294" s="24" t="str">
        <f>VLOOKUP(B294,Custumer_Master!A:D,4,FALSE)</f>
        <v>WB</v>
      </c>
      <c r="L294" s="24" t="str">
        <f>PROPER(TRIM(VLOOKUP('Final Data'!C294,Product_Master!A:F,3,FALSE)))</f>
        <v>Electronics</v>
      </c>
      <c r="M294" s="24" t="s">
        <v>78</v>
      </c>
      <c r="N294" s="34">
        <v>10</v>
      </c>
      <c r="O294" s="192">
        <f>VLOOKUP(C294,Product_Master!A:F,5,FALSE)</f>
        <v>900</v>
      </c>
      <c r="P294" s="33">
        <v>0.2</v>
      </c>
      <c r="Q294" s="34">
        <f t="shared" si="12"/>
        <v>7200</v>
      </c>
      <c r="R294" s="34">
        <v>4</v>
      </c>
      <c r="S294" s="24" t="s">
        <v>34</v>
      </c>
      <c r="T294" s="24" t="s">
        <v>49</v>
      </c>
      <c r="U294" s="24" t="s">
        <v>62</v>
      </c>
      <c r="V294" s="34">
        <v>9307011171</v>
      </c>
      <c r="W294" s="24" t="str">
        <f>VLOOKUP(C294,Product_Master!A:F,4,FALSE)</f>
        <v>TechHub</v>
      </c>
      <c r="X294" s="34">
        <f>VLOOKUP(C294,Product_Master!A:F,6,FALSE)</f>
        <v>6</v>
      </c>
      <c r="Y294" s="24" t="str">
        <f>VLOOKUP(B294,Custumer_Master!A:D,3,FALSE)</f>
        <v>Silver</v>
      </c>
      <c r="Z294" s="30">
        <f>EDATE(E294,X294)</f>
        <v>45914</v>
      </c>
      <c r="AA294" s="29" t="str">
        <f>VLOOKUP(B294,Custumer_Master!A:K,11,)</f>
        <v>September</v>
      </c>
      <c r="AB294" s="24" t="s">
        <v>2108</v>
      </c>
      <c r="AC294" s="138" t="str">
        <f>PROPER(LEFT(TRIM(F294), 3)) &amp; RIGHT(TRIM(B294), 3) &amp; PROPER(LEFT(TRIM(I294), 2))</f>
        <v>Poo010Be</v>
      </c>
      <c r="AD294" s="154">
        <f t="shared" ca="1" si="13"/>
        <v>31</v>
      </c>
      <c r="AE294" s="154">
        <f>IFERROR(IF(OR(E294="", D294="", LOWER(TRIM(E294))="pending", LOWER(TRIM(D294))="pending"), "Pending", E294 - D294), "Pending")</f>
        <v>2</v>
      </c>
      <c r="AF294" s="138" t="str">
        <f>IFERROR(IF(OR(E294="", D294="","Pending","Pending"), "Pending", IF((E294 - D294) &lt;= 5, "On Time", "Delayed")), "Pending")</f>
        <v>On Time</v>
      </c>
      <c r="AG294" s="24" t="str">
        <f t="shared" si="14"/>
        <v>Completed</v>
      </c>
    </row>
    <row r="295" spans="1:33">
      <c r="A295" s="24" t="s">
        <v>1367</v>
      </c>
      <c r="B295" s="24" t="s">
        <v>23</v>
      </c>
      <c r="C295" s="24" t="s">
        <v>72</v>
      </c>
      <c r="D295" s="30">
        <v>46066</v>
      </c>
      <c r="E295" s="30" t="s">
        <v>1369</v>
      </c>
      <c r="F295" s="24" t="str">
        <f>VLOOKUP(B295,Custumer_Master!A:D,2,FALSE)</f>
        <v>Kavya Nair</v>
      </c>
      <c r="G295" s="24" t="str">
        <f>VLOOKUP($B295,Custumer_Master!$A:$J,6,FALSE)</f>
        <v>Female</v>
      </c>
      <c r="H295" s="30" t="str">
        <f>VLOOKUP($B295,Custumer_Master!$A:$J,7,FALSE)</f>
        <v>01/08/1976</v>
      </c>
      <c r="I295" s="24" t="str">
        <f>VLOOKUP($B295,Custumer_Master!$A:$J,9,FALSE)</f>
        <v>Hyderabad</v>
      </c>
      <c r="J295" s="24" t="str">
        <f>VLOOKUP($B295,Custumer_Master!$A:$J,10,FALSE)</f>
        <v>South</v>
      </c>
      <c r="K295" s="24" t="str">
        <f>VLOOKUP(B295,Custumer_Master!A:D,4,FALSE)</f>
        <v>WB</v>
      </c>
      <c r="L295" s="24" t="str">
        <f>PROPER(TRIM(VLOOKUP('Final Data'!C295,Product_Master!A:F,3,FALSE)))</f>
        <v>Electronics</v>
      </c>
      <c r="M295" s="24" t="s">
        <v>78</v>
      </c>
      <c r="N295" s="34">
        <v>5</v>
      </c>
      <c r="O295" s="192">
        <f>VLOOKUP(C295,Product_Master!A:F,5,FALSE)</f>
        <v>900</v>
      </c>
      <c r="P295" s="33">
        <v>0.2</v>
      </c>
      <c r="Q295" s="34">
        <f t="shared" si="12"/>
        <v>3600</v>
      </c>
      <c r="R295" s="34">
        <v>3</v>
      </c>
      <c r="S295" s="24" t="s">
        <v>2148</v>
      </c>
      <c r="T295" s="24" t="s">
        <v>151</v>
      </c>
      <c r="U295" s="24" t="s">
        <v>50</v>
      </c>
      <c r="V295" s="34">
        <v>9922380435</v>
      </c>
      <c r="W295" s="24" t="str">
        <f>VLOOKUP(C295,Product_Master!A:F,4,FALSE)</f>
        <v>TechHub</v>
      </c>
      <c r="X295" s="34">
        <f>VLOOKUP(C295,Product_Master!A:F,6,FALSE)</f>
        <v>6</v>
      </c>
      <c r="Y295" s="24" t="str">
        <f>VLOOKUP(B295,Custumer_Master!A:D,3,FALSE)</f>
        <v>Silver</v>
      </c>
      <c r="Z295" s="30">
        <f>EDATE(E295,X295)</f>
        <v>46258</v>
      </c>
      <c r="AA295" s="29" t="str">
        <f>VLOOKUP(B295,Custumer_Master!A:K,11,)</f>
        <v>August</v>
      </c>
      <c r="AB295" s="24" t="s">
        <v>2108</v>
      </c>
      <c r="AC295" s="138" t="str">
        <f>PROPER(LEFT(TRIM(F295), 3)) &amp; RIGHT(TRIM(B295), 3) &amp; PROPER(LEFT(TRIM(I295), 2))</f>
        <v>Kav008Hy</v>
      </c>
      <c r="AD295" s="154">
        <f t="shared" ca="1" si="13"/>
        <v>49</v>
      </c>
      <c r="AE295" s="154">
        <f>IFERROR(IF(OR(E295="", D295="", LOWER(TRIM(E295))="pending", LOWER(TRIM(D295))="pending"), "Pending", E295 - D295), "Pending")</f>
        <v>11</v>
      </c>
      <c r="AF295" s="138" t="str">
        <f>IFERROR(IF(OR(E295="", D295="","Pending","Pending"), "Pending", IF((E295 - D295) &lt;= 5, "On Time", "Delayed")), "Pending")</f>
        <v>Delayed</v>
      </c>
      <c r="AG295" s="24" t="str">
        <f t="shared" si="14"/>
        <v>Completed</v>
      </c>
    </row>
    <row r="296" spans="1:33">
      <c r="A296" s="24" t="s">
        <v>1372</v>
      </c>
      <c r="B296" s="24" t="s">
        <v>168</v>
      </c>
      <c r="C296" s="24" t="s">
        <v>222</v>
      </c>
      <c r="D296" s="30">
        <v>45699</v>
      </c>
      <c r="E296" s="30" t="s">
        <v>1374</v>
      </c>
      <c r="F296" s="24" t="str">
        <f>VLOOKUP(B296,Custumer_Master!A:D,2,FALSE)</f>
        <v>Anita Gupta</v>
      </c>
      <c r="G296" s="24" t="str">
        <f>VLOOKUP($B296,Custumer_Master!$A:$J,6,FALSE)</f>
        <v>Female</v>
      </c>
      <c r="H296" s="30" t="str">
        <f>VLOOKUP($B296,Custumer_Master!$A:$J,7,FALSE)</f>
        <v>16/01/2002</v>
      </c>
      <c r="I296" s="24" t="str">
        <f>VLOOKUP($B296,Custumer_Master!$A:$J,9,FALSE)</f>
        <v>Pune</v>
      </c>
      <c r="J296" s="24" t="str">
        <f>VLOOKUP($B296,Custumer_Master!$A:$J,10,FALSE)</f>
        <v>West</v>
      </c>
      <c r="K296" s="24" t="str">
        <f>VLOOKUP(B296,Custumer_Master!A:D,4,FALSE)</f>
        <v>WB</v>
      </c>
      <c r="L296" s="24" t="str">
        <f>PROPER(TRIM(VLOOKUP('Final Data'!C296,Product_Master!A:F,3,FALSE)))</f>
        <v>Stationery</v>
      </c>
      <c r="M296" s="24" t="s">
        <v>227</v>
      </c>
      <c r="N296" s="34">
        <v>10</v>
      </c>
      <c r="O296" s="192">
        <f>VLOOKUP(C296,Product_Master!A:F,5,FALSE)</f>
        <v>15</v>
      </c>
      <c r="P296" s="33">
        <v>0.05</v>
      </c>
      <c r="Q296" s="34">
        <f t="shared" si="12"/>
        <v>142.5</v>
      </c>
      <c r="R296" s="34">
        <v>4</v>
      </c>
      <c r="S296" s="24" t="s">
        <v>34</v>
      </c>
      <c r="T296" s="24" t="s">
        <v>151</v>
      </c>
      <c r="U296" s="24" t="s">
        <v>175</v>
      </c>
      <c r="V296" s="34">
        <v>9463618792</v>
      </c>
      <c r="W296" s="24" t="str">
        <f>VLOOKUP(C296,Product_Master!A:F,4,FALSE)</f>
        <v>Prime Supplies</v>
      </c>
      <c r="X296" s="34">
        <f>VLOOKUP(C296,Product_Master!A:F,6,FALSE)</f>
        <v>12</v>
      </c>
      <c r="Y296" s="24" t="str">
        <f>VLOOKUP(B296,Custumer_Master!A:D,3,FALSE)</f>
        <v>Gold</v>
      </c>
      <c r="Z296" s="30">
        <f>EDATE(E296,X296)</f>
        <v>46067</v>
      </c>
      <c r="AA296" s="29" t="str">
        <f>VLOOKUP(B296,Custumer_Master!A:K,11,)</f>
        <v>January</v>
      </c>
      <c r="AB296" s="24" t="s">
        <v>2108</v>
      </c>
      <c r="AC296" s="138" t="str">
        <f>PROPER(LEFT(TRIM(F296), 3)) &amp; RIGHT(TRIM(B296), 3) &amp; PROPER(LEFT(TRIM(I296), 2))</f>
        <v>Ani004Pu</v>
      </c>
      <c r="AD296" s="154">
        <f t="shared" ca="1" si="13"/>
        <v>24</v>
      </c>
      <c r="AE296" s="154">
        <f>IFERROR(IF(OR(E296="", D296="", LOWER(TRIM(E296))="pending", LOWER(TRIM(D296))="pending"), "Pending", E296 - D296), "Pending")</f>
        <v>3</v>
      </c>
      <c r="AF296" s="138" t="str">
        <f>IFERROR(IF(OR(E296="", D296="","Pending","Pending"), "Pending", IF((E296 - D296) &lt;= 5, "On Time", "Delayed")), "Pending")</f>
        <v>On Time</v>
      </c>
      <c r="AG296" s="24" t="str">
        <f t="shared" si="14"/>
        <v>Completed</v>
      </c>
    </row>
    <row r="297" spans="1:33">
      <c r="A297" s="24" t="s">
        <v>1377</v>
      </c>
      <c r="B297" s="24" t="s">
        <v>100</v>
      </c>
      <c r="C297" s="24" t="s">
        <v>118</v>
      </c>
      <c r="D297" s="30">
        <v>45674</v>
      </c>
      <c r="E297" s="30" t="s">
        <v>1379</v>
      </c>
      <c r="F297" s="24" t="str">
        <f>VLOOKUP(B297,Custumer_Master!A:D,2,FALSE)</f>
        <v>Priya Patel</v>
      </c>
      <c r="G297" s="24" t="str">
        <f>VLOOKUP($B297,Custumer_Master!$A:$J,6,FALSE)</f>
        <v>Female</v>
      </c>
      <c r="H297" s="30" t="str">
        <f>VLOOKUP($B297,Custumer_Master!$A:$J,7,FALSE)</f>
        <v>07/03/1995</v>
      </c>
      <c r="I297" s="24" t="str">
        <f>VLOOKUP($B297,Custumer_Master!$A:$J,9,FALSE)</f>
        <v>Mumbai</v>
      </c>
      <c r="J297" s="24" t="str">
        <f>VLOOKUP($B297,Custumer_Master!$A:$J,10,FALSE)</f>
        <v>West</v>
      </c>
      <c r="K297" s="24" t="str">
        <f>VLOOKUP(B297,Custumer_Master!A:D,4,FALSE)</f>
        <v>WB</v>
      </c>
      <c r="L297" s="24" t="str">
        <f>PROPER(TRIM(VLOOKUP('Final Data'!C297,Product_Master!A:F,3,FALSE)))</f>
        <v>Stationery</v>
      </c>
      <c r="M297" s="24" t="s">
        <v>123</v>
      </c>
      <c r="N297" s="34">
        <v>20</v>
      </c>
      <c r="O297" s="192">
        <f>VLOOKUP(C297,Product_Master!A:F,5,FALSE)</f>
        <v>45</v>
      </c>
      <c r="P297" s="33">
        <v>0.15</v>
      </c>
      <c r="Q297" s="34">
        <f t="shared" si="12"/>
        <v>765</v>
      </c>
      <c r="R297" s="34">
        <v>5</v>
      </c>
      <c r="S297" s="24" t="s">
        <v>79</v>
      </c>
      <c r="T297" s="24" t="s">
        <v>35</v>
      </c>
      <c r="U297" s="24" t="s">
        <v>144</v>
      </c>
      <c r="V297" s="34">
        <v>9954973200</v>
      </c>
      <c r="W297" s="24" t="str">
        <f>VLOOKUP(C297,Product_Master!A:F,4,FALSE)</f>
        <v>ABC Corp</v>
      </c>
      <c r="X297" s="34">
        <f>VLOOKUP(C297,Product_Master!A:F,6,FALSE)</f>
        <v>12</v>
      </c>
      <c r="Y297" s="24" t="str">
        <f>VLOOKUP(B297,Custumer_Master!A:D,3,FALSE)</f>
        <v>Platinum</v>
      </c>
      <c r="Z297" s="30">
        <f>EDATE(E297,X297)</f>
        <v>46049</v>
      </c>
      <c r="AA297" s="29" t="str">
        <f>VLOOKUP(B297,Custumer_Master!A:K,11,)</f>
        <v>March</v>
      </c>
      <c r="AB297" s="24" t="s">
        <v>2108</v>
      </c>
      <c r="AC297" s="138" t="str">
        <f>PROPER(LEFT(TRIM(F297), 3)) &amp; RIGHT(TRIM(B297), 3) &amp; PROPER(LEFT(TRIM(I297), 2))</f>
        <v>Pri002Mu</v>
      </c>
      <c r="AD297" s="154">
        <f t="shared" ca="1" si="13"/>
        <v>31</v>
      </c>
      <c r="AE297" s="154">
        <f>IFERROR(IF(OR(E297="", D297="", LOWER(TRIM(E297))="pending", LOWER(TRIM(D297))="pending"), "Pending", E297 - D297), "Pending")</f>
        <v>10</v>
      </c>
      <c r="AF297" s="138" t="str">
        <f>IFERROR(IF(OR(E297="", D297="","Pending","Pending"), "Pending", IF((E297 - D297) &lt;= 5, "On Time", "Delayed")), "Pending")</f>
        <v>Delayed</v>
      </c>
      <c r="AG297" s="24" t="str">
        <f t="shared" si="14"/>
        <v>Completed</v>
      </c>
    </row>
    <row r="298" spans="1:33">
      <c r="A298" s="24" t="s">
        <v>1382</v>
      </c>
      <c r="B298" s="24" t="s">
        <v>327</v>
      </c>
      <c r="C298" s="24" t="s">
        <v>24</v>
      </c>
      <c r="D298" s="30">
        <v>45748</v>
      </c>
      <c r="E298" s="30" t="s">
        <v>577</v>
      </c>
      <c r="F298" s="24" t="str">
        <f>VLOOKUP(B298,Custumer_Master!A:D,2,FALSE)</f>
        <v>Amit Sharma</v>
      </c>
      <c r="G298" s="24" t="str">
        <f>VLOOKUP($B298,Custumer_Master!$A:$J,6,FALSE)</f>
        <v>Male</v>
      </c>
      <c r="H298" s="30" t="str">
        <f>VLOOKUP($B298,Custumer_Master!$A:$J,7,FALSE)</f>
        <v>09/08/1991</v>
      </c>
      <c r="I298" s="24" t="str">
        <f>VLOOKUP($B298,Custumer_Master!$A:$J,9,FALSE)</f>
        <v>Pune</v>
      </c>
      <c r="J298" s="24" t="str">
        <f>VLOOKUP($B298,Custumer_Master!$A:$J,10,FALSE)</f>
        <v>West</v>
      </c>
      <c r="K298" s="24" t="str">
        <f>VLOOKUP(B298,Custumer_Master!A:D,4,FALSE)</f>
        <v>RJ</v>
      </c>
      <c r="L298" s="24" t="str">
        <f>PROPER(TRIM(VLOOKUP('Final Data'!C298,Product_Master!A:F,3,FALSE)))</f>
        <v>Home Appliances</v>
      </c>
      <c r="M298" s="24" t="s">
        <v>33</v>
      </c>
      <c r="N298" s="34">
        <v>7</v>
      </c>
      <c r="O298" s="192">
        <f>VLOOKUP(C298,Product_Master!A:F,5,FALSE)</f>
        <v>1650</v>
      </c>
      <c r="P298" s="33">
        <v>0.15</v>
      </c>
      <c r="Q298" s="34">
        <f t="shared" si="12"/>
        <v>9817.5</v>
      </c>
      <c r="R298" s="34">
        <v>4</v>
      </c>
      <c r="S298" s="24" t="s">
        <v>34</v>
      </c>
      <c r="T298" s="24" t="s">
        <v>61</v>
      </c>
      <c r="U298" s="24" t="s">
        <v>332</v>
      </c>
      <c r="V298" s="34">
        <v>9383199236</v>
      </c>
      <c r="W298" s="24" t="str">
        <f>VLOOKUP(C298,Product_Master!A:F,4,FALSE)</f>
        <v>Global Trade</v>
      </c>
      <c r="X298" s="34">
        <f>VLOOKUP(C298,Product_Master!A:F,6,FALSE)</f>
        <v>24</v>
      </c>
      <c r="Y298" s="24" t="str">
        <f>VLOOKUP(B298,Custumer_Master!A:D,3,FALSE)</f>
        <v>Silver</v>
      </c>
      <c r="Z298" s="30">
        <f>EDATE(E298,X298)</f>
        <v>46489</v>
      </c>
      <c r="AA298" s="29" t="str">
        <f>VLOOKUP(B298,Custumer_Master!A:K,11,)</f>
        <v>August</v>
      </c>
      <c r="AB298" s="24" t="s">
        <v>2108</v>
      </c>
      <c r="AC298" s="138" t="str">
        <f>PROPER(LEFT(TRIM(F298), 3)) &amp; RIGHT(TRIM(B298), 3) &amp; PROPER(LEFT(TRIM(I298), 2))</f>
        <v>Ami001Pu</v>
      </c>
      <c r="AD298" s="154">
        <f t="shared" ca="1" si="13"/>
        <v>34</v>
      </c>
      <c r="AE298" s="154">
        <f>IFERROR(IF(OR(E298="", D298="", LOWER(TRIM(E298))="pending", LOWER(TRIM(D298))="pending"), "Pending", E298 - D298), "Pending")</f>
        <v>11</v>
      </c>
      <c r="AF298" s="138" t="str">
        <f>IFERROR(IF(OR(E298="", D298="","Pending","Pending"), "Pending", IF((E298 - D298) &lt;= 5, "On Time", "Delayed")), "Pending")</f>
        <v>Delayed</v>
      </c>
      <c r="AG298" s="24" t="str">
        <f t="shared" si="14"/>
        <v>Completed</v>
      </c>
    </row>
    <row r="299" spans="1:33">
      <c r="A299" s="24" t="s">
        <v>1385</v>
      </c>
      <c r="B299" s="24" t="s">
        <v>127</v>
      </c>
      <c r="C299" s="24" t="s">
        <v>54</v>
      </c>
      <c r="D299" s="30">
        <v>45670</v>
      </c>
      <c r="E299" s="30" t="s">
        <v>760</v>
      </c>
      <c r="F299" s="24" t="str">
        <f>VLOOKUP(B299,Custumer_Master!A:D,2,FALSE)</f>
        <v>Rohit Singh</v>
      </c>
      <c r="G299" s="24" t="str">
        <f>VLOOKUP($B299,Custumer_Master!$A:$J,6,FALSE)</f>
        <v>Male</v>
      </c>
      <c r="H299" s="30" t="str">
        <f>VLOOKUP($B299,Custumer_Master!$A:$J,7,FALSE)</f>
        <v>10/05/1982</v>
      </c>
      <c r="I299" s="24" t="str">
        <f>VLOOKUP($B299,Custumer_Master!$A:$J,9,FALSE)</f>
        <v>Delhi</v>
      </c>
      <c r="J299" s="24" t="str">
        <f>VLOOKUP($B299,Custumer_Master!$A:$J,10,FALSE)</f>
        <v>North</v>
      </c>
      <c r="K299" s="24" t="str">
        <f>VLOOKUP(B299,Custumer_Master!A:D,4,FALSE)</f>
        <v>DL</v>
      </c>
      <c r="L299" s="24" t="str">
        <f>PROPER(TRIM(VLOOKUP('Final Data'!C299,Product_Master!A:F,3,FALSE)))</f>
        <v>Electronics</v>
      </c>
      <c r="M299" s="24" t="s">
        <v>60</v>
      </c>
      <c r="N299" s="34">
        <v>11</v>
      </c>
      <c r="O299" s="192">
        <f>VLOOKUP(C299,Product_Master!A:F,5,FALSE)</f>
        <v>41250</v>
      </c>
      <c r="P299" s="33">
        <v>0.05</v>
      </c>
      <c r="Q299" s="34">
        <f t="shared" si="12"/>
        <v>431062.5</v>
      </c>
      <c r="R299" s="34">
        <v>1</v>
      </c>
      <c r="S299" s="24" t="s">
        <v>2149</v>
      </c>
      <c r="T299" s="24" t="s">
        <v>35</v>
      </c>
      <c r="U299" s="24" t="s">
        <v>132</v>
      </c>
      <c r="V299" s="34">
        <v>9482699727</v>
      </c>
      <c r="W299" s="24" t="str">
        <f>VLOOKUP(C299,Product_Master!A:F,4,FALSE)</f>
        <v>TechHub</v>
      </c>
      <c r="X299" s="34">
        <f>VLOOKUP(C299,Product_Master!A:F,6,FALSE)</f>
        <v>12</v>
      </c>
      <c r="Y299" s="24" t="str">
        <f>VLOOKUP(B299,Custumer_Master!A:D,3,FALSE)</f>
        <v>Gold</v>
      </c>
      <c r="Z299" s="30">
        <f>EDATE(E299,X299)</f>
        <v>46038</v>
      </c>
      <c r="AA299" s="29" t="str">
        <f>VLOOKUP(B299,Custumer_Master!A:K,11,)</f>
        <v>May</v>
      </c>
      <c r="AB299" s="24" t="s">
        <v>2160</v>
      </c>
      <c r="AC299" s="138" t="str">
        <f>PROPER(LEFT(TRIM(F299), 3)) &amp; RIGHT(TRIM(B299), 3) &amp; PROPER(LEFT(TRIM(I299), 2))</f>
        <v>Roh003De</v>
      </c>
      <c r="AD299" s="154">
        <f t="shared" ca="1" si="13"/>
        <v>44</v>
      </c>
      <c r="AE299" s="154">
        <f>IFERROR(IF(OR(E299="", D299="", LOWER(TRIM(E299))="pending", LOWER(TRIM(D299))="pending"), "Pending", E299 - D299), "Pending")</f>
        <v>3</v>
      </c>
      <c r="AF299" s="138" t="str">
        <f>IFERROR(IF(OR(E299="", D299="","Pending","Pending"), "Pending", IF((E299 - D299) &lt;= 5, "On Time", "Delayed")), "Pending")</f>
        <v>On Time</v>
      </c>
      <c r="AG299" s="24" t="str">
        <f t="shared" si="14"/>
        <v>Completed</v>
      </c>
    </row>
    <row r="300" spans="1:33">
      <c r="A300" s="24" t="s">
        <v>1388</v>
      </c>
      <c r="B300" s="24" t="s">
        <v>83</v>
      </c>
      <c r="C300" s="24" t="s">
        <v>92</v>
      </c>
      <c r="D300" s="30">
        <v>45935</v>
      </c>
      <c r="E300" s="30" t="s">
        <v>1389</v>
      </c>
      <c r="F300" s="24" t="str">
        <f>VLOOKUP(B300,Custumer_Master!A:D,2,FALSE)</f>
        <v>Arjun Rao</v>
      </c>
      <c r="G300" s="24" t="str">
        <f>VLOOKUP($B300,Custumer_Master!$A:$J,6,FALSE)</f>
        <v>Male</v>
      </c>
      <c r="H300" s="30" t="str">
        <f>VLOOKUP($B300,Custumer_Master!$A:$J,7,FALSE)</f>
        <v>07/02/1988</v>
      </c>
      <c r="I300" s="24" t="str">
        <f>VLOOKUP($B300,Custumer_Master!$A:$J,9,FALSE)</f>
        <v>Hyderabad</v>
      </c>
      <c r="J300" s="24" t="str">
        <f>VLOOKUP($B300,Custumer_Master!$A:$J,10,FALSE)</f>
        <v>South</v>
      </c>
      <c r="K300" s="24" t="str">
        <f>VLOOKUP(B300,Custumer_Master!A:D,4,FALSE)</f>
        <v>RJ</v>
      </c>
      <c r="L300" s="24" t="str">
        <f>PROPER(TRIM(VLOOKUP('Final Data'!C300,Product_Master!A:F,3,FALSE)))</f>
        <v>Home Appliances</v>
      </c>
      <c r="M300" s="24" t="s">
        <v>97</v>
      </c>
      <c r="N300" s="34">
        <v>12</v>
      </c>
      <c r="O300" s="192">
        <f>VLOOKUP(C300,Product_Master!A:F,5,FALSE)</f>
        <v>2625</v>
      </c>
      <c r="P300" s="33">
        <v>0</v>
      </c>
      <c r="Q300" s="34">
        <f t="shared" si="12"/>
        <v>31500</v>
      </c>
      <c r="R300" s="34">
        <v>2</v>
      </c>
      <c r="S300" s="24" t="s">
        <v>2148</v>
      </c>
      <c r="T300" s="24" t="s">
        <v>2145</v>
      </c>
      <c r="U300" s="24" t="s">
        <v>89</v>
      </c>
      <c r="V300" s="34">
        <v>9332473934</v>
      </c>
      <c r="W300" s="24" t="str">
        <f>VLOOKUP(C300,Product_Master!A:F,4,FALSE)</f>
        <v>Global Trade</v>
      </c>
      <c r="X300" s="34">
        <f>VLOOKUP(C300,Product_Master!A:F,6,FALSE)</f>
        <v>6</v>
      </c>
      <c r="Y300" s="24" t="str">
        <f>VLOOKUP(B300,Custumer_Master!A:D,3,FALSE)</f>
        <v>Silver</v>
      </c>
      <c r="Z300" s="30">
        <f>EDATE(E300,X300)</f>
        <v>46129</v>
      </c>
      <c r="AA300" s="29" t="str">
        <f>VLOOKUP(B300,Custumer_Master!A:K,11,)</f>
        <v>February</v>
      </c>
      <c r="AB300" s="24" t="s">
        <v>2160</v>
      </c>
      <c r="AC300" s="138" t="str">
        <f>PROPER(LEFT(TRIM(F300), 3)) &amp; RIGHT(TRIM(B300), 3) &amp; PROPER(LEFT(TRIM(I300), 2))</f>
        <v>Arj007Hy</v>
      </c>
      <c r="AD300" s="154">
        <f t="shared" ca="1" si="13"/>
        <v>38</v>
      </c>
      <c r="AE300" s="154">
        <f>IFERROR(IF(OR(E300="", D300="", LOWER(TRIM(E300))="pending", LOWER(TRIM(D300))="pending"), "Pending", E300 - D300), "Pending")</f>
        <v>12</v>
      </c>
      <c r="AF300" s="138" t="str">
        <f>IFERROR(IF(OR(E300="", D300="","Pending","Pending"), "Pending", IF((E300 - D300) &lt;= 5, "On Time", "Delayed")), "Pending")</f>
        <v>Delayed</v>
      </c>
      <c r="AG300" s="24" t="str">
        <f t="shared" si="14"/>
        <v>Completed</v>
      </c>
    </row>
    <row r="301" spans="1:33">
      <c r="A301" s="24" t="s">
        <v>1392</v>
      </c>
      <c r="B301" s="24" t="s">
        <v>71</v>
      </c>
      <c r="C301" s="24" t="s">
        <v>259</v>
      </c>
      <c r="D301" s="30">
        <v>46078</v>
      </c>
      <c r="E301" s="30" t="s">
        <v>298</v>
      </c>
      <c r="F301" s="24" t="str">
        <f>VLOOKUP(B301,Custumer_Master!A:D,2,FALSE)</f>
        <v>Mohit Verma</v>
      </c>
      <c r="G301" s="24" t="str">
        <f>VLOOKUP($B301,Custumer_Master!$A:$J,6,FALSE)</f>
        <v>Male</v>
      </c>
      <c r="H301" s="30" t="str">
        <f>VLOOKUP($B301,Custumer_Master!$A:$J,7,FALSE)</f>
        <v>13/04/1976</v>
      </c>
      <c r="I301" s="24" t="str">
        <f>VLOOKUP($B301,Custumer_Master!$A:$J,9,FALSE)</f>
        <v>Delhi</v>
      </c>
      <c r="J301" s="24" t="str">
        <f>VLOOKUP($B301,Custumer_Master!$A:$J,10,FALSE)</f>
        <v>North</v>
      </c>
      <c r="K301" s="24" t="str">
        <f>VLOOKUP(B301,Custumer_Master!A:D,4,FALSE)</f>
        <v>KA</v>
      </c>
      <c r="L301" s="24" t="str">
        <f>PROPER(TRIM(VLOOKUP('Final Data'!C301,Product_Master!A:F,3,FALSE)))</f>
        <v>Stationery</v>
      </c>
      <c r="M301" s="24" t="s">
        <v>263</v>
      </c>
      <c r="N301" s="34">
        <v>15</v>
      </c>
      <c r="O301" s="192">
        <f>VLOOKUP(C301,Product_Master!A:F,5,FALSE)</f>
        <v>33.75</v>
      </c>
      <c r="P301" s="33">
        <v>0.1</v>
      </c>
      <c r="Q301" s="34">
        <f t="shared" si="12"/>
        <v>455.625</v>
      </c>
      <c r="R301" s="34">
        <v>2</v>
      </c>
      <c r="S301" s="24" t="s">
        <v>34</v>
      </c>
      <c r="T301" s="24" t="s">
        <v>151</v>
      </c>
      <c r="U301" s="24" t="s">
        <v>80</v>
      </c>
      <c r="V301" s="34">
        <v>9647657382</v>
      </c>
      <c r="W301" s="24" t="str">
        <f>VLOOKUP(C301,Product_Master!A:F,4,FALSE)</f>
        <v>TechHub</v>
      </c>
      <c r="X301" s="34">
        <f>VLOOKUP(C301,Product_Master!A:F,6,FALSE)</f>
        <v>12</v>
      </c>
      <c r="Y301" s="24" t="str">
        <f>VLOOKUP(B301,Custumer_Master!A:D,3,FALSE)</f>
        <v>Platinum</v>
      </c>
      <c r="Z301" s="30">
        <f>EDATE(E301,X301)</f>
        <v>46454</v>
      </c>
      <c r="AA301" s="29" t="str">
        <f>VLOOKUP(B301,Custumer_Master!A:K,11,)</f>
        <v>April</v>
      </c>
      <c r="AB301" s="24" t="s">
        <v>2160</v>
      </c>
      <c r="AC301" s="138" t="str">
        <f>PROPER(LEFT(TRIM(F301), 3)) &amp; RIGHT(TRIM(B301), 3) &amp; PROPER(LEFT(TRIM(I301), 2))</f>
        <v>Moh009De</v>
      </c>
      <c r="AD301" s="154">
        <f t="shared" ca="1" si="13"/>
        <v>50</v>
      </c>
      <c r="AE301" s="154">
        <f>IFERROR(IF(OR(E301="", D301="", LOWER(TRIM(E301))="pending", LOWER(TRIM(D301))="pending"), "Pending", E301 - D301), "Pending")</f>
        <v>11</v>
      </c>
      <c r="AF301" s="138" t="str">
        <f>IFERROR(IF(OR(E301="", D301="","Pending","Pending"), "Pending", IF((E301 - D301) &lt;= 5, "On Time", "Delayed")), "Pending")</f>
        <v>Delayed</v>
      </c>
      <c r="AG301" s="24" t="str">
        <f t="shared" si="14"/>
        <v>Completed</v>
      </c>
    </row>
    <row r="302" spans="1:33">
      <c r="A302" s="24" t="s">
        <v>1395</v>
      </c>
      <c r="B302" s="24" t="s">
        <v>327</v>
      </c>
      <c r="C302" s="24" t="s">
        <v>259</v>
      </c>
      <c r="D302" s="30">
        <v>45793</v>
      </c>
      <c r="E302" s="30" t="s">
        <v>936</v>
      </c>
      <c r="F302" s="24" t="str">
        <f>VLOOKUP(B302,Custumer_Master!A:D,2,FALSE)</f>
        <v>Amit Sharma</v>
      </c>
      <c r="G302" s="24" t="str">
        <f>VLOOKUP($B302,Custumer_Master!$A:$J,6,FALSE)</f>
        <v>Male</v>
      </c>
      <c r="H302" s="30" t="str">
        <f>VLOOKUP($B302,Custumer_Master!$A:$J,7,FALSE)</f>
        <v>09/08/1991</v>
      </c>
      <c r="I302" s="24" t="str">
        <f>VLOOKUP($B302,Custumer_Master!$A:$J,9,FALSE)</f>
        <v>Pune</v>
      </c>
      <c r="J302" s="24" t="str">
        <f>VLOOKUP($B302,Custumer_Master!$A:$J,10,FALSE)</f>
        <v>West</v>
      </c>
      <c r="K302" s="24" t="str">
        <f>VLOOKUP(B302,Custumer_Master!A:D,4,FALSE)</f>
        <v>RJ</v>
      </c>
      <c r="L302" s="24" t="str">
        <f>PROPER(TRIM(VLOOKUP('Final Data'!C302,Product_Master!A:F,3,FALSE)))</f>
        <v>Stationery</v>
      </c>
      <c r="M302" s="24" t="s">
        <v>263</v>
      </c>
      <c r="N302" s="34">
        <v>13</v>
      </c>
      <c r="O302" s="192">
        <f>VLOOKUP(C302,Product_Master!A:F,5,FALSE)</f>
        <v>33.75</v>
      </c>
      <c r="P302" s="33">
        <v>0</v>
      </c>
      <c r="Q302" s="34">
        <f t="shared" si="12"/>
        <v>438.75</v>
      </c>
      <c r="R302" s="34">
        <v>5</v>
      </c>
      <c r="S302" s="24" t="s">
        <v>2148</v>
      </c>
      <c r="T302" s="24" t="s">
        <v>49</v>
      </c>
      <c r="U302" s="24" t="s">
        <v>332</v>
      </c>
      <c r="V302" s="34">
        <v>9736797776</v>
      </c>
      <c r="W302" s="24" t="str">
        <f>VLOOKUP(C302,Product_Master!A:F,4,FALSE)</f>
        <v>TechHub</v>
      </c>
      <c r="X302" s="34">
        <f>VLOOKUP(C302,Product_Master!A:F,6,FALSE)</f>
        <v>12</v>
      </c>
      <c r="Y302" s="24" t="str">
        <f>VLOOKUP(B302,Custumer_Master!A:D,3,FALSE)</f>
        <v>Silver</v>
      </c>
      <c r="Z302" s="30">
        <f>EDATE(E302,X302)</f>
        <v>46168</v>
      </c>
      <c r="AA302" s="29" t="str">
        <f>VLOOKUP(B302,Custumer_Master!A:K,11,)</f>
        <v>August</v>
      </c>
      <c r="AB302" s="24" t="s">
        <v>2108</v>
      </c>
      <c r="AC302" s="138" t="str">
        <f>PROPER(LEFT(TRIM(F302), 3)) &amp; RIGHT(TRIM(B302), 3) &amp; PROPER(LEFT(TRIM(I302), 2))</f>
        <v>Ami001Pu</v>
      </c>
      <c r="AD302" s="154">
        <f t="shared" ca="1" si="13"/>
        <v>34</v>
      </c>
      <c r="AE302" s="154">
        <f>IFERROR(IF(OR(E302="", D302="", LOWER(TRIM(E302))="pending", LOWER(TRIM(D302))="pending"), "Pending", E302 - D302), "Pending")</f>
        <v>10</v>
      </c>
      <c r="AF302" s="138" t="str">
        <f>IFERROR(IF(OR(E302="", D302="","Pending","Pending"), "Pending", IF((E302 - D302) &lt;= 5, "On Time", "Delayed")), "Pending")</f>
        <v>Delayed</v>
      </c>
      <c r="AG302" s="24" t="str">
        <f t="shared" si="14"/>
        <v>Completed</v>
      </c>
    </row>
    <row r="303" spans="1:33">
      <c r="A303" s="24" t="s">
        <v>1398</v>
      </c>
      <c r="B303" s="24" t="s">
        <v>127</v>
      </c>
      <c r="C303" s="24" t="s">
        <v>54</v>
      </c>
      <c r="D303" s="30">
        <v>46024</v>
      </c>
      <c r="E303" s="30" t="s">
        <v>1199</v>
      </c>
      <c r="F303" s="24" t="str">
        <f>VLOOKUP(B303,Custumer_Master!A:D,2,FALSE)</f>
        <v>Rohit Singh</v>
      </c>
      <c r="G303" s="24" t="str">
        <f>VLOOKUP($B303,Custumer_Master!$A:$J,6,FALSE)</f>
        <v>Male</v>
      </c>
      <c r="H303" s="30" t="str">
        <f>VLOOKUP($B303,Custumer_Master!$A:$J,7,FALSE)</f>
        <v>10/05/1982</v>
      </c>
      <c r="I303" s="24" t="str">
        <f>VLOOKUP($B303,Custumer_Master!$A:$J,9,FALSE)</f>
        <v>Delhi</v>
      </c>
      <c r="J303" s="24" t="str">
        <f>VLOOKUP($B303,Custumer_Master!$A:$J,10,FALSE)</f>
        <v>North</v>
      </c>
      <c r="K303" s="24" t="str">
        <f>VLOOKUP(B303,Custumer_Master!A:D,4,FALSE)</f>
        <v>DL</v>
      </c>
      <c r="L303" s="24" t="str">
        <f>PROPER(TRIM(VLOOKUP('Final Data'!C303,Product_Master!A:F,3,FALSE)))</f>
        <v>Electronics</v>
      </c>
      <c r="M303" s="24" t="s">
        <v>60</v>
      </c>
      <c r="N303" s="34">
        <v>8</v>
      </c>
      <c r="O303" s="192">
        <f>VLOOKUP(C303,Product_Master!A:F,5,FALSE)</f>
        <v>41250</v>
      </c>
      <c r="P303" s="33">
        <v>0</v>
      </c>
      <c r="Q303" s="34">
        <f t="shared" si="12"/>
        <v>330000</v>
      </c>
      <c r="R303" s="34">
        <v>2</v>
      </c>
      <c r="S303" s="24" t="s">
        <v>2149</v>
      </c>
      <c r="T303" s="24" t="s">
        <v>151</v>
      </c>
      <c r="U303" s="24" t="s">
        <v>132</v>
      </c>
      <c r="V303" s="34">
        <v>9745773533</v>
      </c>
      <c r="W303" s="24" t="str">
        <f>VLOOKUP(C303,Product_Master!A:F,4,FALSE)</f>
        <v>TechHub</v>
      </c>
      <c r="X303" s="34">
        <f>VLOOKUP(C303,Product_Master!A:F,6,FALSE)</f>
        <v>12</v>
      </c>
      <c r="Y303" s="24" t="str">
        <f>VLOOKUP(B303,Custumer_Master!A:D,3,FALSE)</f>
        <v>Gold</v>
      </c>
      <c r="Z303" s="30">
        <f>EDATE(E303,X303)</f>
        <v>46392</v>
      </c>
      <c r="AA303" s="29" t="str">
        <f>VLOOKUP(B303,Custumer_Master!A:K,11,)</f>
        <v>May</v>
      </c>
      <c r="AB303" s="24" t="s">
        <v>2160</v>
      </c>
      <c r="AC303" s="138" t="str">
        <f>PROPER(LEFT(TRIM(F303), 3)) &amp; RIGHT(TRIM(B303), 3) &amp; PROPER(LEFT(TRIM(I303), 2))</f>
        <v>Roh003De</v>
      </c>
      <c r="AD303" s="154">
        <f t="shared" ca="1" si="13"/>
        <v>44</v>
      </c>
      <c r="AE303" s="154">
        <f>IFERROR(IF(OR(E303="", D303="", LOWER(TRIM(E303))="pending", LOWER(TRIM(D303))="pending"), "Pending", E303 - D303), "Pending")</f>
        <v>3</v>
      </c>
      <c r="AF303" s="138" t="str">
        <f>IFERROR(IF(OR(E303="", D303="","Pending","Pending"), "Pending", IF((E303 - D303) &lt;= 5, "On Time", "Delayed")), "Pending")</f>
        <v>On Time</v>
      </c>
      <c r="AG303" s="24" t="str">
        <f t="shared" si="14"/>
        <v>Completed</v>
      </c>
    </row>
    <row r="304" spans="1:33">
      <c r="A304" s="24" t="s">
        <v>1401</v>
      </c>
      <c r="B304" s="24" t="s">
        <v>251</v>
      </c>
      <c r="C304" s="24" t="s">
        <v>54</v>
      </c>
      <c r="D304" s="30">
        <v>45861</v>
      </c>
      <c r="E304" s="30" t="s">
        <v>381</v>
      </c>
      <c r="F304" s="24" t="str">
        <f>VLOOKUP(B304,Custumer_Master!A:D,2,FALSE)</f>
        <v>Sneha Joshi</v>
      </c>
      <c r="G304" s="24" t="str">
        <f>VLOOKUP($B304,Custumer_Master!$A:$J,6,FALSE)</f>
        <v>Female</v>
      </c>
      <c r="H304" s="30" t="str">
        <f>VLOOKUP($B304,Custumer_Master!$A:$J,7,FALSE)</f>
        <v>04/04/1981</v>
      </c>
      <c r="I304" s="24" t="str">
        <f>VLOOKUP($B304,Custumer_Master!$A:$J,9,FALSE)</f>
        <v>Pune</v>
      </c>
      <c r="J304" s="24" t="str">
        <f>VLOOKUP($B304,Custumer_Master!$A:$J,10,FALSE)</f>
        <v>West</v>
      </c>
      <c r="K304" s="24" t="str">
        <f>VLOOKUP(B304,Custumer_Master!A:D,4,FALSE)</f>
        <v>WB</v>
      </c>
      <c r="L304" s="24" t="str">
        <f>PROPER(TRIM(VLOOKUP('Final Data'!C304,Product_Master!A:F,3,FALSE)))</f>
        <v>Electronics</v>
      </c>
      <c r="M304" s="24" t="s">
        <v>60</v>
      </c>
      <c r="N304" s="34">
        <v>4</v>
      </c>
      <c r="O304" s="192">
        <f>VLOOKUP(C304,Product_Master!A:F,5,FALSE)</f>
        <v>41250</v>
      </c>
      <c r="P304" s="33">
        <v>0.2</v>
      </c>
      <c r="Q304" s="34">
        <f t="shared" si="12"/>
        <v>132000</v>
      </c>
      <c r="R304" s="34">
        <v>5</v>
      </c>
      <c r="S304" s="24" t="s">
        <v>34</v>
      </c>
      <c r="T304" s="24" t="s">
        <v>49</v>
      </c>
      <c r="U304" s="24" t="s">
        <v>256</v>
      </c>
      <c r="V304" s="34">
        <v>9246715757</v>
      </c>
      <c r="W304" s="24" t="str">
        <f>VLOOKUP(C304,Product_Master!A:F,4,FALSE)</f>
        <v>TechHub</v>
      </c>
      <c r="X304" s="34">
        <f>VLOOKUP(C304,Product_Master!A:F,6,FALSE)</f>
        <v>12</v>
      </c>
      <c r="Y304" s="24" t="str">
        <f>VLOOKUP(B304,Custumer_Master!A:D,3,FALSE)</f>
        <v>Gold</v>
      </c>
      <c r="Z304" s="30">
        <f>EDATE(E304,X304)</f>
        <v>46230</v>
      </c>
      <c r="AA304" s="29" t="str">
        <f>VLOOKUP(B304,Custumer_Master!A:K,11,)</f>
        <v>April</v>
      </c>
      <c r="AB304" s="24" t="s">
        <v>2112</v>
      </c>
      <c r="AC304" s="138" t="str">
        <f>PROPER(LEFT(TRIM(F304), 3)) &amp; RIGHT(TRIM(B304), 3) &amp; PROPER(LEFT(TRIM(I304), 2))</f>
        <v>Sne006Pu</v>
      </c>
      <c r="AD304" s="154">
        <f t="shared" ca="1" si="13"/>
        <v>45</v>
      </c>
      <c r="AE304" s="154">
        <f>IFERROR(IF(OR(E304="", D304="", LOWER(TRIM(E304))="pending", LOWER(TRIM(D304))="pending"), "Pending", E304 - D304), "Pending")</f>
        <v>4</v>
      </c>
      <c r="AF304" s="138" t="str">
        <f>IFERROR(IF(OR(E304="", D304="","Pending","Pending"), "Pending", IF((E304 - D304) &lt;= 5, "On Time", "Delayed")), "Pending")</f>
        <v>On Time</v>
      </c>
      <c r="AG304" s="24" t="str">
        <f t="shared" si="14"/>
        <v>Completed</v>
      </c>
    </row>
    <row r="305" spans="1:33">
      <c r="A305" s="24" t="s">
        <v>1404</v>
      </c>
      <c r="B305" s="24" t="s">
        <v>23</v>
      </c>
      <c r="C305" s="24" t="s">
        <v>92</v>
      </c>
      <c r="D305" s="30">
        <v>46135</v>
      </c>
      <c r="E305" s="30" t="s">
        <v>716</v>
      </c>
      <c r="F305" s="24" t="str">
        <f>VLOOKUP(B305,Custumer_Master!A:D,2,FALSE)</f>
        <v>Kavya Nair</v>
      </c>
      <c r="G305" s="24" t="str">
        <f>VLOOKUP($B305,Custumer_Master!$A:$J,6,FALSE)</f>
        <v>Female</v>
      </c>
      <c r="H305" s="30" t="str">
        <f>VLOOKUP($B305,Custumer_Master!$A:$J,7,FALSE)</f>
        <v>01/08/1976</v>
      </c>
      <c r="I305" s="24" t="str">
        <f>VLOOKUP($B305,Custumer_Master!$A:$J,9,FALSE)</f>
        <v>Hyderabad</v>
      </c>
      <c r="J305" s="24" t="str">
        <f>VLOOKUP($B305,Custumer_Master!$A:$J,10,FALSE)</f>
        <v>South</v>
      </c>
      <c r="K305" s="24" t="str">
        <f>VLOOKUP(B305,Custumer_Master!A:D,4,FALSE)</f>
        <v>WB</v>
      </c>
      <c r="L305" s="24" t="str">
        <f>PROPER(TRIM(VLOOKUP('Final Data'!C305,Product_Master!A:F,3,FALSE)))</f>
        <v>Home Appliances</v>
      </c>
      <c r="M305" s="24" t="s">
        <v>97</v>
      </c>
      <c r="N305" s="34">
        <v>19</v>
      </c>
      <c r="O305" s="192">
        <f>VLOOKUP(C305,Product_Master!A:F,5,FALSE)</f>
        <v>2625</v>
      </c>
      <c r="P305" s="33">
        <v>0.05</v>
      </c>
      <c r="Q305" s="34">
        <f t="shared" si="12"/>
        <v>47381.25</v>
      </c>
      <c r="R305" s="34">
        <v>1</v>
      </c>
      <c r="S305" s="24" t="s">
        <v>79</v>
      </c>
      <c r="T305" s="24" t="s">
        <v>115</v>
      </c>
      <c r="U305" s="24" t="s">
        <v>50</v>
      </c>
      <c r="V305" s="34">
        <v>9904065774</v>
      </c>
      <c r="W305" s="24" t="str">
        <f>VLOOKUP(C305,Product_Master!A:F,4,FALSE)</f>
        <v>Global Trade</v>
      </c>
      <c r="X305" s="34">
        <f>VLOOKUP(C305,Product_Master!A:F,6,FALSE)</f>
        <v>6</v>
      </c>
      <c r="Y305" s="24" t="str">
        <f>VLOOKUP(B305,Custumer_Master!A:D,3,FALSE)</f>
        <v>Silver</v>
      </c>
      <c r="Z305" s="30">
        <f>EDATE(E305,X305)</f>
        <v>46321</v>
      </c>
      <c r="AA305" s="29" t="str">
        <f>VLOOKUP(B305,Custumer_Master!A:K,11,)</f>
        <v>August</v>
      </c>
      <c r="AB305" s="24" t="s">
        <v>2160</v>
      </c>
      <c r="AC305" s="138" t="str">
        <f>PROPER(LEFT(TRIM(F305), 3)) &amp; RIGHT(TRIM(B305), 3) &amp; PROPER(LEFT(TRIM(I305), 2))</f>
        <v>Kav008Hy</v>
      </c>
      <c r="AD305" s="154">
        <f t="shared" ca="1" si="13"/>
        <v>49</v>
      </c>
      <c r="AE305" s="154">
        <f>IFERROR(IF(OR(E305="", D305="", LOWER(TRIM(E305))="pending", LOWER(TRIM(D305))="pending"), "Pending", E305 - D305), "Pending")</f>
        <v>3</v>
      </c>
      <c r="AF305" s="138" t="str">
        <f>IFERROR(IF(OR(E305="", D305="","Pending","Pending"), "Pending", IF((E305 - D305) &lt;= 5, "On Time", "Delayed")), "Pending")</f>
        <v>On Time</v>
      </c>
      <c r="AG305" s="24" t="str">
        <f t="shared" si="14"/>
        <v>Completed</v>
      </c>
    </row>
    <row r="306" spans="1:33">
      <c r="A306" s="24" t="s">
        <v>1408</v>
      </c>
      <c r="B306" s="24" t="s">
        <v>221</v>
      </c>
      <c r="C306" s="24" t="s">
        <v>72</v>
      </c>
      <c r="D306" s="30">
        <v>45718</v>
      </c>
      <c r="E306" s="30" t="s">
        <v>414</v>
      </c>
      <c r="F306" s="24" t="str">
        <f>VLOOKUP(B306,Custumer_Master!A:D,2,FALSE)</f>
        <v>Vikas Mehta</v>
      </c>
      <c r="G306" s="24" t="str">
        <f>VLOOKUP($B306,Custumer_Master!$A:$J,6,FALSE)</f>
        <v>Male</v>
      </c>
      <c r="H306" s="30" t="str">
        <f>VLOOKUP($B306,Custumer_Master!$A:$J,7,FALSE)</f>
        <v>03/08/1991</v>
      </c>
      <c r="I306" s="24" t="str">
        <f>VLOOKUP($B306,Custumer_Master!$A:$J,9,FALSE)</f>
        <v>Mumbai</v>
      </c>
      <c r="J306" s="24" t="str">
        <f>VLOOKUP($B306,Custumer_Master!$A:$J,10,FALSE)</f>
        <v>West</v>
      </c>
      <c r="K306" s="24" t="str">
        <f>VLOOKUP(B306,Custumer_Master!A:D,4,FALSE)</f>
        <v>DL</v>
      </c>
      <c r="L306" s="24" t="str">
        <f>PROPER(TRIM(VLOOKUP('Final Data'!C306,Product_Master!A:F,3,FALSE)))</f>
        <v>Electronics</v>
      </c>
      <c r="M306" s="24" t="s">
        <v>78</v>
      </c>
      <c r="N306" s="34">
        <v>17</v>
      </c>
      <c r="O306" s="192">
        <f>VLOOKUP(C306,Product_Master!A:F,5,FALSE)</f>
        <v>900</v>
      </c>
      <c r="P306" s="33">
        <v>0.15</v>
      </c>
      <c r="Q306" s="34">
        <f t="shared" si="12"/>
        <v>13005</v>
      </c>
      <c r="R306" s="34">
        <v>2</v>
      </c>
      <c r="S306" s="24" t="s">
        <v>2148</v>
      </c>
      <c r="T306" s="24" t="s">
        <v>49</v>
      </c>
      <c r="U306" s="24" t="s">
        <v>228</v>
      </c>
      <c r="V306" s="34">
        <v>9652985385</v>
      </c>
      <c r="W306" s="24" t="str">
        <f>VLOOKUP(C306,Product_Master!A:F,4,FALSE)</f>
        <v>TechHub</v>
      </c>
      <c r="X306" s="34">
        <f>VLOOKUP(C306,Product_Master!A:F,6,FALSE)</f>
        <v>6</v>
      </c>
      <c r="Y306" s="24" t="str">
        <f>VLOOKUP(B306,Custumer_Master!A:D,3,FALSE)</f>
        <v>Gold</v>
      </c>
      <c r="Z306" s="30">
        <f>EDATE(E306,X306)</f>
        <v>45906</v>
      </c>
      <c r="AA306" s="29" t="str">
        <f>VLOOKUP(B306,Custumer_Master!A:K,11,)</f>
        <v>August</v>
      </c>
      <c r="AB306" s="24" t="s">
        <v>2160</v>
      </c>
      <c r="AC306" s="138" t="str">
        <f>PROPER(LEFT(TRIM(F306), 3)) &amp; RIGHT(TRIM(B306), 3) &amp; PROPER(LEFT(TRIM(I306), 2))</f>
        <v>Vik005Mu</v>
      </c>
      <c r="AD306" s="154">
        <f t="shared" ca="1" si="13"/>
        <v>34</v>
      </c>
      <c r="AE306" s="154">
        <f>IFERROR(IF(OR(E306="", D306="", LOWER(TRIM(E306))="pending", LOWER(TRIM(D306))="pending"), "Pending", E306 - D306), "Pending")</f>
        <v>4</v>
      </c>
      <c r="AF306" s="138" t="str">
        <f>IFERROR(IF(OR(E306="", D306="","Pending","Pending"), "Pending", IF((E306 - D306) &lt;= 5, "On Time", "Delayed")), "Pending")</f>
        <v>On Time</v>
      </c>
      <c r="AG306" s="24" t="str">
        <f t="shared" si="14"/>
        <v>Completed</v>
      </c>
    </row>
    <row r="307" spans="1:33">
      <c r="A307" s="24" t="s">
        <v>1412</v>
      </c>
      <c r="B307" s="24" t="s">
        <v>23</v>
      </c>
      <c r="C307" s="24" t="s">
        <v>24</v>
      </c>
      <c r="D307" s="30">
        <v>46062</v>
      </c>
      <c r="E307" s="30" t="s">
        <v>736</v>
      </c>
      <c r="F307" s="24" t="str">
        <f>VLOOKUP(B307,Custumer_Master!A:D,2,FALSE)</f>
        <v>Kavya Nair</v>
      </c>
      <c r="G307" s="24" t="str">
        <f>VLOOKUP($B307,Custumer_Master!$A:$J,6,FALSE)</f>
        <v>Female</v>
      </c>
      <c r="H307" s="30" t="str">
        <f>VLOOKUP($B307,Custumer_Master!$A:$J,7,FALSE)</f>
        <v>01/08/1976</v>
      </c>
      <c r="I307" s="24" t="str">
        <f>VLOOKUP($B307,Custumer_Master!$A:$J,9,FALSE)</f>
        <v>Hyderabad</v>
      </c>
      <c r="J307" s="24" t="str">
        <f>VLOOKUP($B307,Custumer_Master!$A:$J,10,FALSE)</f>
        <v>South</v>
      </c>
      <c r="K307" s="24" t="str">
        <f>VLOOKUP(B307,Custumer_Master!A:D,4,FALSE)</f>
        <v>WB</v>
      </c>
      <c r="L307" s="24" t="str">
        <f>PROPER(TRIM(VLOOKUP('Final Data'!C307,Product_Master!A:F,3,FALSE)))</f>
        <v>Home Appliances</v>
      </c>
      <c r="M307" s="24" t="s">
        <v>33</v>
      </c>
      <c r="N307" s="34">
        <v>8</v>
      </c>
      <c r="O307" s="192">
        <f>VLOOKUP(C307,Product_Master!A:F,5,FALSE)</f>
        <v>1650</v>
      </c>
      <c r="P307" s="33">
        <v>0.05</v>
      </c>
      <c r="Q307" s="34">
        <f t="shared" si="12"/>
        <v>12540</v>
      </c>
      <c r="R307" s="34">
        <v>3</v>
      </c>
      <c r="S307" s="24" t="s">
        <v>79</v>
      </c>
      <c r="T307" s="24" t="s">
        <v>115</v>
      </c>
      <c r="U307" s="24" t="s">
        <v>50</v>
      </c>
      <c r="V307" s="34">
        <v>9427001508</v>
      </c>
      <c r="W307" s="24" t="str">
        <f>VLOOKUP(C307,Product_Master!A:F,4,FALSE)</f>
        <v>Global Trade</v>
      </c>
      <c r="X307" s="34">
        <f>VLOOKUP(C307,Product_Master!A:F,6,FALSE)</f>
        <v>24</v>
      </c>
      <c r="Y307" s="24" t="str">
        <f>VLOOKUP(B307,Custumer_Master!A:D,3,FALSE)</f>
        <v>Silver</v>
      </c>
      <c r="Z307" s="30">
        <f>EDATE(E307,X307)</f>
        <v>46800</v>
      </c>
      <c r="AA307" s="29" t="str">
        <f>VLOOKUP(B307,Custumer_Master!A:K,11,)</f>
        <v>August</v>
      </c>
      <c r="AB307" s="24" t="s">
        <v>2108</v>
      </c>
      <c r="AC307" s="138" t="str">
        <f>PROPER(LEFT(TRIM(F307), 3)) &amp; RIGHT(TRIM(B307), 3) &amp; PROPER(LEFT(TRIM(I307), 2))</f>
        <v>Kav008Hy</v>
      </c>
      <c r="AD307" s="154">
        <f t="shared" ca="1" si="13"/>
        <v>49</v>
      </c>
      <c r="AE307" s="154">
        <f>IFERROR(IF(OR(E307="", D307="", LOWER(TRIM(E307))="pending", LOWER(TRIM(D307))="pending"), "Pending", E307 - D307), "Pending")</f>
        <v>8</v>
      </c>
      <c r="AF307" s="138" t="str">
        <f>IFERROR(IF(OR(E307="", D307="","Pending","Pending"), "Pending", IF((E307 - D307) &lt;= 5, "On Time", "Delayed")), "Pending")</f>
        <v>Delayed</v>
      </c>
      <c r="AG307" s="24" t="str">
        <f t="shared" si="14"/>
        <v>Completed</v>
      </c>
    </row>
    <row r="308" spans="1:33">
      <c r="A308" s="24" t="s">
        <v>1415</v>
      </c>
      <c r="B308" s="24" t="s">
        <v>251</v>
      </c>
      <c r="C308" s="24" t="s">
        <v>184</v>
      </c>
      <c r="D308" s="30">
        <v>45704</v>
      </c>
      <c r="E308" s="30" t="s">
        <v>387</v>
      </c>
      <c r="F308" s="24" t="str">
        <f>VLOOKUP(B308,Custumer_Master!A:D,2,FALSE)</f>
        <v>Sneha Joshi</v>
      </c>
      <c r="G308" s="24" t="str">
        <f>VLOOKUP($B308,Custumer_Master!$A:$J,6,FALSE)</f>
        <v>Female</v>
      </c>
      <c r="H308" s="30" t="str">
        <f>VLOOKUP($B308,Custumer_Master!$A:$J,7,FALSE)</f>
        <v>04/04/1981</v>
      </c>
      <c r="I308" s="24" t="str">
        <f>VLOOKUP($B308,Custumer_Master!$A:$J,9,FALSE)</f>
        <v>Pune</v>
      </c>
      <c r="J308" s="24" t="str">
        <f>VLOOKUP($B308,Custumer_Master!$A:$J,10,FALSE)</f>
        <v>West</v>
      </c>
      <c r="K308" s="24" t="str">
        <f>VLOOKUP(B308,Custumer_Master!A:D,4,FALSE)</f>
        <v>WB</v>
      </c>
      <c r="L308" s="24" t="str">
        <f>PROPER(TRIM(VLOOKUP('Final Data'!C308,Product_Master!A:F,3,FALSE)))</f>
        <v>Electronics</v>
      </c>
      <c r="M308" s="24" t="s">
        <v>189</v>
      </c>
      <c r="N308" s="34">
        <v>17</v>
      </c>
      <c r="O308" s="192">
        <f>VLOOKUP(C308,Product_Master!A:F,5,FALSE)</f>
        <v>525</v>
      </c>
      <c r="P308" s="33">
        <v>0.2</v>
      </c>
      <c r="Q308" s="34">
        <f t="shared" si="12"/>
        <v>7140</v>
      </c>
      <c r="R308" s="34">
        <v>4</v>
      </c>
      <c r="S308" s="24" t="s">
        <v>2148</v>
      </c>
      <c r="T308" s="24" t="s">
        <v>115</v>
      </c>
      <c r="U308" s="24" t="s">
        <v>256</v>
      </c>
      <c r="V308" s="34">
        <v>9666803655</v>
      </c>
      <c r="W308" s="24" t="str">
        <f>VLOOKUP(C308,Product_Master!A:F,4,FALSE)</f>
        <v>TechHub</v>
      </c>
      <c r="X308" s="34">
        <f>VLOOKUP(C308,Product_Master!A:F,6,FALSE)</f>
        <v>24</v>
      </c>
      <c r="Y308" s="24" t="str">
        <f>VLOOKUP(B308,Custumer_Master!A:D,3,FALSE)</f>
        <v>Gold</v>
      </c>
      <c r="Z308" s="30">
        <f>EDATE(E308,X308)</f>
        <v>46444</v>
      </c>
      <c r="AA308" s="29" t="str">
        <f>VLOOKUP(B308,Custumer_Master!A:K,11,)</f>
        <v>April</v>
      </c>
      <c r="AB308" s="24" t="s">
        <v>2108</v>
      </c>
      <c r="AC308" s="138" t="str">
        <f>PROPER(LEFT(TRIM(F308), 3)) &amp; RIGHT(TRIM(B308), 3) &amp; PROPER(LEFT(TRIM(I308), 2))</f>
        <v>Sne006Pu</v>
      </c>
      <c r="AD308" s="154">
        <f t="shared" ca="1" si="13"/>
        <v>45</v>
      </c>
      <c r="AE308" s="154">
        <f>IFERROR(IF(OR(E308="", D308="", LOWER(TRIM(E308))="pending", LOWER(TRIM(D308))="pending"), "Pending", E308 - D308), "Pending")</f>
        <v>10</v>
      </c>
      <c r="AF308" s="138" t="str">
        <f>IFERROR(IF(OR(E308="", D308="","Pending","Pending"), "Pending", IF((E308 - D308) &lt;= 5, "On Time", "Delayed")), "Pending")</f>
        <v>Delayed</v>
      </c>
      <c r="AG308" s="24" t="str">
        <f t="shared" si="14"/>
        <v>Completed</v>
      </c>
    </row>
    <row r="309" spans="1:33">
      <c r="A309" s="24" t="s">
        <v>1417</v>
      </c>
      <c r="B309" s="24" t="s">
        <v>251</v>
      </c>
      <c r="C309" s="24" t="s">
        <v>169</v>
      </c>
      <c r="D309" s="30">
        <v>45897</v>
      </c>
      <c r="E309" s="30" t="s">
        <v>246</v>
      </c>
      <c r="F309" s="24" t="str">
        <f>VLOOKUP(B309,Custumer_Master!A:D,2,FALSE)</f>
        <v>Sneha Joshi</v>
      </c>
      <c r="G309" s="24" t="str">
        <f>VLOOKUP($B309,Custumer_Master!$A:$J,6,FALSE)</f>
        <v>Female</v>
      </c>
      <c r="H309" s="30" t="str">
        <f>VLOOKUP($B309,Custumer_Master!$A:$J,7,FALSE)</f>
        <v>04/04/1981</v>
      </c>
      <c r="I309" s="24" t="str">
        <f>VLOOKUP($B309,Custumer_Master!$A:$J,9,FALSE)</f>
        <v>Pune</v>
      </c>
      <c r="J309" s="24" t="str">
        <f>VLOOKUP($B309,Custumer_Master!$A:$J,10,FALSE)</f>
        <v>West</v>
      </c>
      <c r="K309" s="24" t="str">
        <f>VLOOKUP(B309,Custumer_Master!A:D,4,FALSE)</f>
        <v>WB</v>
      </c>
      <c r="L309" s="24" t="str">
        <f>PROPER(TRIM(VLOOKUP('Final Data'!C309,Product_Master!A:F,3,FALSE)))</f>
        <v>Home Appliances</v>
      </c>
      <c r="M309" s="24" t="s">
        <v>174</v>
      </c>
      <c r="N309" s="34">
        <v>6</v>
      </c>
      <c r="O309" s="192">
        <f>VLOOKUP(C309,Product_Master!A:F,5,FALSE)</f>
        <v>6375</v>
      </c>
      <c r="P309" s="33">
        <v>0.15</v>
      </c>
      <c r="Q309" s="34">
        <f t="shared" si="12"/>
        <v>32512.5</v>
      </c>
      <c r="R309" s="34">
        <v>1</v>
      </c>
      <c r="S309" s="24" t="s">
        <v>34</v>
      </c>
      <c r="T309" s="24" t="s">
        <v>61</v>
      </c>
      <c r="U309" s="24" t="s">
        <v>256</v>
      </c>
      <c r="V309" s="34">
        <v>9134878547</v>
      </c>
      <c r="W309" s="24" t="str">
        <f>VLOOKUP(C309,Product_Master!A:F,4,FALSE)</f>
        <v>TechHub</v>
      </c>
      <c r="X309" s="34">
        <f>VLOOKUP(C309,Product_Master!A:F,6,FALSE)</f>
        <v>24</v>
      </c>
      <c r="Y309" s="24" t="str">
        <f>VLOOKUP(B309,Custumer_Master!A:D,3,FALSE)</f>
        <v>Gold</v>
      </c>
      <c r="Z309" s="30">
        <f>EDATE(E309,X309)</f>
        <v>46638</v>
      </c>
      <c r="AA309" s="29" t="str">
        <f>VLOOKUP(B309,Custumer_Master!A:K,11,)</f>
        <v>April</v>
      </c>
      <c r="AB309" s="24" t="s">
        <v>2160</v>
      </c>
      <c r="AC309" s="138" t="str">
        <f>PROPER(LEFT(TRIM(F309), 3)) &amp; RIGHT(TRIM(B309), 3) &amp; PROPER(LEFT(TRIM(I309), 2))</f>
        <v>Sne006Pu</v>
      </c>
      <c r="AD309" s="154">
        <f t="shared" ca="1" si="13"/>
        <v>45</v>
      </c>
      <c r="AE309" s="154">
        <f>IFERROR(IF(OR(E309="", D309="", LOWER(TRIM(E309))="pending", LOWER(TRIM(D309))="pending"), "Pending", E309 - D309), "Pending")</f>
        <v>11</v>
      </c>
      <c r="AF309" s="138" t="str">
        <f>IFERROR(IF(OR(E309="", D309="","Pending","Pending"), "Pending", IF((E309 - D309) &lt;= 5, "On Time", "Delayed")), "Pending")</f>
        <v>Delayed</v>
      </c>
      <c r="AG309" s="24" t="str">
        <f t="shared" si="14"/>
        <v>Completed</v>
      </c>
    </row>
    <row r="310" spans="1:33">
      <c r="A310" s="24" t="s">
        <v>1419</v>
      </c>
      <c r="B310" s="24" t="s">
        <v>53</v>
      </c>
      <c r="C310" s="24" t="s">
        <v>92</v>
      </c>
      <c r="D310" s="30">
        <v>45936</v>
      </c>
      <c r="E310" s="30" t="s">
        <v>345</v>
      </c>
      <c r="F310" s="24" t="str">
        <f>VLOOKUP(B310,Custumer_Master!A:D,2,FALSE)</f>
        <v>Pooja Shah</v>
      </c>
      <c r="G310" s="24" t="str">
        <f>VLOOKUP($B310,Custumer_Master!$A:$J,6,FALSE)</f>
        <v>Female</v>
      </c>
      <c r="H310" s="30" t="str">
        <f>VLOOKUP($B310,Custumer_Master!$A:$J,7,FALSE)</f>
        <v>16/09/1994</v>
      </c>
      <c r="I310" s="24" t="str">
        <f>VLOOKUP($B310,Custumer_Master!$A:$J,9,FALSE)</f>
        <v>Bengaluru</v>
      </c>
      <c r="J310" s="24" t="str">
        <f>VLOOKUP($B310,Custumer_Master!$A:$J,10,FALSE)</f>
        <v>South</v>
      </c>
      <c r="K310" s="24" t="str">
        <f>VLOOKUP(B310,Custumer_Master!A:D,4,FALSE)</f>
        <v>WB</v>
      </c>
      <c r="L310" s="24" t="str">
        <f>PROPER(TRIM(VLOOKUP('Final Data'!C310,Product_Master!A:F,3,FALSE)))</f>
        <v>Home Appliances</v>
      </c>
      <c r="M310" s="24" t="s">
        <v>97</v>
      </c>
      <c r="N310" s="34">
        <v>3</v>
      </c>
      <c r="O310" s="192">
        <f>VLOOKUP(C310,Product_Master!A:F,5,FALSE)</f>
        <v>2625</v>
      </c>
      <c r="P310" s="33">
        <v>0.1</v>
      </c>
      <c r="Q310" s="34">
        <f t="shared" si="12"/>
        <v>7087.5</v>
      </c>
      <c r="R310" s="34">
        <v>1</v>
      </c>
      <c r="S310" s="24" t="s">
        <v>2148</v>
      </c>
      <c r="T310" s="24" t="s">
        <v>49</v>
      </c>
      <c r="U310" s="24" t="s">
        <v>62</v>
      </c>
      <c r="V310" s="34">
        <v>9253593557</v>
      </c>
      <c r="W310" s="24" t="str">
        <f>VLOOKUP(C310,Product_Master!A:F,4,FALSE)</f>
        <v>Global Trade</v>
      </c>
      <c r="X310" s="34">
        <f>VLOOKUP(C310,Product_Master!A:F,6,FALSE)</f>
        <v>6</v>
      </c>
      <c r="Y310" s="24" t="str">
        <f>VLOOKUP(B310,Custumer_Master!A:D,3,FALSE)</f>
        <v>Silver</v>
      </c>
      <c r="Z310" s="30">
        <f>EDATE(E310,X310)</f>
        <v>46123</v>
      </c>
      <c r="AA310" s="29" t="str">
        <f>VLOOKUP(B310,Custumer_Master!A:K,11,)</f>
        <v>September</v>
      </c>
      <c r="AB310" s="24" t="s">
        <v>2160</v>
      </c>
      <c r="AC310" s="138" t="str">
        <f>PROPER(LEFT(TRIM(F310), 3)) &amp; RIGHT(TRIM(B310), 3) &amp; PROPER(LEFT(TRIM(I310), 2))</f>
        <v>Poo010Be</v>
      </c>
      <c r="AD310" s="154">
        <f t="shared" ca="1" si="13"/>
        <v>31</v>
      </c>
      <c r="AE310" s="154">
        <f>IFERROR(IF(OR(E310="", D310="", LOWER(TRIM(E310))="pending", LOWER(TRIM(D310))="pending"), "Pending", E310 - D310), "Pending")</f>
        <v>5</v>
      </c>
      <c r="AF310" s="138" t="str">
        <f>IFERROR(IF(OR(E310="", D310="","Pending","Pending"), "Pending", IF((E310 - D310) &lt;= 5, "On Time", "Delayed")), "Pending")</f>
        <v>On Time</v>
      </c>
      <c r="AG310" s="24" t="str">
        <f t="shared" si="14"/>
        <v>Completed</v>
      </c>
    </row>
    <row r="311" spans="1:33">
      <c r="A311" s="24" t="s">
        <v>1422</v>
      </c>
      <c r="B311" s="24" t="s">
        <v>71</v>
      </c>
      <c r="C311" s="24" t="s">
        <v>40</v>
      </c>
      <c r="D311" s="30">
        <v>45674</v>
      </c>
      <c r="E311" s="30" t="s">
        <v>783</v>
      </c>
      <c r="F311" s="24" t="str">
        <f>VLOOKUP(B311,Custumer_Master!A:D,2,FALSE)</f>
        <v>Mohit Verma</v>
      </c>
      <c r="G311" s="24" t="str">
        <f>VLOOKUP($B311,Custumer_Master!$A:$J,6,FALSE)</f>
        <v>Male</v>
      </c>
      <c r="H311" s="30" t="str">
        <f>VLOOKUP($B311,Custumer_Master!$A:$J,7,FALSE)</f>
        <v>13/04/1976</v>
      </c>
      <c r="I311" s="24" t="str">
        <f>VLOOKUP($B311,Custumer_Master!$A:$J,9,FALSE)</f>
        <v>Delhi</v>
      </c>
      <c r="J311" s="24" t="str">
        <f>VLOOKUP($B311,Custumer_Master!$A:$J,10,FALSE)</f>
        <v>North</v>
      </c>
      <c r="K311" s="24" t="str">
        <f>VLOOKUP(B311,Custumer_Master!A:D,4,FALSE)</f>
        <v>KA</v>
      </c>
      <c r="L311" s="24" t="str">
        <f>PROPER(TRIM(VLOOKUP('Final Data'!C311,Product_Master!A:F,3,FALSE)))</f>
        <v>Electronics</v>
      </c>
      <c r="M311" s="24" t="s">
        <v>47</v>
      </c>
      <c r="N311" s="34">
        <v>2</v>
      </c>
      <c r="O311" s="192">
        <f>VLOOKUP(C311,Product_Master!A:F,5,FALSE)</f>
        <v>9000</v>
      </c>
      <c r="P311" s="33">
        <v>0.2</v>
      </c>
      <c r="Q311" s="34">
        <f t="shared" si="12"/>
        <v>14400</v>
      </c>
      <c r="R311" s="34">
        <v>1</v>
      </c>
      <c r="S311" s="24" t="s">
        <v>79</v>
      </c>
      <c r="T311" s="24" t="s">
        <v>61</v>
      </c>
      <c r="U311" s="24" t="s">
        <v>80</v>
      </c>
      <c r="V311" s="34">
        <v>9183094051</v>
      </c>
      <c r="W311" s="24" t="str">
        <f>VLOOKUP(C311,Product_Master!A:F,4,FALSE)</f>
        <v>Global Trade</v>
      </c>
      <c r="X311" s="34">
        <f>VLOOKUP(C311,Product_Master!A:F,6,FALSE)</f>
        <v>24</v>
      </c>
      <c r="Y311" s="24" t="str">
        <f>VLOOKUP(B311,Custumer_Master!A:D,3,FALSE)</f>
        <v>Platinum</v>
      </c>
      <c r="Z311" s="30">
        <f>EDATE(E311,X311)</f>
        <v>46416</v>
      </c>
      <c r="AA311" s="29" t="str">
        <f>VLOOKUP(B311,Custumer_Master!A:K,11,)</f>
        <v>April</v>
      </c>
      <c r="AB311" s="24" t="s">
        <v>2160</v>
      </c>
      <c r="AC311" s="138" t="str">
        <f>PROPER(LEFT(TRIM(F311), 3)) &amp; RIGHT(TRIM(B311), 3) &amp; PROPER(LEFT(TRIM(I311), 2))</f>
        <v>Moh009De</v>
      </c>
      <c r="AD311" s="154">
        <f t="shared" ca="1" si="13"/>
        <v>50</v>
      </c>
      <c r="AE311" s="154">
        <f>IFERROR(IF(OR(E311="", D311="", LOWER(TRIM(E311))="pending", LOWER(TRIM(D311))="pending"), "Pending", E311 - D311), "Pending")</f>
        <v>12</v>
      </c>
      <c r="AF311" s="138" t="str">
        <f>IFERROR(IF(OR(E311="", D311="","Pending","Pending"), "Pending", IF((E311 - D311) &lt;= 5, "On Time", "Delayed")), "Pending")</f>
        <v>Delayed</v>
      </c>
      <c r="AG311" s="24" t="str">
        <f t="shared" si="14"/>
        <v>Completed</v>
      </c>
    </row>
    <row r="312" spans="1:33">
      <c r="A312" s="24" t="s">
        <v>1425</v>
      </c>
      <c r="B312" s="24" t="s">
        <v>221</v>
      </c>
      <c r="C312" s="24" t="s">
        <v>222</v>
      </c>
      <c r="D312" s="30">
        <v>45943</v>
      </c>
      <c r="E312" s="30" t="s">
        <v>1426</v>
      </c>
      <c r="F312" s="24" t="str">
        <f>VLOOKUP(B312,Custumer_Master!A:D,2,FALSE)</f>
        <v>Vikas Mehta</v>
      </c>
      <c r="G312" s="24" t="str">
        <f>VLOOKUP($B312,Custumer_Master!$A:$J,6,FALSE)</f>
        <v>Male</v>
      </c>
      <c r="H312" s="30" t="str">
        <f>VLOOKUP($B312,Custumer_Master!$A:$J,7,FALSE)</f>
        <v>03/08/1991</v>
      </c>
      <c r="I312" s="24" t="str">
        <f>VLOOKUP($B312,Custumer_Master!$A:$J,9,FALSE)</f>
        <v>Mumbai</v>
      </c>
      <c r="J312" s="24" t="str">
        <f>VLOOKUP($B312,Custumer_Master!$A:$J,10,FALSE)</f>
        <v>West</v>
      </c>
      <c r="K312" s="24" t="str">
        <f>VLOOKUP(B312,Custumer_Master!A:D,4,FALSE)</f>
        <v>DL</v>
      </c>
      <c r="L312" s="24" t="str">
        <f>PROPER(TRIM(VLOOKUP('Final Data'!C312,Product_Master!A:F,3,FALSE)))</f>
        <v>Stationery</v>
      </c>
      <c r="M312" s="24" t="s">
        <v>227</v>
      </c>
      <c r="N312" s="34">
        <v>12</v>
      </c>
      <c r="O312" s="192">
        <f>VLOOKUP(C312,Product_Master!A:F,5,FALSE)</f>
        <v>15</v>
      </c>
      <c r="P312" s="33">
        <v>0.2</v>
      </c>
      <c r="Q312" s="34">
        <f t="shared" si="12"/>
        <v>144</v>
      </c>
      <c r="R312" s="34">
        <v>2</v>
      </c>
      <c r="S312" s="24" t="s">
        <v>79</v>
      </c>
      <c r="T312" s="24" t="s">
        <v>49</v>
      </c>
      <c r="U312" s="24" t="s">
        <v>228</v>
      </c>
      <c r="V312" s="34">
        <v>9293147620</v>
      </c>
      <c r="W312" s="24" t="str">
        <f>VLOOKUP(C312,Product_Master!A:F,4,FALSE)</f>
        <v>Prime Supplies</v>
      </c>
      <c r="X312" s="34">
        <f>VLOOKUP(C312,Product_Master!A:F,6,FALSE)</f>
        <v>12</v>
      </c>
      <c r="Y312" s="24" t="str">
        <f>VLOOKUP(B312,Custumer_Master!A:D,3,FALSE)</f>
        <v>Gold</v>
      </c>
      <c r="Z312" s="30">
        <f>EDATE(E312,X312)</f>
        <v>46311</v>
      </c>
      <c r="AA312" s="29" t="str">
        <f>VLOOKUP(B312,Custumer_Master!A:K,11,)</f>
        <v>August</v>
      </c>
      <c r="AB312" s="24" t="s">
        <v>2160</v>
      </c>
      <c r="AC312" s="138" t="str">
        <f>PROPER(LEFT(TRIM(F312), 3)) &amp; RIGHT(TRIM(B312), 3) &amp; PROPER(LEFT(TRIM(I312), 2))</f>
        <v>Vik005Mu</v>
      </c>
      <c r="AD312" s="154">
        <f t="shared" ca="1" si="13"/>
        <v>34</v>
      </c>
      <c r="AE312" s="154">
        <f>IFERROR(IF(OR(E312="", D312="", LOWER(TRIM(E312))="pending", LOWER(TRIM(D312))="pending"), "Pending", E312 - D312), "Pending")</f>
        <v>3</v>
      </c>
      <c r="AF312" s="138" t="str">
        <f>IFERROR(IF(OR(E312="", D312="","Pending","Pending"), "Pending", IF((E312 - D312) &lt;= 5, "On Time", "Delayed")), "Pending")</f>
        <v>On Time</v>
      </c>
      <c r="AG312" s="24" t="str">
        <f t="shared" si="14"/>
        <v>Completed</v>
      </c>
    </row>
    <row r="313" spans="1:33">
      <c r="A313" s="24" t="s">
        <v>1429</v>
      </c>
      <c r="B313" s="24" t="s">
        <v>100</v>
      </c>
      <c r="C313" s="24" t="s">
        <v>40</v>
      </c>
      <c r="D313" s="30">
        <v>46138</v>
      </c>
      <c r="E313" s="30" t="s">
        <v>1430</v>
      </c>
      <c r="F313" s="24" t="str">
        <f>VLOOKUP(B313,Custumer_Master!A:D,2,FALSE)</f>
        <v>Priya Patel</v>
      </c>
      <c r="G313" s="24" t="str">
        <f>VLOOKUP($B313,Custumer_Master!$A:$J,6,FALSE)</f>
        <v>Female</v>
      </c>
      <c r="H313" s="30" t="str">
        <f>VLOOKUP($B313,Custumer_Master!$A:$J,7,FALSE)</f>
        <v>07/03/1995</v>
      </c>
      <c r="I313" s="24" t="str">
        <f>VLOOKUP($B313,Custumer_Master!$A:$J,9,FALSE)</f>
        <v>Mumbai</v>
      </c>
      <c r="J313" s="24" t="str">
        <f>VLOOKUP($B313,Custumer_Master!$A:$J,10,FALSE)</f>
        <v>West</v>
      </c>
      <c r="K313" s="24" t="str">
        <f>VLOOKUP(B313,Custumer_Master!A:D,4,FALSE)</f>
        <v>WB</v>
      </c>
      <c r="L313" s="24" t="str">
        <f>PROPER(TRIM(VLOOKUP('Final Data'!C313,Product_Master!A:F,3,FALSE)))</f>
        <v>Electronics</v>
      </c>
      <c r="M313" s="24" t="s">
        <v>47</v>
      </c>
      <c r="N313" s="34">
        <v>20</v>
      </c>
      <c r="O313" s="192">
        <f>VLOOKUP(C313,Product_Master!A:F,5,FALSE)</f>
        <v>9000</v>
      </c>
      <c r="P313" s="33">
        <v>0.15</v>
      </c>
      <c r="Q313" s="34">
        <f t="shared" si="12"/>
        <v>153000</v>
      </c>
      <c r="R313" s="34">
        <v>3</v>
      </c>
      <c r="S313" s="24" t="s">
        <v>34</v>
      </c>
      <c r="T313" s="24" t="s">
        <v>35</v>
      </c>
      <c r="U313" s="24" t="s">
        <v>144</v>
      </c>
      <c r="V313" s="34">
        <v>9755583734</v>
      </c>
      <c r="W313" s="24" t="str">
        <f>VLOOKUP(C313,Product_Master!A:F,4,FALSE)</f>
        <v>Global Trade</v>
      </c>
      <c r="X313" s="34">
        <f>VLOOKUP(C313,Product_Master!A:F,6,FALSE)</f>
        <v>24</v>
      </c>
      <c r="Y313" s="24" t="str">
        <f>VLOOKUP(B313,Custumer_Master!A:D,3,FALSE)</f>
        <v>Platinum</v>
      </c>
      <c r="Z313" s="30">
        <f>EDATE(E313,X313)</f>
        <v>46871</v>
      </c>
      <c r="AA313" s="29" t="str">
        <f>VLOOKUP(B313,Custumer_Master!A:K,11,)</f>
        <v>March</v>
      </c>
      <c r="AB313" s="24" t="s">
        <v>2112</v>
      </c>
      <c r="AC313" s="138" t="str">
        <f>PROPER(LEFT(TRIM(F313), 3)) &amp; RIGHT(TRIM(B313), 3) &amp; PROPER(LEFT(TRIM(I313), 2))</f>
        <v>Pri002Mu</v>
      </c>
      <c r="AD313" s="154">
        <f t="shared" ca="1" si="13"/>
        <v>31</v>
      </c>
      <c r="AE313" s="154">
        <f>IFERROR(IF(OR(E313="", D313="", LOWER(TRIM(E313))="pending", LOWER(TRIM(D313))="pending"), "Pending", E313 - D313), "Pending")</f>
        <v>2</v>
      </c>
      <c r="AF313" s="138" t="str">
        <f>IFERROR(IF(OR(E313="", D313="","Pending","Pending"), "Pending", IF((E313 - D313) &lt;= 5, "On Time", "Delayed")), "Pending")</f>
        <v>On Time</v>
      </c>
      <c r="AG313" s="24" t="str">
        <f t="shared" si="14"/>
        <v>Completed</v>
      </c>
    </row>
    <row r="314" spans="1:33">
      <c r="A314" s="24" t="s">
        <v>1433</v>
      </c>
      <c r="B314" s="24" t="s">
        <v>53</v>
      </c>
      <c r="C314" s="24" t="s">
        <v>118</v>
      </c>
      <c r="D314" s="30">
        <v>46105</v>
      </c>
      <c r="E314" s="30" t="s">
        <v>740</v>
      </c>
      <c r="F314" s="24" t="str">
        <f>VLOOKUP(B314,Custumer_Master!A:D,2,FALSE)</f>
        <v>Pooja Shah</v>
      </c>
      <c r="G314" s="24" t="str">
        <f>VLOOKUP($B314,Custumer_Master!$A:$J,6,FALSE)</f>
        <v>Female</v>
      </c>
      <c r="H314" s="30" t="str">
        <f>VLOOKUP($B314,Custumer_Master!$A:$J,7,FALSE)</f>
        <v>16/09/1994</v>
      </c>
      <c r="I314" s="24" t="str">
        <f>VLOOKUP($B314,Custumer_Master!$A:$J,9,FALSE)</f>
        <v>Bengaluru</v>
      </c>
      <c r="J314" s="24" t="str">
        <f>VLOOKUP($B314,Custumer_Master!$A:$J,10,FALSE)</f>
        <v>South</v>
      </c>
      <c r="K314" s="24" t="str">
        <f>VLOOKUP(B314,Custumer_Master!A:D,4,FALSE)</f>
        <v>WB</v>
      </c>
      <c r="L314" s="24" t="str">
        <f>PROPER(TRIM(VLOOKUP('Final Data'!C314,Product_Master!A:F,3,FALSE)))</f>
        <v>Stationery</v>
      </c>
      <c r="M314" s="24" t="s">
        <v>123</v>
      </c>
      <c r="N314" s="34">
        <v>13</v>
      </c>
      <c r="O314" s="192">
        <f>VLOOKUP(C314,Product_Master!A:F,5,FALSE)</f>
        <v>45</v>
      </c>
      <c r="P314" s="33">
        <v>0.1</v>
      </c>
      <c r="Q314" s="34">
        <f t="shared" si="12"/>
        <v>526.5</v>
      </c>
      <c r="R314" s="34">
        <v>5</v>
      </c>
      <c r="S314" s="24" t="s">
        <v>34</v>
      </c>
      <c r="T314" s="24" t="s">
        <v>35</v>
      </c>
      <c r="U314" s="24" t="s">
        <v>62</v>
      </c>
      <c r="V314" s="34">
        <v>9186592813</v>
      </c>
      <c r="W314" s="24" t="str">
        <f>VLOOKUP(C314,Product_Master!A:F,4,FALSE)</f>
        <v>ABC Corp</v>
      </c>
      <c r="X314" s="34">
        <f>VLOOKUP(C314,Product_Master!A:F,6,FALSE)</f>
        <v>12</v>
      </c>
      <c r="Y314" s="24" t="str">
        <f>VLOOKUP(B314,Custumer_Master!A:D,3,FALSE)</f>
        <v>Silver</v>
      </c>
      <c r="Z314" s="30">
        <f>EDATE(E314,X314)</f>
        <v>46481</v>
      </c>
      <c r="AA314" s="29" t="str">
        <f>VLOOKUP(B314,Custumer_Master!A:K,11,)</f>
        <v>September</v>
      </c>
      <c r="AB314" s="24" t="s">
        <v>2108</v>
      </c>
      <c r="AC314" s="138" t="str">
        <f>PROPER(LEFT(TRIM(F314), 3)) &amp; RIGHT(TRIM(B314), 3) &amp; PROPER(LEFT(TRIM(I314), 2))</f>
        <v>Poo010Be</v>
      </c>
      <c r="AD314" s="154">
        <f t="shared" ca="1" si="13"/>
        <v>31</v>
      </c>
      <c r="AE314" s="154">
        <f>IFERROR(IF(OR(E314="", D314="", LOWER(TRIM(E314))="pending", LOWER(TRIM(D314))="pending"), "Pending", E314 - D314), "Pending")</f>
        <v>11</v>
      </c>
      <c r="AF314" s="138" t="str">
        <f>IFERROR(IF(OR(E314="", D314="","Pending","Pending"), "Pending", IF((E314 - D314) &lt;= 5, "On Time", "Delayed")), "Pending")</f>
        <v>Delayed</v>
      </c>
      <c r="AG314" s="24" t="str">
        <f t="shared" si="14"/>
        <v>Completed</v>
      </c>
    </row>
    <row r="315" spans="1:33">
      <c r="A315" s="24" t="s">
        <v>1436</v>
      </c>
      <c r="B315" s="24" t="s">
        <v>71</v>
      </c>
      <c r="C315" s="24" t="s">
        <v>54</v>
      </c>
      <c r="D315" s="30">
        <v>45785</v>
      </c>
      <c r="E315" s="30" t="s">
        <v>1294</v>
      </c>
      <c r="F315" s="24" t="str">
        <f>VLOOKUP(B315,Custumer_Master!A:D,2,FALSE)</f>
        <v>Mohit Verma</v>
      </c>
      <c r="G315" s="24" t="str">
        <f>VLOOKUP($B315,Custumer_Master!$A:$J,6,FALSE)</f>
        <v>Male</v>
      </c>
      <c r="H315" s="30" t="str">
        <f>VLOOKUP($B315,Custumer_Master!$A:$J,7,FALSE)</f>
        <v>13/04/1976</v>
      </c>
      <c r="I315" s="24" t="str">
        <f>VLOOKUP($B315,Custumer_Master!$A:$J,9,FALSE)</f>
        <v>Delhi</v>
      </c>
      <c r="J315" s="24" t="str">
        <f>VLOOKUP($B315,Custumer_Master!$A:$J,10,FALSE)</f>
        <v>North</v>
      </c>
      <c r="K315" s="24" t="str">
        <f>VLOOKUP(B315,Custumer_Master!A:D,4,FALSE)</f>
        <v>KA</v>
      </c>
      <c r="L315" s="24" t="str">
        <f>PROPER(TRIM(VLOOKUP('Final Data'!C315,Product_Master!A:F,3,FALSE)))</f>
        <v>Electronics</v>
      </c>
      <c r="M315" s="24" t="s">
        <v>60</v>
      </c>
      <c r="N315" s="34">
        <v>13</v>
      </c>
      <c r="O315" s="192">
        <f>VLOOKUP(C315,Product_Master!A:F,5,FALSE)</f>
        <v>41250</v>
      </c>
      <c r="P315" s="33">
        <v>0.05</v>
      </c>
      <c r="Q315" s="34">
        <f t="shared" si="12"/>
        <v>509437.5</v>
      </c>
      <c r="R315" s="34">
        <v>1</v>
      </c>
      <c r="S315" s="24" t="s">
        <v>2149</v>
      </c>
      <c r="T315" s="24" t="s">
        <v>151</v>
      </c>
      <c r="U315" s="24" t="s">
        <v>80</v>
      </c>
      <c r="V315" s="34">
        <v>9203482008</v>
      </c>
      <c r="W315" s="24" t="str">
        <f>VLOOKUP(C315,Product_Master!A:F,4,FALSE)</f>
        <v>TechHub</v>
      </c>
      <c r="X315" s="34">
        <f>VLOOKUP(C315,Product_Master!A:F,6,FALSE)</f>
        <v>12</v>
      </c>
      <c r="Y315" s="24" t="str">
        <f>VLOOKUP(B315,Custumer_Master!A:D,3,FALSE)</f>
        <v>Platinum</v>
      </c>
      <c r="Z315" s="30">
        <f>EDATE(E315,X315)</f>
        <v>46161</v>
      </c>
      <c r="AA315" s="29" t="str">
        <f>VLOOKUP(B315,Custumer_Master!A:K,11,)</f>
        <v>April</v>
      </c>
      <c r="AB315" s="24" t="s">
        <v>2160</v>
      </c>
      <c r="AC315" s="138" t="str">
        <f>PROPER(LEFT(TRIM(F315), 3)) &amp; RIGHT(TRIM(B315), 3) &amp; PROPER(LEFT(TRIM(I315), 2))</f>
        <v>Moh009De</v>
      </c>
      <c r="AD315" s="154">
        <f t="shared" ca="1" si="13"/>
        <v>50</v>
      </c>
      <c r="AE315" s="154">
        <f>IFERROR(IF(OR(E315="", D315="", LOWER(TRIM(E315))="pending", LOWER(TRIM(D315))="pending"), "Pending", E315 - D315), "Pending")</f>
        <v>11</v>
      </c>
      <c r="AF315" s="138" t="str">
        <f>IFERROR(IF(OR(E315="", D315="","Pending","Pending"), "Pending", IF((E315 - D315) &lt;= 5, "On Time", "Delayed")), "Pending")</f>
        <v>Delayed</v>
      </c>
      <c r="AG315" s="24" t="str">
        <f t="shared" si="14"/>
        <v>Completed</v>
      </c>
    </row>
    <row r="316" spans="1:33">
      <c r="A316" s="24" t="s">
        <v>1440</v>
      </c>
      <c r="B316" s="24" t="s">
        <v>100</v>
      </c>
      <c r="C316" s="24" t="s">
        <v>72</v>
      </c>
      <c r="D316" s="30">
        <v>46088</v>
      </c>
      <c r="E316" s="30" t="s">
        <v>798</v>
      </c>
      <c r="F316" s="24" t="str">
        <f>VLOOKUP(B316,Custumer_Master!A:D,2,FALSE)</f>
        <v>Priya Patel</v>
      </c>
      <c r="G316" s="24" t="str">
        <f>VLOOKUP($B316,Custumer_Master!$A:$J,6,FALSE)</f>
        <v>Female</v>
      </c>
      <c r="H316" s="30" t="str">
        <f>VLOOKUP($B316,Custumer_Master!$A:$J,7,FALSE)</f>
        <v>07/03/1995</v>
      </c>
      <c r="I316" s="24" t="str">
        <f>VLOOKUP($B316,Custumer_Master!$A:$J,9,FALSE)</f>
        <v>Mumbai</v>
      </c>
      <c r="J316" s="24" t="str">
        <f>VLOOKUP($B316,Custumer_Master!$A:$J,10,FALSE)</f>
        <v>West</v>
      </c>
      <c r="K316" s="24" t="str">
        <f>VLOOKUP(B316,Custumer_Master!A:D,4,FALSE)</f>
        <v>WB</v>
      </c>
      <c r="L316" s="24" t="str">
        <f>PROPER(TRIM(VLOOKUP('Final Data'!C316,Product_Master!A:F,3,FALSE)))</f>
        <v>Electronics</v>
      </c>
      <c r="M316" s="24" t="s">
        <v>78</v>
      </c>
      <c r="N316" s="34">
        <v>7</v>
      </c>
      <c r="O316" s="192">
        <f>VLOOKUP(C316,Product_Master!A:F,5,FALSE)</f>
        <v>900</v>
      </c>
      <c r="P316" s="33">
        <v>0.15</v>
      </c>
      <c r="Q316" s="34">
        <f t="shared" si="12"/>
        <v>5355</v>
      </c>
      <c r="R316" s="34">
        <v>5</v>
      </c>
      <c r="S316" s="24" t="s">
        <v>2149</v>
      </c>
      <c r="T316" s="24" t="s">
        <v>49</v>
      </c>
      <c r="U316" s="24" t="s">
        <v>144</v>
      </c>
      <c r="V316" s="34">
        <v>9829888777</v>
      </c>
      <c r="W316" s="24" t="str">
        <f>VLOOKUP(C316,Product_Master!A:F,4,FALSE)</f>
        <v>TechHub</v>
      </c>
      <c r="X316" s="34">
        <f>VLOOKUP(C316,Product_Master!A:F,6,FALSE)</f>
        <v>6</v>
      </c>
      <c r="Y316" s="24" t="str">
        <f>VLOOKUP(B316,Custumer_Master!A:D,3,FALSE)</f>
        <v>Platinum</v>
      </c>
      <c r="Z316" s="30">
        <f>EDATE(E316,X316)</f>
        <v>46275</v>
      </c>
      <c r="AA316" s="29" t="str">
        <f>VLOOKUP(B316,Custumer_Master!A:K,11,)</f>
        <v>March</v>
      </c>
      <c r="AB316" s="24" t="s">
        <v>2108</v>
      </c>
      <c r="AC316" s="138" t="str">
        <f>PROPER(LEFT(TRIM(F316), 3)) &amp; RIGHT(TRIM(B316), 3) &amp; PROPER(LEFT(TRIM(I316), 2))</f>
        <v>Pri002Mu</v>
      </c>
      <c r="AD316" s="154">
        <f t="shared" ca="1" si="13"/>
        <v>31</v>
      </c>
      <c r="AE316" s="154">
        <f>IFERROR(IF(OR(E316="", D316="", LOWER(TRIM(E316))="pending", LOWER(TRIM(D316))="pending"), "Pending", E316 - D316), "Pending")</f>
        <v>3</v>
      </c>
      <c r="AF316" s="138" t="str">
        <f>IFERROR(IF(OR(E316="", D316="","Pending","Pending"), "Pending", IF((E316 - D316) &lt;= 5, "On Time", "Delayed")), "Pending")</f>
        <v>On Time</v>
      </c>
      <c r="AG316" s="24" t="str">
        <f t="shared" si="14"/>
        <v>Completed</v>
      </c>
    </row>
    <row r="317" spans="1:33">
      <c r="A317" s="24" t="s">
        <v>1443</v>
      </c>
      <c r="B317" s="24" t="s">
        <v>83</v>
      </c>
      <c r="C317" s="24" t="s">
        <v>40</v>
      </c>
      <c r="D317" s="30">
        <v>46017</v>
      </c>
      <c r="E317" s="30" t="s">
        <v>1444</v>
      </c>
      <c r="F317" s="24" t="str">
        <f>VLOOKUP(B317,Custumer_Master!A:D,2,FALSE)</f>
        <v>Arjun Rao</v>
      </c>
      <c r="G317" s="24" t="str">
        <f>VLOOKUP($B317,Custumer_Master!$A:$J,6,FALSE)</f>
        <v>Male</v>
      </c>
      <c r="H317" s="30" t="str">
        <f>VLOOKUP($B317,Custumer_Master!$A:$J,7,FALSE)</f>
        <v>07/02/1988</v>
      </c>
      <c r="I317" s="24" t="str">
        <f>VLOOKUP($B317,Custumer_Master!$A:$J,9,FALSE)</f>
        <v>Hyderabad</v>
      </c>
      <c r="J317" s="24" t="str">
        <f>VLOOKUP($B317,Custumer_Master!$A:$J,10,FALSE)</f>
        <v>South</v>
      </c>
      <c r="K317" s="24" t="str">
        <f>VLOOKUP(B317,Custumer_Master!A:D,4,FALSE)</f>
        <v>RJ</v>
      </c>
      <c r="L317" s="24" t="str">
        <f>PROPER(TRIM(VLOOKUP('Final Data'!C317,Product_Master!A:F,3,FALSE)))</f>
        <v>Electronics</v>
      </c>
      <c r="M317" s="24" t="s">
        <v>47</v>
      </c>
      <c r="N317" s="34">
        <v>17</v>
      </c>
      <c r="O317" s="192">
        <f>VLOOKUP(C317,Product_Master!A:F,5,FALSE)</f>
        <v>9000</v>
      </c>
      <c r="P317" s="33">
        <v>0.05</v>
      </c>
      <c r="Q317" s="34">
        <f t="shared" si="12"/>
        <v>145350</v>
      </c>
      <c r="R317" s="34">
        <v>1</v>
      </c>
      <c r="S317" s="24" t="s">
        <v>34</v>
      </c>
      <c r="T317" s="24" t="s">
        <v>61</v>
      </c>
      <c r="U317" s="24" t="s">
        <v>89</v>
      </c>
      <c r="V317" s="34">
        <v>9566101317</v>
      </c>
      <c r="W317" s="24" t="str">
        <f>VLOOKUP(C317,Product_Master!A:F,4,FALSE)</f>
        <v>Global Trade</v>
      </c>
      <c r="X317" s="34">
        <f>VLOOKUP(C317,Product_Master!A:F,6,FALSE)</f>
        <v>24</v>
      </c>
      <c r="Y317" s="24" t="str">
        <f>VLOOKUP(B317,Custumer_Master!A:D,3,FALSE)</f>
        <v>Silver</v>
      </c>
      <c r="Z317" s="30">
        <f>EDATE(E317,X317)</f>
        <v>46751</v>
      </c>
      <c r="AA317" s="29" t="str">
        <f>VLOOKUP(B317,Custumer_Master!A:K,11,)</f>
        <v>February</v>
      </c>
      <c r="AB317" s="24" t="s">
        <v>2160</v>
      </c>
      <c r="AC317" s="138" t="str">
        <f>PROPER(LEFT(TRIM(F317), 3)) &amp; RIGHT(TRIM(B317), 3) &amp; PROPER(LEFT(TRIM(I317), 2))</f>
        <v>Arj007Hy</v>
      </c>
      <c r="AD317" s="154">
        <f t="shared" ca="1" si="13"/>
        <v>38</v>
      </c>
      <c r="AE317" s="154">
        <f>IFERROR(IF(OR(E317="", D317="", LOWER(TRIM(E317))="pending", LOWER(TRIM(D317))="pending"), "Pending", E317 - D317), "Pending")</f>
        <v>4</v>
      </c>
      <c r="AF317" s="138" t="str">
        <f>IFERROR(IF(OR(E317="", D317="","Pending","Pending"), "Pending", IF((E317 - D317) &lt;= 5, "On Time", "Delayed")), "Pending")</f>
        <v>On Time</v>
      </c>
      <c r="AG317" s="24" t="str">
        <f t="shared" si="14"/>
        <v>Completed</v>
      </c>
    </row>
    <row r="318" spans="1:33">
      <c r="A318" s="24" t="s">
        <v>1447</v>
      </c>
      <c r="B318" s="24" t="s">
        <v>83</v>
      </c>
      <c r="C318" s="24" t="s">
        <v>222</v>
      </c>
      <c r="D318" s="30">
        <v>46131</v>
      </c>
      <c r="E318" s="30" t="s">
        <v>517</v>
      </c>
      <c r="F318" s="24" t="str">
        <f>VLOOKUP(B318,Custumer_Master!A:D,2,FALSE)</f>
        <v>Arjun Rao</v>
      </c>
      <c r="G318" s="24" t="str">
        <f>VLOOKUP($B318,Custumer_Master!$A:$J,6,FALSE)</f>
        <v>Male</v>
      </c>
      <c r="H318" s="30" t="str">
        <f>VLOOKUP($B318,Custumer_Master!$A:$J,7,FALSE)</f>
        <v>07/02/1988</v>
      </c>
      <c r="I318" s="24" t="str">
        <f>VLOOKUP($B318,Custumer_Master!$A:$J,9,FALSE)</f>
        <v>Hyderabad</v>
      </c>
      <c r="J318" s="24" t="str">
        <f>VLOOKUP($B318,Custumer_Master!$A:$J,10,FALSE)</f>
        <v>South</v>
      </c>
      <c r="K318" s="24" t="str">
        <f>VLOOKUP(B318,Custumer_Master!A:D,4,FALSE)</f>
        <v>RJ</v>
      </c>
      <c r="L318" s="24" t="str">
        <f>PROPER(TRIM(VLOOKUP('Final Data'!C318,Product_Master!A:F,3,FALSE)))</f>
        <v>Stationery</v>
      </c>
      <c r="M318" s="24" t="s">
        <v>227</v>
      </c>
      <c r="N318" s="34">
        <v>10</v>
      </c>
      <c r="O318" s="192">
        <f>VLOOKUP(C318,Product_Master!A:F,5,FALSE)</f>
        <v>15</v>
      </c>
      <c r="P318" s="33">
        <v>0.05</v>
      </c>
      <c r="Q318" s="34">
        <f t="shared" si="12"/>
        <v>142.5</v>
      </c>
      <c r="R318" s="34">
        <v>2</v>
      </c>
      <c r="S318" s="24" t="s">
        <v>34</v>
      </c>
      <c r="T318" s="24" t="s">
        <v>61</v>
      </c>
      <c r="U318" s="24" t="s">
        <v>89</v>
      </c>
      <c r="V318" s="34">
        <v>9706240823</v>
      </c>
      <c r="W318" s="24" t="str">
        <f>VLOOKUP(C318,Product_Master!A:F,4,FALSE)</f>
        <v>Prime Supplies</v>
      </c>
      <c r="X318" s="34">
        <f>VLOOKUP(C318,Product_Master!A:F,6,FALSE)</f>
        <v>12</v>
      </c>
      <c r="Y318" s="24" t="str">
        <f>VLOOKUP(B318,Custumer_Master!A:D,3,FALSE)</f>
        <v>Silver</v>
      </c>
      <c r="Z318" s="30">
        <f>EDATE(E318,X318)</f>
        <v>46502</v>
      </c>
      <c r="AA318" s="29" t="str">
        <f>VLOOKUP(B318,Custumer_Master!A:K,11,)</f>
        <v>February</v>
      </c>
      <c r="AB318" s="24" t="s">
        <v>2160</v>
      </c>
      <c r="AC318" s="138" t="str">
        <f>PROPER(LEFT(TRIM(F318), 3)) &amp; RIGHT(TRIM(B318), 3) &amp; PROPER(LEFT(TRIM(I318), 2))</f>
        <v>Arj007Hy</v>
      </c>
      <c r="AD318" s="154">
        <f t="shared" ca="1" si="13"/>
        <v>38</v>
      </c>
      <c r="AE318" s="154">
        <f>IFERROR(IF(OR(E318="", D318="", LOWER(TRIM(E318))="pending", LOWER(TRIM(D318))="pending"), "Pending", E318 - D318), "Pending")</f>
        <v>6</v>
      </c>
      <c r="AF318" s="138" t="str">
        <f>IFERROR(IF(OR(E318="", D318="","Pending","Pending"), "Pending", IF((E318 - D318) &lt;= 5, "On Time", "Delayed")), "Pending")</f>
        <v>Delayed</v>
      </c>
      <c r="AG318" s="24" t="str">
        <f t="shared" si="14"/>
        <v>Completed</v>
      </c>
    </row>
    <row r="319" spans="1:33">
      <c r="A319" s="24" t="s">
        <v>1450</v>
      </c>
      <c r="B319" s="24" t="s">
        <v>168</v>
      </c>
      <c r="C319" s="24" t="s">
        <v>24</v>
      </c>
      <c r="D319" s="30">
        <v>45966</v>
      </c>
      <c r="E319" s="30" t="s">
        <v>1451</v>
      </c>
      <c r="F319" s="24" t="str">
        <f>VLOOKUP(B319,Custumer_Master!A:D,2,FALSE)</f>
        <v>Anita Gupta</v>
      </c>
      <c r="G319" s="24" t="str">
        <f>VLOOKUP($B319,Custumer_Master!$A:$J,6,FALSE)</f>
        <v>Female</v>
      </c>
      <c r="H319" s="30" t="str">
        <f>VLOOKUP($B319,Custumer_Master!$A:$J,7,FALSE)</f>
        <v>16/01/2002</v>
      </c>
      <c r="I319" s="24" t="str">
        <f>VLOOKUP($B319,Custumer_Master!$A:$J,9,FALSE)</f>
        <v>Pune</v>
      </c>
      <c r="J319" s="24" t="str">
        <f>VLOOKUP($B319,Custumer_Master!$A:$J,10,FALSE)</f>
        <v>West</v>
      </c>
      <c r="K319" s="24" t="str">
        <f>VLOOKUP(B319,Custumer_Master!A:D,4,FALSE)</f>
        <v>WB</v>
      </c>
      <c r="L319" s="24" t="str">
        <f>PROPER(TRIM(VLOOKUP('Final Data'!C319,Product_Master!A:F,3,FALSE)))</f>
        <v>Home Appliances</v>
      </c>
      <c r="M319" s="24" t="s">
        <v>33</v>
      </c>
      <c r="N319" s="34">
        <v>11</v>
      </c>
      <c r="O319" s="192">
        <f>VLOOKUP(C319,Product_Master!A:F,5,FALSE)</f>
        <v>1650</v>
      </c>
      <c r="P319" s="33">
        <v>0.05</v>
      </c>
      <c r="Q319" s="34">
        <f t="shared" si="12"/>
        <v>17242.5</v>
      </c>
      <c r="R319" s="34">
        <v>5</v>
      </c>
      <c r="S319" s="24" t="s">
        <v>79</v>
      </c>
      <c r="T319" s="24" t="s">
        <v>49</v>
      </c>
      <c r="U319" s="24" t="s">
        <v>175</v>
      </c>
      <c r="V319" s="34">
        <v>9259943760</v>
      </c>
      <c r="W319" s="24" t="str">
        <f>VLOOKUP(C319,Product_Master!A:F,4,FALSE)</f>
        <v>Global Trade</v>
      </c>
      <c r="X319" s="34">
        <f>VLOOKUP(C319,Product_Master!A:F,6,FALSE)</f>
        <v>24</v>
      </c>
      <c r="Y319" s="24" t="str">
        <f>VLOOKUP(B319,Custumer_Master!A:D,3,FALSE)</f>
        <v>Gold</v>
      </c>
      <c r="Z319" s="30">
        <f>EDATE(E319,X319)</f>
        <v>46699</v>
      </c>
      <c r="AA319" s="29" t="str">
        <f>VLOOKUP(B319,Custumer_Master!A:K,11,)</f>
        <v>January</v>
      </c>
      <c r="AB319" s="24" t="s">
        <v>2108</v>
      </c>
      <c r="AC319" s="138" t="str">
        <f>PROPER(LEFT(TRIM(F319), 3)) &amp; RIGHT(TRIM(B319), 3) &amp; PROPER(LEFT(TRIM(I319), 2))</f>
        <v>Ani004Pu</v>
      </c>
      <c r="AD319" s="154">
        <f t="shared" ca="1" si="13"/>
        <v>24</v>
      </c>
      <c r="AE319" s="154">
        <f>IFERROR(IF(OR(E319="", D319="", LOWER(TRIM(E319))="pending", LOWER(TRIM(D319))="pending"), "Pending", E319 - D319), "Pending")</f>
        <v>3</v>
      </c>
      <c r="AF319" s="138" t="str">
        <f>IFERROR(IF(OR(E319="", D319="","Pending","Pending"), "Pending", IF((E319 - D319) &lt;= 5, "On Time", "Delayed")), "Pending")</f>
        <v>On Time</v>
      </c>
      <c r="AG319" s="24" t="str">
        <f t="shared" si="14"/>
        <v>Completed</v>
      </c>
    </row>
    <row r="320" spans="1:33">
      <c r="A320" s="24" t="s">
        <v>1454</v>
      </c>
      <c r="B320" s="24" t="s">
        <v>100</v>
      </c>
      <c r="C320" s="24" t="s">
        <v>118</v>
      </c>
      <c r="D320" s="30">
        <v>46077</v>
      </c>
      <c r="E320" s="30" t="s">
        <v>178</v>
      </c>
      <c r="F320" s="24" t="str">
        <f>VLOOKUP(B320,Custumer_Master!A:D,2,FALSE)</f>
        <v>Priya Patel</v>
      </c>
      <c r="G320" s="24" t="str">
        <f>VLOOKUP($B320,Custumer_Master!$A:$J,6,FALSE)</f>
        <v>Female</v>
      </c>
      <c r="H320" s="30" t="str">
        <f>VLOOKUP($B320,Custumer_Master!$A:$J,7,FALSE)</f>
        <v>07/03/1995</v>
      </c>
      <c r="I320" s="24" t="str">
        <f>VLOOKUP($B320,Custumer_Master!$A:$J,9,FALSE)</f>
        <v>Mumbai</v>
      </c>
      <c r="J320" s="24" t="str">
        <f>VLOOKUP($B320,Custumer_Master!$A:$J,10,FALSE)</f>
        <v>West</v>
      </c>
      <c r="K320" s="24" t="str">
        <f>VLOOKUP(B320,Custumer_Master!A:D,4,FALSE)</f>
        <v>WB</v>
      </c>
      <c r="L320" s="24" t="str">
        <f>PROPER(TRIM(VLOOKUP('Final Data'!C320,Product_Master!A:F,3,FALSE)))</f>
        <v>Stationery</v>
      </c>
      <c r="M320" s="24" t="s">
        <v>123</v>
      </c>
      <c r="N320" s="34">
        <v>8</v>
      </c>
      <c r="O320" s="192">
        <f>VLOOKUP(C320,Product_Master!A:F,5,FALSE)</f>
        <v>45</v>
      </c>
      <c r="P320" s="33">
        <v>0.15</v>
      </c>
      <c r="Q320" s="34">
        <f t="shared" si="12"/>
        <v>306</v>
      </c>
      <c r="R320" s="34">
        <v>4</v>
      </c>
      <c r="S320" s="24" t="s">
        <v>34</v>
      </c>
      <c r="T320" s="24" t="s">
        <v>49</v>
      </c>
      <c r="U320" s="24" t="s">
        <v>144</v>
      </c>
      <c r="V320" s="34">
        <v>9527326977</v>
      </c>
      <c r="W320" s="24" t="str">
        <f>VLOOKUP(C320,Product_Master!A:F,4,FALSE)</f>
        <v>ABC Corp</v>
      </c>
      <c r="X320" s="34">
        <f>VLOOKUP(C320,Product_Master!A:F,6,FALSE)</f>
        <v>12</v>
      </c>
      <c r="Y320" s="24" t="str">
        <f>VLOOKUP(B320,Custumer_Master!A:D,3,FALSE)</f>
        <v>Platinum</v>
      </c>
      <c r="Z320" s="30">
        <f>EDATE(E320,X320)</f>
        <v>46446</v>
      </c>
      <c r="AA320" s="29" t="str">
        <f>VLOOKUP(B320,Custumer_Master!A:K,11,)</f>
        <v>March</v>
      </c>
      <c r="AB320" s="24" t="s">
        <v>2108</v>
      </c>
      <c r="AC320" s="138" t="str">
        <f>PROPER(LEFT(TRIM(F320), 3)) &amp; RIGHT(TRIM(B320), 3) &amp; PROPER(LEFT(TRIM(I320), 2))</f>
        <v>Pri002Mu</v>
      </c>
      <c r="AD320" s="154">
        <f t="shared" ca="1" si="13"/>
        <v>31</v>
      </c>
      <c r="AE320" s="154">
        <f>IFERROR(IF(OR(E320="", D320="", LOWER(TRIM(E320))="pending", LOWER(TRIM(D320))="pending"), "Pending", E320 - D320), "Pending")</f>
        <v>4</v>
      </c>
      <c r="AF320" s="138" t="str">
        <f>IFERROR(IF(OR(E320="", D320="","Pending","Pending"), "Pending", IF((E320 - D320) &lt;= 5, "On Time", "Delayed")), "Pending")</f>
        <v>On Time</v>
      </c>
      <c r="AG320" s="24" t="str">
        <f t="shared" si="14"/>
        <v>Completed</v>
      </c>
    </row>
    <row r="321" spans="1:33">
      <c r="A321" s="24" t="s">
        <v>1457</v>
      </c>
      <c r="B321" s="24" t="s">
        <v>221</v>
      </c>
      <c r="C321" s="24" t="s">
        <v>259</v>
      </c>
      <c r="D321" s="30">
        <v>45739</v>
      </c>
      <c r="E321" s="30" t="s">
        <v>119</v>
      </c>
      <c r="F321" s="24" t="str">
        <f>VLOOKUP(B321,Custumer_Master!A:D,2,FALSE)</f>
        <v>Vikas Mehta</v>
      </c>
      <c r="G321" s="24" t="str">
        <f>VLOOKUP($B321,Custumer_Master!$A:$J,6,FALSE)</f>
        <v>Male</v>
      </c>
      <c r="H321" s="30" t="str">
        <f>VLOOKUP($B321,Custumer_Master!$A:$J,7,FALSE)</f>
        <v>03/08/1991</v>
      </c>
      <c r="I321" s="24" t="str">
        <f>VLOOKUP($B321,Custumer_Master!$A:$J,9,FALSE)</f>
        <v>Mumbai</v>
      </c>
      <c r="J321" s="24" t="str">
        <f>VLOOKUP($B321,Custumer_Master!$A:$J,10,FALSE)</f>
        <v>West</v>
      </c>
      <c r="K321" s="24" t="str">
        <f>VLOOKUP(B321,Custumer_Master!A:D,4,FALSE)</f>
        <v>DL</v>
      </c>
      <c r="L321" s="24" t="str">
        <f>PROPER(TRIM(VLOOKUP('Final Data'!C321,Product_Master!A:F,3,FALSE)))</f>
        <v>Stationery</v>
      </c>
      <c r="M321" s="24" t="s">
        <v>263</v>
      </c>
      <c r="N321" s="34">
        <v>17</v>
      </c>
      <c r="O321" s="192">
        <f>VLOOKUP(C321,Product_Master!A:F,5,FALSE)</f>
        <v>33.75</v>
      </c>
      <c r="P321" s="33">
        <v>0.15</v>
      </c>
      <c r="Q321" s="34">
        <f t="shared" si="12"/>
        <v>487.6875</v>
      </c>
      <c r="R321" s="34">
        <v>2</v>
      </c>
      <c r="S321" s="24" t="s">
        <v>2149</v>
      </c>
      <c r="T321" s="24" t="s">
        <v>151</v>
      </c>
      <c r="U321" s="24" t="s">
        <v>228</v>
      </c>
      <c r="V321" s="34">
        <v>9886970990</v>
      </c>
      <c r="W321" s="24" t="str">
        <f>VLOOKUP(C321,Product_Master!A:F,4,FALSE)</f>
        <v>TechHub</v>
      </c>
      <c r="X321" s="34">
        <f>VLOOKUP(C321,Product_Master!A:F,6,FALSE)</f>
        <v>12</v>
      </c>
      <c r="Y321" s="24" t="str">
        <f>VLOOKUP(B321,Custumer_Master!A:D,3,FALSE)</f>
        <v>Gold</v>
      </c>
      <c r="Z321" s="30">
        <f>EDATE(E321,X321)</f>
        <v>46106</v>
      </c>
      <c r="AA321" s="29" t="str">
        <f>VLOOKUP(B321,Custumer_Master!A:K,11,)</f>
        <v>August</v>
      </c>
      <c r="AB321" s="24" t="s">
        <v>2160</v>
      </c>
      <c r="AC321" s="138" t="str">
        <f>PROPER(LEFT(TRIM(F321), 3)) &amp; RIGHT(TRIM(B321), 3) &amp; PROPER(LEFT(TRIM(I321), 2))</f>
        <v>Vik005Mu</v>
      </c>
      <c r="AD321" s="154">
        <f t="shared" ca="1" si="13"/>
        <v>34</v>
      </c>
      <c r="AE321" s="154">
        <f>IFERROR(IF(OR(E321="", D321="", LOWER(TRIM(E321))="pending", LOWER(TRIM(D321))="pending"), "Pending", E321 - D321), "Pending")</f>
        <v>2</v>
      </c>
      <c r="AF321" s="138" t="str">
        <f>IFERROR(IF(OR(E321="", D321="","Pending","Pending"), "Pending", IF((E321 - D321) &lt;= 5, "On Time", "Delayed")), "Pending")</f>
        <v>On Time</v>
      </c>
      <c r="AG321" s="24" t="str">
        <f t="shared" si="14"/>
        <v>Completed</v>
      </c>
    </row>
    <row r="322" spans="1:33">
      <c r="A322" s="24" t="s">
        <v>1460</v>
      </c>
      <c r="B322" s="24" t="s">
        <v>327</v>
      </c>
      <c r="C322" s="24" t="s">
        <v>184</v>
      </c>
      <c r="D322" s="30">
        <v>45715</v>
      </c>
      <c r="E322" s="30" t="s">
        <v>1461</v>
      </c>
      <c r="F322" s="24" t="str">
        <f>VLOOKUP(B322,Custumer_Master!A:D,2,FALSE)</f>
        <v>Amit Sharma</v>
      </c>
      <c r="G322" s="24" t="str">
        <f>VLOOKUP($B322,Custumer_Master!$A:$J,6,FALSE)</f>
        <v>Male</v>
      </c>
      <c r="H322" s="30" t="str">
        <f>VLOOKUP($B322,Custumer_Master!$A:$J,7,FALSE)</f>
        <v>09/08/1991</v>
      </c>
      <c r="I322" s="24" t="str">
        <f>VLOOKUP($B322,Custumer_Master!$A:$J,9,FALSE)</f>
        <v>Pune</v>
      </c>
      <c r="J322" s="24" t="str">
        <f>VLOOKUP($B322,Custumer_Master!$A:$J,10,FALSE)</f>
        <v>West</v>
      </c>
      <c r="K322" s="24" t="str">
        <f>VLOOKUP(B322,Custumer_Master!A:D,4,FALSE)</f>
        <v>RJ</v>
      </c>
      <c r="L322" s="24" t="str">
        <f>PROPER(TRIM(VLOOKUP('Final Data'!C322,Product_Master!A:F,3,FALSE)))</f>
        <v>Electronics</v>
      </c>
      <c r="M322" s="24" t="s">
        <v>189</v>
      </c>
      <c r="N322" s="34">
        <v>14</v>
      </c>
      <c r="O322" s="192">
        <f>VLOOKUP(C322,Product_Master!A:F,5,FALSE)</f>
        <v>525</v>
      </c>
      <c r="P322" s="33">
        <v>0.15</v>
      </c>
      <c r="Q322" s="34">
        <f t="shared" si="12"/>
        <v>6247.5</v>
      </c>
      <c r="R322" s="34">
        <v>1</v>
      </c>
      <c r="S322" s="24" t="s">
        <v>79</v>
      </c>
      <c r="T322" s="24" t="s">
        <v>115</v>
      </c>
      <c r="U322" s="24" t="s">
        <v>332</v>
      </c>
      <c r="V322" s="34">
        <v>9106930369</v>
      </c>
      <c r="W322" s="24" t="str">
        <f>VLOOKUP(C322,Product_Master!A:F,4,FALSE)</f>
        <v>TechHub</v>
      </c>
      <c r="X322" s="34">
        <f>VLOOKUP(C322,Product_Master!A:F,6,FALSE)</f>
        <v>24</v>
      </c>
      <c r="Y322" s="24" t="str">
        <f>VLOOKUP(B322,Custumer_Master!A:D,3,FALSE)</f>
        <v>Silver</v>
      </c>
      <c r="Z322" s="30">
        <f>EDATE(E322,X322)</f>
        <v>46456</v>
      </c>
      <c r="AA322" s="29" t="str">
        <f>VLOOKUP(B322,Custumer_Master!A:K,11,)</f>
        <v>August</v>
      </c>
      <c r="AB322" s="24" t="s">
        <v>2160</v>
      </c>
      <c r="AC322" s="138" t="str">
        <f>PROPER(LEFT(TRIM(F322), 3)) &amp; RIGHT(TRIM(B322), 3) &amp; PROPER(LEFT(TRIM(I322), 2))</f>
        <v>Ami001Pu</v>
      </c>
      <c r="AD322" s="154">
        <f t="shared" ca="1" si="13"/>
        <v>34</v>
      </c>
      <c r="AE322" s="154">
        <f>IFERROR(IF(OR(E322="", D322="", LOWER(TRIM(E322))="pending", LOWER(TRIM(D322))="pending"), "Pending", E322 - D322), "Pending")</f>
        <v>11</v>
      </c>
      <c r="AF322" s="138" t="str">
        <f>IFERROR(IF(OR(E322="", D322="","Pending","Pending"), "Pending", IF((E322 - D322) &lt;= 5, "On Time", "Delayed")), "Pending")</f>
        <v>Delayed</v>
      </c>
      <c r="AG322" s="24" t="str">
        <f t="shared" si="14"/>
        <v>Completed</v>
      </c>
    </row>
    <row r="323" spans="1:33">
      <c r="A323" s="24" t="s">
        <v>1464</v>
      </c>
      <c r="B323" s="24" t="s">
        <v>83</v>
      </c>
      <c r="C323" s="24" t="s">
        <v>72</v>
      </c>
      <c r="D323" s="30">
        <v>45811</v>
      </c>
      <c r="E323" s="30" t="s">
        <v>948</v>
      </c>
      <c r="F323" s="24" t="str">
        <f>VLOOKUP(B323,Custumer_Master!A:D,2,FALSE)</f>
        <v>Arjun Rao</v>
      </c>
      <c r="G323" s="24" t="str">
        <f>VLOOKUP($B323,Custumer_Master!$A:$J,6,FALSE)</f>
        <v>Male</v>
      </c>
      <c r="H323" s="30" t="str">
        <f>VLOOKUP($B323,Custumer_Master!$A:$J,7,FALSE)</f>
        <v>07/02/1988</v>
      </c>
      <c r="I323" s="24" t="str">
        <f>VLOOKUP($B323,Custumer_Master!$A:$J,9,FALSE)</f>
        <v>Hyderabad</v>
      </c>
      <c r="J323" s="24" t="str">
        <f>VLOOKUP($B323,Custumer_Master!$A:$J,10,FALSE)</f>
        <v>South</v>
      </c>
      <c r="K323" s="24" t="str">
        <f>VLOOKUP(B323,Custumer_Master!A:D,4,FALSE)</f>
        <v>RJ</v>
      </c>
      <c r="L323" s="24" t="str">
        <f>PROPER(TRIM(VLOOKUP('Final Data'!C323,Product_Master!A:F,3,FALSE)))</f>
        <v>Electronics</v>
      </c>
      <c r="M323" s="24" t="s">
        <v>78</v>
      </c>
      <c r="N323" s="34">
        <v>3</v>
      </c>
      <c r="O323" s="192">
        <f>VLOOKUP(C323,Product_Master!A:F,5,FALSE)</f>
        <v>900</v>
      </c>
      <c r="P323" s="33">
        <v>0.05</v>
      </c>
      <c r="Q323" s="34">
        <f t="shared" ref="Q323:Q386" si="15">(N323*O323)-(N323*O323)*P323</f>
        <v>2565</v>
      </c>
      <c r="R323" s="34">
        <v>3</v>
      </c>
      <c r="S323" s="24" t="s">
        <v>2148</v>
      </c>
      <c r="T323" s="24" t="s">
        <v>151</v>
      </c>
      <c r="U323" s="24" t="s">
        <v>89</v>
      </c>
      <c r="V323" s="34">
        <v>9342009114</v>
      </c>
      <c r="W323" s="24" t="str">
        <f>VLOOKUP(C323,Product_Master!A:F,4,FALSE)</f>
        <v>TechHub</v>
      </c>
      <c r="X323" s="34">
        <f>VLOOKUP(C323,Product_Master!A:F,6,FALSE)</f>
        <v>6</v>
      </c>
      <c r="Y323" s="24" t="str">
        <f>VLOOKUP(B323,Custumer_Master!A:D,3,FALSE)</f>
        <v>Silver</v>
      </c>
      <c r="Z323" s="30">
        <f>EDATE(E323,X323)</f>
        <v>46005</v>
      </c>
      <c r="AA323" s="29" t="str">
        <f>VLOOKUP(B323,Custumer_Master!A:K,11,)</f>
        <v>February</v>
      </c>
      <c r="AB323" s="24" t="s">
        <v>2108</v>
      </c>
      <c r="AC323" s="138" t="str">
        <f>PROPER(LEFT(TRIM(F323), 3)) &amp; RIGHT(TRIM(B323), 3) &amp; PROPER(LEFT(TRIM(I323), 2))</f>
        <v>Arj007Hy</v>
      </c>
      <c r="AD323" s="154">
        <f t="shared" ref="AD323:AD386" ca="1" si="16">DATEDIF(H323, TODAY(), "Y")</f>
        <v>38</v>
      </c>
      <c r="AE323" s="154">
        <f>IFERROR(IF(OR(E323="", D323="", LOWER(TRIM(E323))="pending", LOWER(TRIM(D323))="pending"), "Pending", E323 - D323), "Pending")</f>
        <v>11</v>
      </c>
      <c r="AF323" s="138" t="str">
        <f>IFERROR(IF(OR(E323="", D323="","Pending","Pending"), "Pending", IF((E323 - D323) &lt;= 5, "On Time", "Delayed")), "Pending")</f>
        <v>Delayed</v>
      </c>
      <c r="AG323" s="24" t="str">
        <f t="shared" ref="AG323:AG386" si="17">IF(AF323="Pending","Pending","Completed")</f>
        <v>Completed</v>
      </c>
    </row>
    <row r="324" spans="1:33">
      <c r="A324" s="24" t="s">
        <v>1468</v>
      </c>
      <c r="B324" s="24" t="s">
        <v>23</v>
      </c>
      <c r="C324" s="24" t="s">
        <v>72</v>
      </c>
      <c r="D324" s="30">
        <v>45845</v>
      </c>
      <c r="E324" s="30" t="s">
        <v>914</v>
      </c>
      <c r="F324" s="24" t="str">
        <f>VLOOKUP(B324,Custumer_Master!A:D,2,FALSE)</f>
        <v>Kavya Nair</v>
      </c>
      <c r="G324" s="24" t="str">
        <f>VLOOKUP($B324,Custumer_Master!$A:$J,6,FALSE)</f>
        <v>Female</v>
      </c>
      <c r="H324" s="30" t="str">
        <f>VLOOKUP($B324,Custumer_Master!$A:$J,7,FALSE)</f>
        <v>01/08/1976</v>
      </c>
      <c r="I324" s="24" t="str">
        <f>VLOOKUP($B324,Custumer_Master!$A:$J,9,FALSE)</f>
        <v>Hyderabad</v>
      </c>
      <c r="J324" s="24" t="str">
        <f>VLOOKUP($B324,Custumer_Master!$A:$J,10,FALSE)</f>
        <v>South</v>
      </c>
      <c r="K324" s="24" t="str">
        <f>VLOOKUP(B324,Custumer_Master!A:D,4,FALSE)</f>
        <v>WB</v>
      </c>
      <c r="L324" s="24" t="str">
        <f>PROPER(TRIM(VLOOKUP('Final Data'!C324,Product_Master!A:F,3,FALSE)))</f>
        <v>Electronics</v>
      </c>
      <c r="M324" s="24" t="s">
        <v>78</v>
      </c>
      <c r="N324" s="34">
        <v>9</v>
      </c>
      <c r="O324" s="192">
        <f>VLOOKUP(C324,Product_Master!A:F,5,FALSE)</f>
        <v>900</v>
      </c>
      <c r="P324" s="33">
        <v>0.15</v>
      </c>
      <c r="Q324" s="34">
        <f t="shared" si="15"/>
        <v>6885</v>
      </c>
      <c r="R324" s="34">
        <v>3</v>
      </c>
      <c r="S324" s="24" t="s">
        <v>34</v>
      </c>
      <c r="T324" s="24" t="s">
        <v>49</v>
      </c>
      <c r="U324" s="24" t="s">
        <v>50</v>
      </c>
      <c r="V324" s="34">
        <v>9992739960</v>
      </c>
      <c r="W324" s="24" t="str">
        <f>VLOOKUP(C324,Product_Master!A:F,4,FALSE)</f>
        <v>TechHub</v>
      </c>
      <c r="X324" s="34">
        <f>VLOOKUP(C324,Product_Master!A:F,6,FALSE)</f>
        <v>6</v>
      </c>
      <c r="Y324" s="24" t="str">
        <f>VLOOKUP(B324,Custumer_Master!A:D,3,FALSE)</f>
        <v>Silver</v>
      </c>
      <c r="Z324" s="30">
        <f>EDATE(E324,X324)</f>
        <v>46038</v>
      </c>
      <c r="AA324" s="29" t="str">
        <f>VLOOKUP(B324,Custumer_Master!A:K,11,)</f>
        <v>August</v>
      </c>
      <c r="AB324" s="24" t="s">
        <v>2108</v>
      </c>
      <c r="AC324" s="138" t="str">
        <f>PROPER(LEFT(TRIM(F324), 3)) &amp; RIGHT(TRIM(B324), 3) &amp; PROPER(LEFT(TRIM(I324), 2))</f>
        <v>Kav008Hy</v>
      </c>
      <c r="AD324" s="154">
        <f t="shared" ca="1" si="16"/>
        <v>49</v>
      </c>
      <c r="AE324" s="154">
        <f>IFERROR(IF(OR(E324="", D324="", LOWER(TRIM(E324))="pending", LOWER(TRIM(D324))="pending"), "Pending", E324 - D324), "Pending")</f>
        <v>9</v>
      </c>
      <c r="AF324" s="138" t="str">
        <f>IFERROR(IF(OR(E324="", D324="","Pending","Pending"), "Pending", IF((E324 - D324) &lt;= 5, "On Time", "Delayed")), "Pending")</f>
        <v>Delayed</v>
      </c>
      <c r="AG324" s="24" t="str">
        <f t="shared" si="17"/>
        <v>Completed</v>
      </c>
    </row>
    <row r="325" spans="1:33">
      <c r="A325" s="24" t="s">
        <v>1471</v>
      </c>
      <c r="B325" s="24" t="s">
        <v>251</v>
      </c>
      <c r="C325" s="24" t="s">
        <v>222</v>
      </c>
      <c r="D325" s="30">
        <v>46132</v>
      </c>
      <c r="E325" s="30" t="s">
        <v>360</v>
      </c>
      <c r="F325" s="24" t="str">
        <f>VLOOKUP(B325,Custumer_Master!A:D,2,FALSE)</f>
        <v>Sneha Joshi</v>
      </c>
      <c r="G325" s="24" t="str">
        <f>VLOOKUP($B325,Custumer_Master!$A:$J,6,FALSE)</f>
        <v>Female</v>
      </c>
      <c r="H325" s="30" t="str">
        <f>VLOOKUP($B325,Custumer_Master!$A:$J,7,FALSE)</f>
        <v>04/04/1981</v>
      </c>
      <c r="I325" s="24" t="str">
        <f>VLOOKUP($B325,Custumer_Master!$A:$J,9,FALSE)</f>
        <v>Pune</v>
      </c>
      <c r="J325" s="24" t="str">
        <f>VLOOKUP($B325,Custumer_Master!$A:$J,10,FALSE)</f>
        <v>West</v>
      </c>
      <c r="K325" s="24" t="str">
        <f>VLOOKUP(B325,Custumer_Master!A:D,4,FALSE)</f>
        <v>WB</v>
      </c>
      <c r="L325" s="24" t="str">
        <f>PROPER(TRIM(VLOOKUP('Final Data'!C325,Product_Master!A:F,3,FALSE)))</f>
        <v>Stationery</v>
      </c>
      <c r="M325" s="24" t="s">
        <v>227</v>
      </c>
      <c r="N325" s="34">
        <v>5</v>
      </c>
      <c r="O325" s="192">
        <f>VLOOKUP(C325,Product_Master!A:F,5,FALSE)</f>
        <v>15</v>
      </c>
      <c r="P325" s="33">
        <v>0.05</v>
      </c>
      <c r="Q325" s="34">
        <f t="shared" si="15"/>
        <v>71.25</v>
      </c>
      <c r="R325" s="34">
        <v>4</v>
      </c>
      <c r="S325" s="24" t="s">
        <v>34</v>
      </c>
      <c r="T325" s="24" t="s">
        <v>151</v>
      </c>
      <c r="U325" s="24" t="s">
        <v>256</v>
      </c>
      <c r="V325" s="34">
        <v>9241987748</v>
      </c>
      <c r="W325" s="24" t="str">
        <f>VLOOKUP(C325,Product_Master!A:F,4,FALSE)</f>
        <v>Prime Supplies</v>
      </c>
      <c r="X325" s="34">
        <f>VLOOKUP(C325,Product_Master!A:F,6,FALSE)</f>
        <v>12</v>
      </c>
      <c r="Y325" s="24" t="str">
        <f>VLOOKUP(B325,Custumer_Master!A:D,3,FALSE)</f>
        <v>Gold</v>
      </c>
      <c r="Z325" s="30">
        <f>EDATE(E325,X325)</f>
        <v>46498</v>
      </c>
      <c r="AA325" s="29" t="str">
        <f>VLOOKUP(B325,Custumer_Master!A:K,11,)</f>
        <v>April</v>
      </c>
      <c r="AB325" s="24" t="s">
        <v>2108</v>
      </c>
      <c r="AC325" s="138" t="str">
        <f>PROPER(LEFT(TRIM(F325), 3)) &amp; RIGHT(TRIM(B325), 3) &amp; PROPER(LEFT(TRIM(I325), 2))</f>
        <v>Sne006Pu</v>
      </c>
      <c r="AD325" s="154">
        <f t="shared" ca="1" si="16"/>
        <v>45</v>
      </c>
      <c r="AE325" s="154">
        <f>IFERROR(IF(OR(E325="", D325="", LOWER(TRIM(E325))="pending", LOWER(TRIM(D325))="pending"), "Pending", E325 - D325), "Pending")</f>
        <v>1</v>
      </c>
      <c r="AF325" s="138" t="str">
        <f>IFERROR(IF(OR(E325="", D325="","Pending","Pending"), "Pending", IF((E325 - D325) &lt;= 5, "On Time", "Delayed")), "Pending")</f>
        <v>On Time</v>
      </c>
      <c r="AG325" s="24" t="str">
        <f t="shared" si="17"/>
        <v>Completed</v>
      </c>
    </row>
    <row r="326" spans="1:33">
      <c r="A326" s="24" t="s">
        <v>1474</v>
      </c>
      <c r="B326" s="24" t="s">
        <v>251</v>
      </c>
      <c r="C326" s="24" t="s">
        <v>24</v>
      </c>
      <c r="D326" s="30">
        <v>46001</v>
      </c>
      <c r="E326" s="30" t="s">
        <v>1476</v>
      </c>
      <c r="F326" s="24" t="str">
        <f>VLOOKUP(B326,Custumer_Master!A:D,2,FALSE)</f>
        <v>Sneha Joshi</v>
      </c>
      <c r="G326" s="24" t="str">
        <f>VLOOKUP($B326,Custumer_Master!$A:$J,6,FALSE)</f>
        <v>Female</v>
      </c>
      <c r="H326" s="30" t="str">
        <f>VLOOKUP($B326,Custumer_Master!$A:$J,7,FALSE)</f>
        <v>04/04/1981</v>
      </c>
      <c r="I326" s="24" t="str">
        <f>VLOOKUP($B326,Custumer_Master!$A:$J,9,FALSE)</f>
        <v>Pune</v>
      </c>
      <c r="J326" s="24" t="str">
        <f>VLOOKUP($B326,Custumer_Master!$A:$J,10,FALSE)</f>
        <v>West</v>
      </c>
      <c r="K326" s="24" t="str">
        <f>VLOOKUP(B326,Custumer_Master!A:D,4,FALSE)</f>
        <v>WB</v>
      </c>
      <c r="L326" s="24" t="str">
        <f>PROPER(TRIM(VLOOKUP('Final Data'!C326,Product_Master!A:F,3,FALSE)))</f>
        <v>Home Appliances</v>
      </c>
      <c r="M326" s="24" t="s">
        <v>33</v>
      </c>
      <c r="N326" s="34">
        <v>8</v>
      </c>
      <c r="O326" s="192">
        <f>VLOOKUP(C326,Product_Master!A:F,5,FALSE)</f>
        <v>1650</v>
      </c>
      <c r="P326" s="33">
        <v>0.1</v>
      </c>
      <c r="Q326" s="34">
        <f t="shared" si="15"/>
        <v>11880</v>
      </c>
      <c r="R326" s="34">
        <v>4</v>
      </c>
      <c r="S326" s="24" t="s">
        <v>2149</v>
      </c>
      <c r="T326" s="24" t="s">
        <v>61</v>
      </c>
      <c r="U326" s="24" t="s">
        <v>256</v>
      </c>
      <c r="V326" s="34">
        <v>9571990711</v>
      </c>
      <c r="W326" s="24" t="str">
        <f>VLOOKUP(C326,Product_Master!A:F,4,FALSE)</f>
        <v>Global Trade</v>
      </c>
      <c r="X326" s="34">
        <f>VLOOKUP(C326,Product_Master!A:F,6,FALSE)</f>
        <v>24</v>
      </c>
      <c r="Y326" s="24" t="str">
        <f>VLOOKUP(B326,Custumer_Master!A:D,3,FALSE)</f>
        <v>Gold</v>
      </c>
      <c r="Z326" s="30">
        <f>EDATE(E326,X326)</f>
        <v>46742</v>
      </c>
      <c r="AA326" s="29" t="str">
        <f>VLOOKUP(B326,Custumer_Master!A:K,11,)</f>
        <v>April</v>
      </c>
      <c r="AB326" s="24" t="s">
        <v>2108</v>
      </c>
      <c r="AC326" s="138" t="str">
        <f>PROPER(LEFT(TRIM(F326), 3)) &amp; RIGHT(TRIM(B326), 3) &amp; PROPER(LEFT(TRIM(I326), 2))</f>
        <v>Sne006Pu</v>
      </c>
      <c r="AD326" s="154">
        <f t="shared" ca="1" si="16"/>
        <v>45</v>
      </c>
      <c r="AE326" s="154">
        <f>IFERROR(IF(OR(E326="", D326="", LOWER(TRIM(E326))="pending", LOWER(TRIM(D326))="pending"), "Pending", E326 - D326), "Pending")</f>
        <v>11</v>
      </c>
      <c r="AF326" s="138" t="str">
        <f>IFERROR(IF(OR(E326="", D326="","Pending","Pending"), "Pending", IF((E326 - D326) &lt;= 5, "On Time", "Delayed")), "Pending")</f>
        <v>Delayed</v>
      </c>
      <c r="AG326" s="24" t="str">
        <f t="shared" si="17"/>
        <v>Completed</v>
      </c>
    </row>
    <row r="327" spans="1:33">
      <c r="A327" s="24" t="s">
        <v>1479</v>
      </c>
      <c r="B327" s="24" t="s">
        <v>251</v>
      </c>
      <c r="C327" s="24" t="s">
        <v>184</v>
      </c>
      <c r="D327" s="30">
        <v>46089</v>
      </c>
      <c r="E327" s="30" t="s">
        <v>1480</v>
      </c>
      <c r="F327" s="24" t="str">
        <f>VLOOKUP(B327,Custumer_Master!A:D,2,FALSE)</f>
        <v>Sneha Joshi</v>
      </c>
      <c r="G327" s="24" t="str">
        <f>VLOOKUP($B327,Custumer_Master!$A:$J,6,FALSE)</f>
        <v>Female</v>
      </c>
      <c r="H327" s="30" t="str">
        <f>VLOOKUP($B327,Custumer_Master!$A:$J,7,FALSE)</f>
        <v>04/04/1981</v>
      </c>
      <c r="I327" s="24" t="str">
        <f>VLOOKUP($B327,Custumer_Master!$A:$J,9,FALSE)</f>
        <v>Pune</v>
      </c>
      <c r="J327" s="24" t="str">
        <f>VLOOKUP($B327,Custumer_Master!$A:$J,10,FALSE)</f>
        <v>West</v>
      </c>
      <c r="K327" s="24" t="str">
        <f>VLOOKUP(B327,Custumer_Master!A:D,4,FALSE)</f>
        <v>WB</v>
      </c>
      <c r="L327" s="24" t="str">
        <f>PROPER(TRIM(VLOOKUP('Final Data'!C327,Product_Master!A:F,3,FALSE)))</f>
        <v>Electronics</v>
      </c>
      <c r="M327" s="24" t="s">
        <v>189</v>
      </c>
      <c r="N327" s="34">
        <v>10</v>
      </c>
      <c r="O327" s="192">
        <f>VLOOKUP(C327,Product_Master!A:F,5,FALSE)</f>
        <v>525</v>
      </c>
      <c r="P327" s="33">
        <v>0.2</v>
      </c>
      <c r="Q327" s="34">
        <f t="shared" si="15"/>
        <v>4200</v>
      </c>
      <c r="R327" s="34">
        <v>1</v>
      </c>
      <c r="S327" s="24" t="s">
        <v>2149</v>
      </c>
      <c r="T327" s="24" t="s">
        <v>115</v>
      </c>
      <c r="U327" s="24" t="s">
        <v>256</v>
      </c>
      <c r="V327" s="34">
        <v>9219231183</v>
      </c>
      <c r="W327" s="24" t="str">
        <f>VLOOKUP(C327,Product_Master!A:F,4,FALSE)</f>
        <v>TechHub</v>
      </c>
      <c r="X327" s="34">
        <f>VLOOKUP(C327,Product_Master!A:F,6,FALSE)</f>
        <v>24</v>
      </c>
      <c r="Y327" s="24" t="str">
        <f>VLOOKUP(B327,Custumer_Master!A:D,3,FALSE)</f>
        <v>Gold</v>
      </c>
      <c r="Z327" s="30">
        <f>EDATE(E327,X327)</f>
        <v>46824</v>
      </c>
      <c r="AA327" s="29" t="str">
        <f>VLOOKUP(B327,Custumer_Master!A:K,11,)</f>
        <v>April</v>
      </c>
      <c r="AB327" s="24" t="s">
        <v>2160</v>
      </c>
      <c r="AC327" s="138" t="str">
        <f>PROPER(LEFT(TRIM(F327), 3)) &amp; RIGHT(TRIM(B327), 3) &amp; PROPER(LEFT(TRIM(I327), 2))</f>
        <v>Sne006Pu</v>
      </c>
      <c r="AD327" s="154">
        <f t="shared" ca="1" si="16"/>
        <v>45</v>
      </c>
      <c r="AE327" s="154">
        <f>IFERROR(IF(OR(E327="", D327="", LOWER(TRIM(E327))="pending", LOWER(TRIM(D327))="pending"), "Pending", E327 - D327), "Pending")</f>
        <v>4</v>
      </c>
      <c r="AF327" s="138" t="str">
        <f>IFERROR(IF(OR(E327="", D327="","Pending","Pending"), "Pending", IF((E327 - D327) &lt;= 5, "On Time", "Delayed")), "Pending")</f>
        <v>On Time</v>
      </c>
      <c r="AG327" s="24" t="str">
        <f t="shared" si="17"/>
        <v>Completed</v>
      </c>
    </row>
    <row r="328" spans="1:33">
      <c r="A328" s="24" t="s">
        <v>1483</v>
      </c>
      <c r="B328" s="24" t="s">
        <v>83</v>
      </c>
      <c r="C328" s="24" t="s">
        <v>184</v>
      </c>
      <c r="D328" s="30">
        <v>45986</v>
      </c>
      <c r="E328" s="30" t="s">
        <v>1485</v>
      </c>
      <c r="F328" s="24" t="str">
        <f>VLOOKUP(B328,Custumer_Master!A:D,2,FALSE)</f>
        <v>Arjun Rao</v>
      </c>
      <c r="G328" s="24" t="str">
        <f>VLOOKUP($B328,Custumer_Master!$A:$J,6,FALSE)</f>
        <v>Male</v>
      </c>
      <c r="H328" s="30" t="str">
        <f>VLOOKUP($B328,Custumer_Master!$A:$J,7,FALSE)</f>
        <v>07/02/1988</v>
      </c>
      <c r="I328" s="24" t="str">
        <f>VLOOKUP($B328,Custumer_Master!$A:$J,9,FALSE)</f>
        <v>Hyderabad</v>
      </c>
      <c r="J328" s="24" t="str">
        <f>VLOOKUP($B328,Custumer_Master!$A:$J,10,FALSE)</f>
        <v>South</v>
      </c>
      <c r="K328" s="24" t="str">
        <f>VLOOKUP(B328,Custumer_Master!A:D,4,FALSE)</f>
        <v>RJ</v>
      </c>
      <c r="L328" s="24" t="str">
        <f>PROPER(TRIM(VLOOKUP('Final Data'!C328,Product_Master!A:F,3,FALSE)))</f>
        <v>Electronics</v>
      </c>
      <c r="M328" s="24" t="s">
        <v>189</v>
      </c>
      <c r="N328" s="34">
        <v>2</v>
      </c>
      <c r="O328" s="192">
        <f>VLOOKUP(C328,Product_Master!A:F,5,FALSE)</f>
        <v>525</v>
      </c>
      <c r="P328" s="33">
        <v>0.2</v>
      </c>
      <c r="Q328" s="34">
        <f t="shared" si="15"/>
        <v>840</v>
      </c>
      <c r="R328" s="34">
        <v>2</v>
      </c>
      <c r="S328" s="24" t="s">
        <v>34</v>
      </c>
      <c r="T328" s="24" t="s">
        <v>115</v>
      </c>
      <c r="U328" s="24" t="s">
        <v>89</v>
      </c>
      <c r="V328" s="34">
        <v>9847386174</v>
      </c>
      <c r="W328" s="24" t="str">
        <f>VLOOKUP(C328,Product_Master!A:F,4,FALSE)</f>
        <v>TechHub</v>
      </c>
      <c r="X328" s="34">
        <f>VLOOKUP(C328,Product_Master!A:F,6,FALSE)</f>
        <v>24</v>
      </c>
      <c r="Y328" s="24" t="str">
        <f>VLOOKUP(B328,Custumer_Master!A:D,3,FALSE)</f>
        <v>Silver</v>
      </c>
      <c r="Z328" s="30">
        <f>EDATE(E328,X328)</f>
        <v>46719</v>
      </c>
      <c r="AA328" s="29" t="str">
        <f>VLOOKUP(B328,Custumer_Master!A:K,11,)</f>
        <v>February</v>
      </c>
      <c r="AB328" s="24" t="s">
        <v>2160</v>
      </c>
      <c r="AC328" s="138" t="str">
        <f>PROPER(LEFT(TRIM(F328), 3)) &amp; RIGHT(TRIM(B328), 3) &amp; PROPER(LEFT(TRIM(I328), 2))</f>
        <v>Arj007Hy</v>
      </c>
      <c r="AD328" s="154">
        <f t="shared" ca="1" si="16"/>
        <v>38</v>
      </c>
      <c r="AE328" s="154">
        <f>IFERROR(IF(OR(E328="", D328="", LOWER(TRIM(E328))="pending", LOWER(TRIM(D328))="pending"), "Pending", E328 - D328), "Pending")</f>
        <v>3</v>
      </c>
      <c r="AF328" s="138" t="str">
        <f>IFERROR(IF(OR(E328="", D328="","Pending","Pending"), "Pending", IF((E328 - D328) &lt;= 5, "On Time", "Delayed")), "Pending")</f>
        <v>On Time</v>
      </c>
      <c r="AG328" s="24" t="str">
        <f t="shared" si="17"/>
        <v>Completed</v>
      </c>
    </row>
    <row r="329" spans="1:33">
      <c r="A329" s="24" t="s">
        <v>1488</v>
      </c>
      <c r="B329" s="24" t="s">
        <v>221</v>
      </c>
      <c r="C329" s="24" t="s">
        <v>92</v>
      </c>
      <c r="D329" s="30">
        <v>45827</v>
      </c>
      <c r="E329" s="30" t="s">
        <v>965</v>
      </c>
      <c r="F329" s="24" t="str">
        <f>VLOOKUP(B329,Custumer_Master!A:D,2,FALSE)</f>
        <v>Vikas Mehta</v>
      </c>
      <c r="G329" s="24" t="str">
        <f>VLOOKUP($B329,Custumer_Master!$A:$J,6,FALSE)</f>
        <v>Male</v>
      </c>
      <c r="H329" s="30" t="str">
        <f>VLOOKUP($B329,Custumer_Master!$A:$J,7,FALSE)</f>
        <v>03/08/1991</v>
      </c>
      <c r="I329" s="24" t="str">
        <f>VLOOKUP($B329,Custumer_Master!$A:$J,9,FALSE)</f>
        <v>Mumbai</v>
      </c>
      <c r="J329" s="24" t="str">
        <f>VLOOKUP($B329,Custumer_Master!$A:$J,10,FALSE)</f>
        <v>West</v>
      </c>
      <c r="K329" s="24" t="str">
        <f>VLOOKUP(B329,Custumer_Master!A:D,4,FALSE)</f>
        <v>DL</v>
      </c>
      <c r="L329" s="24" t="str">
        <f>PROPER(TRIM(VLOOKUP('Final Data'!C329,Product_Master!A:F,3,FALSE)))</f>
        <v>Home Appliances</v>
      </c>
      <c r="M329" s="24" t="s">
        <v>97</v>
      </c>
      <c r="N329" s="34">
        <v>16</v>
      </c>
      <c r="O329" s="192">
        <f>VLOOKUP(C329,Product_Master!A:F,5,FALSE)</f>
        <v>2625</v>
      </c>
      <c r="P329" s="33">
        <v>0.2</v>
      </c>
      <c r="Q329" s="34">
        <f t="shared" si="15"/>
        <v>33600</v>
      </c>
      <c r="R329" s="34">
        <v>2</v>
      </c>
      <c r="S329" s="24" t="s">
        <v>2149</v>
      </c>
      <c r="T329" s="24" t="s">
        <v>35</v>
      </c>
      <c r="U329" s="24" t="s">
        <v>228</v>
      </c>
      <c r="V329" s="34">
        <v>9941274924</v>
      </c>
      <c r="W329" s="24" t="str">
        <f>VLOOKUP(C329,Product_Master!A:F,4,FALSE)</f>
        <v>Global Trade</v>
      </c>
      <c r="X329" s="34">
        <f>VLOOKUP(C329,Product_Master!A:F,6,FALSE)</f>
        <v>6</v>
      </c>
      <c r="Y329" s="24" t="str">
        <f>VLOOKUP(B329,Custumer_Master!A:D,3,FALSE)</f>
        <v>Gold</v>
      </c>
      <c r="Z329" s="30">
        <f>EDATE(E329,X329)</f>
        <v>46019</v>
      </c>
      <c r="AA329" s="29" t="str">
        <f>VLOOKUP(B329,Custumer_Master!A:K,11,)</f>
        <v>August</v>
      </c>
      <c r="AB329" s="24" t="s">
        <v>2160</v>
      </c>
      <c r="AC329" s="138" t="str">
        <f>PROPER(LEFT(TRIM(F329), 3)) &amp; RIGHT(TRIM(B329), 3) &amp; PROPER(LEFT(TRIM(I329), 2))</f>
        <v>Vik005Mu</v>
      </c>
      <c r="AD329" s="154">
        <f t="shared" ca="1" si="16"/>
        <v>34</v>
      </c>
      <c r="AE329" s="154">
        <f>IFERROR(IF(OR(E329="", D329="", LOWER(TRIM(E329))="pending", LOWER(TRIM(D329))="pending"), "Pending", E329 - D329), "Pending")</f>
        <v>9</v>
      </c>
      <c r="AF329" s="138" t="str">
        <f>IFERROR(IF(OR(E329="", D329="","Pending","Pending"), "Pending", IF((E329 - D329) &lt;= 5, "On Time", "Delayed")), "Pending")</f>
        <v>Delayed</v>
      </c>
      <c r="AG329" s="24" t="str">
        <f t="shared" si="17"/>
        <v>Completed</v>
      </c>
    </row>
    <row r="330" spans="1:33">
      <c r="A330" s="24" t="s">
        <v>1491</v>
      </c>
      <c r="B330" s="24" t="s">
        <v>168</v>
      </c>
      <c r="C330" s="24" t="s">
        <v>92</v>
      </c>
      <c r="D330" s="30">
        <v>45860</v>
      </c>
      <c r="E330" s="30" t="s">
        <v>756</v>
      </c>
      <c r="F330" s="24" t="str">
        <f>VLOOKUP(B330,Custumer_Master!A:D,2,FALSE)</f>
        <v>Anita Gupta</v>
      </c>
      <c r="G330" s="24" t="str">
        <f>VLOOKUP($B330,Custumer_Master!$A:$J,6,FALSE)</f>
        <v>Female</v>
      </c>
      <c r="H330" s="30" t="str">
        <f>VLOOKUP($B330,Custumer_Master!$A:$J,7,FALSE)</f>
        <v>16/01/2002</v>
      </c>
      <c r="I330" s="24" t="str">
        <f>VLOOKUP($B330,Custumer_Master!$A:$J,9,FALSE)</f>
        <v>Pune</v>
      </c>
      <c r="J330" s="24" t="str">
        <f>VLOOKUP($B330,Custumer_Master!$A:$J,10,FALSE)</f>
        <v>West</v>
      </c>
      <c r="K330" s="24" t="str">
        <f>VLOOKUP(B330,Custumer_Master!A:D,4,FALSE)</f>
        <v>WB</v>
      </c>
      <c r="L330" s="24" t="str">
        <f>PROPER(TRIM(VLOOKUP('Final Data'!C330,Product_Master!A:F,3,FALSE)))</f>
        <v>Home Appliances</v>
      </c>
      <c r="M330" s="24" t="s">
        <v>97</v>
      </c>
      <c r="N330" s="34">
        <v>9</v>
      </c>
      <c r="O330" s="192">
        <f>VLOOKUP(C330,Product_Master!A:F,5,FALSE)</f>
        <v>2625</v>
      </c>
      <c r="P330" s="33">
        <v>0.2</v>
      </c>
      <c r="Q330" s="34">
        <f t="shared" si="15"/>
        <v>18900</v>
      </c>
      <c r="R330" s="34">
        <v>1</v>
      </c>
      <c r="S330" s="24" t="s">
        <v>79</v>
      </c>
      <c r="T330" s="24" t="s">
        <v>49</v>
      </c>
      <c r="U330" s="24" t="s">
        <v>175</v>
      </c>
      <c r="V330" s="34">
        <v>9950650508</v>
      </c>
      <c r="W330" s="24" t="str">
        <f>VLOOKUP(C330,Product_Master!A:F,4,FALSE)</f>
        <v>Global Trade</v>
      </c>
      <c r="X330" s="34">
        <f>VLOOKUP(C330,Product_Master!A:F,6,FALSE)</f>
        <v>6</v>
      </c>
      <c r="Y330" s="24" t="str">
        <f>VLOOKUP(B330,Custumer_Master!A:D,3,FALSE)</f>
        <v>Gold</v>
      </c>
      <c r="Z330" s="30">
        <f>EDATE(E330,X330)</f>
        <v>46054</v>
      </c>
      <c r="AA330" s="29" t="str">
        <f>VLOOKUP(B330,Custumer_Master!A:K,11,)</f>
        <v>January</v>
      </c>
      <c r="AB330" s="24" t="s">
        <v>2160</v>
      </c>
      <c r="AC330" s="138" t="str">
        <f>PROPER(LEFT(TRIM(F330), 3)) &amp; RIGHT(TRIM(B330), 3) &amp; PROPER(LEFT(TRIM(I330), 2))</f>
        <v>Ani004Pu</v>
      </c>
      <c r="AD330" s="154">
        <f t="shared" ca="1" si="16"/>
        <v>24</v>
      </c>
      <c r="AE330" s="154">
        <f>IFERROR(IF(OR(E330="", D330="", LOWER(TRIM(E330))="pending", LOWER(TRIM(D330))="pending"), "Pending", E330 - D330), "Pending")</f>
        <v>10</v>
      </c>
      <c r="AF330" s="138" t="str">
        <f>IFERROR(IF(OR(E330="", D330="","Pending","Pending"), "Pending", IF((E330 - D330) &lt;= 5, "On Time", "Delayed")), "Pending")</f>
        <v>Delayed</v>
      </c>
      <c r="AG330" s="24" t="str">
        <f t="shared" si="17"/>
        <v>Completed</v>
      </c>
    </row>
    <row r="331" spans="1:33">
      <c r="A331" s="24" t="s">
        <v>1494</v>
      </c>
      <c r="B331" s="24" t="s">
        <v>127</v>
      </c>
      <c r="C331" s="24" t="s">
        <v>184</v>
      </c>
      <c r="D331" s="30">
        <v>45959</v>
      </c>
      <c r="E331" s="30" t="s">
        <v>530</v>
      </c>
      <c r="F331" s="24" t="str">
        <f>VLOOKUP(B331,Custumer_Master!A:D,2,FALSE)</f>
        <v>Rohit Singh</v>
      </c>
      <c r="G331" s="24" t="str">
        <f>VLOOKUP($B331,Custumer_Master!$A:$J,6,FALSE)</f>
        <v>Male</v>
      </c>
      <c r="H331" s="30" t="str">
        <f>VLOOKUP($B331,Custumer_Master!$A:$J,7,FALSE)</f>
        <v>10/05/1982</v>
      </c>
      <c r="I331" s="24" t="str">
        <f>VLOOKUP($B331,Custumer_Master!$A:$J,9,FALSE)</f>
        <v>Delhi</v>
      </c>
      <c r="J331" s="24" t="str">
        <f>VLOOKUP($B331,Custumer_Master!$A:$J,10,FALSE)</f>
        <v>North</v>
      </c>
      <c r="K331" s="24" t="str">
        <f>VLOOKUP(B331,Custumer_Master!A:D,4,FALSE)</f>
        <v>DL</v>
      </c>
      <c r="L331" s="24" t="str">
        <f>PROPER(TRIM(VLOOKUP('Final Data'!C331,Product_Master!A:F,3,FALSE)))</f>
        <v>Electronics</v>
      </c>
      <c r="M331" s="24" t="s">
        <v>189</v>
      </c>
      <c r="N331" s="34">
        <v>15</v>
      </c>
      <c r="O331" s="192">
        <f>VLOOKUP(C331,Product_Master!A:F,5,FALSE)</f>
        <v>525</v>
      </c>
      <c r="P331" s="33">
        <v>0.05</v>
      </c>
      <c r="Q331" s="34">
        <f t="shared" si="15"/>
        <v>7481.25</v>
      </c>
      <c r="R331" s="34">
        <v>1</v>
      </c>
      <c r="S331" s="24" t="s">
        <v>34</v>
      </c>
      <c r="T331" s="24" t="s">
        <v>49</v>
      </c>
      <c r="U331" s="24" t="s">
        <v>132</v>
      </c>
      <c r="V331" s="34">
        <v>9464035549</v>
      </c>
      <c r="W331" s="24" t="str">
        <f>VLOOKUP(C331,Product_Master!A:F,4,FALSE)</f>
        <v>TechHub</v>
      </c>
      <c r="X331" s="34">
        <f>VLOOKUP(C331,Product_Master!A:F,6,FALSE)</f>
        <v>24</v>
      </c>
      <c r="Y331" s="24" t="str">
        <f>VLOOKUP(B331,Custumer_Master!A:D,3,FALSE)</f>
        <v>Gold</v>
      </c>
      <c r="Z331" s="30">
        <f>EDATE(E331,X331)</f>
        <v>46690</v>
      </c>
      <c r="AA331" s="29" t="str">
        <f>VLOOKUP(B331,Custumer_Master!A:K,11,)</f>
        <v>May</v>
      </c>
      <c r="AB331" s="24" t="s">
        <v>2160</v>
      </c>
      <c r="AC331" s="138" t="str">
        <f>PROPER(LEFT(TRIM(F331), 3)) &amp; RIGHT(TRIM(B331), 3) &amp; PROPER(LEFT(TRIM(I331), 2))</f>
        <v>Roh003De</v>
      </c>
      <c r="AD331" s="154">
        <f t="shared" ca="1" si="16"/>
        <v>44</v>
      </c>
      <c r="AE331" s="154">
        <f>IFERROR(IF(OR(E331="", D331="", LOWER(TRIM(E331))="pending", LOWER(TRIM(D331))="pending"), "Pending", E331 - D331), "Pending")</f>
        <v>1</v>
      </c>
      <c r="AF331" s="138" t="str">
        <f>IFERROR(IF(OR(E331="", D331="","Pending","Pending"), "Pending", IF((E331 - D331) &lt;= 5, "On Time", "Delayed")), "Pending")</f>
        <v>On Time</v>
      </c>
      <c r="AG331" s="24" t="str">
        <f t="shared" si="17"/>
        <v>Completed</v>
      </c>
    </row>
    <row r="332" spans="1:33">
      <c r="A332" s="24" t="s">
        <v>1497</v>
      </c>
      <c r="B332" s="24" t="s">
        <v>53</v>
      </c>
      <c r="C332" s="24" t="s">
        <v>72</v>
      </c>
      <c r="D332" s="30">
        <v>46086</v>
      </c>
      <c r="E332" s="30" t="s">
        <v>798</v>
      </c>
      <c r="F332" s="24" t="str">
        <f>VLOOKUP(B332,Custumer_Master!A:D,2,FALSE)</f>
        <v>Pooja Shah</v>
      </c>
      <c r="G332" s="24" t="str">
        <f>VLOOKUP($B332,Custumer_Master!$A:$J,6,FALSE)</f>
        <v>Female</v>
      </c>
      <c r="H332" s="30" t="str">
        <f>VLOOKUP($B332,Custumer_Master!$A:$J,7,FALSE)</f>
        <v>16/09/1994</v>
      </c>
      <c r="I332" s="24" t="str">
        <f>VLOOKUP($B332,Custumer_Master!$A:$J,9,FALSE)</f>
        <v>Bengaluru</v>
      </c>
      <c r="J332" s="24" t="str">
        <f>VLOOKUP($B332,Custumer_Master!$A:$J,10,FALSE)</f>
        <v>South</v>
      </c>
      <c r="K332" s="24" t="str">
        <f>VLOOKUP(B332,Custumer_Master!A:D,4,FALSE)</f>
        <v>WB</v>
      </c>
      <c r="L332" s="24" t="str">
        <f>PROPER(TRIM(VLOOKUP('Final Data'!C332,Product_Master!A:F,3,FALSE)))</f>
        <v>Electronics</v>
      </c>
      <c r="M332" s="24" t="s">
        <v>78</v>
      </c>
      <c r="N332" s="34">
        <v>13</v>
      </c>
      <c r="O332" s="192">
        <f>VLOOKUP(C332,Product_Master!A:F,5,FALSE)</f>
        <v>900</v>
      </c>
      <c r="P332" s="33">
        <v>0</v>
      </c>
      <c r="Q332" s="34">
        <f t="shared" si="15"/>
        <v>11700</v>
      </c>
      <c r="R332" s="34">
        <v>3</v>
      </c>
      <c r="S332" s="24" t="s">
        <v>2148</v>
      </c>
      <c r="T332" s="24" t="s">
        <v>115</v>
      </c>
      <c r="U332" s="24" t="s">
        <v>62</v>
      </c>
      <c r="V332" s="34">
        <v>9142334315</v>
      </c>
      <c r="W332" s="24" t="str">
        <f>VLOOKUP(C332,Product_Master!A:F,4,FALSE)</f>
        <v>TechHub</v>
      </c>
      <c r="X332" s="34">
        <f>VLOOKUP(C332,Product_Master!A:F,6,FALSE)</f>
        <v>6</v>
      </c>
      <c r="Y332" s="24" t="str">
        <f>VLOOKUP(B332,Custumer_Master!A:D,3,FALSE)</f>
        <v>Silver</v>
      </c>
      <c r="Z332" s="30">
        <f>EDATE(E332,X332)</f>
        <v>46275</v>
      </c>
      <c r="AA332" s="29" t="str">
        <f>VLOOKUP(B332,Custumer_Master!A:K,11,)</f>
        <v>September</v>
      </c>
      <c r="AB332" s="24" t="s">
        <v>2108</v>
      </c>
      <c r="AC332" s="138" t="str">
        <f>PROPER(LEFT(TRIM(F332), 3)) &amp; RIGHT(TRIM(B332), 3) &amp; PROPER(LEFT(TRIM(I332), 2))</f>
        <v>Poo010Be</v>
      </c>
      <c r="AD332" s="154">
        <f t="shared" ca="1" si="16"/>
        <v>31</v>
      </c>
      <c r="AE332" s="154">
        <f>IFERROR(IF(OR(E332="", D332="", LOWER(TRIM(E332))="pending", LOWER(TRIM(D332))="pending"), "Pending", E332 - D332), "Pending")</f>
        <v>5</v>
      </c>
      <c r="AF332" s="138" t="str">
        <f>IFERROR(IF(OR(E332="", D332="","Pending","Pending"), "Pending", IF((E332 - D332) &lt;= 5, "On Time", "Delayed")), "Pending")</f>
        <v>On Time</v>
      </c>
      <c r="AG332" s="24" t="str">
        <f t="shared" si="17"/>
        <v>Completed</v>
      </c>
    </row>
    <row r="333" spans="1:33">
      <c r="A333" s="24" t="s">
        <v>1500</v>
      </c>
      <c r="B333" s="24" t="s">
        <v>327</v>
      </c>
      <c r="C333" s="24" t="s">
        <v>40</v>
      </c>
      <c r="D333" s="30">
        <v>45895</v>
      </c>
      <c r="E333" s="30" t="s">
        <v>1502</v>
      </c>
      <c r="F333" s="24" t="str">
        <f>VLOOKUP(B333,Custumer_Master!A:D,2,FALSE)</f>
        <v>Amit Sharma</v>
      </c>
      <c r="G333" s="24" t="str">
        <f>VLOOKUP($B333,Custumer_Master!$A:$J,6,FALSE)</f>
        <v>Male</v>
      </c>
      <c r="H333" s="30" t="str">
        <f>VLOOKUP($B333,Custumer_Master!$A:$J,7,FALSE)</f>
        <v>09/08/1991</v>
      </c>
      <c r="I333" s="24" t="str">
        <f>VLOOKUP($B333,Custumer_Master!$A:$J,9,FALSE)</f>
        <v>Pune</v>
      </c>
      <c r="J333" s="24" t="str">
        <f>VLOOKUP($B333,Custumer_Master!$A:$J,10,FALSE)</f>
        <v>West</v>
      </c>
      <c r="K333" s="24" t="str">
        <f>VLOOKUP(B333,Custumer_Master!A:D,4,FALSE)</f>
        <v>RJ</v>
      </c>
      <c r="L333" s="24" t="str">
        <f>PROPER(TRIM(VLOOKUP('Final Data'!C333,Product_Master!A:F,3,FALSE)))</f>
        <v>Electronics</v>
      </c>
      <c r="M333" s="24" t="s">
        <v>47</v>
      </c>
      <c r="N333" s="34">
        <v>5</v>
      </c>
      <c r="O333" s="192">
        <f>VLOOKUP(C333,Product_Master!A:F,5,FALSE)</f>
        <v>9000</v>
      </c>
      <c r="P333" s="33">
        <v>0.1</v>
      </c>
      <c r="Q333" s="34">
        <f t="shared" si="15"/>
        <v>40500</v>
      </c>
      <c r="R333" s="34">
        <v>3</v>
      </c>
      <c r="S333" s="24" t="s">
        <v>2149</v>
      </c>
      <c r="T333" s="24" t="s">
        <v>49</v>
      </c>
      <c r="U333" s="24" t="s">
        <v>332</v>
      </c>
      <c r="V333" s="34">
        <v>9123961962</v>
      </c>
      <c r="W333" s="24" t="str">
        <f>VLOOKUP(C333,Product_Master!A:F,4,FALSE)</f>
        <v>Global Trade</v>
      </c>
      <c r="X333" s="34">
        <f>VLOOKUP(C333,Product_Master!A:F,6,FALSE)</f>
        <v>24</v>
      </c>
      <c r="Y333" s="24" t="str">
        <f>VLOOKUP(B333,Custumer_Master!A:D,3,FALSE)</f>
        <v>Silver</v>
      </c>
      <c r="Z333" s="30">
        <f>EDATE(E333,X333)</f>
        <v>46637</v>
      </c>
      <c r="AA333" s="29" t="str">
        <f>VLOOKUP(B333,Custumer_Master!A:K,11,)</f>
        <v>August</v>
      </c>
      <c r="AB333" s="24" t="s">
        <v>2108</v>
      </c>
      <c r="AC333" s="138" t="str">
        <f>PROPER(LEFT(TRIM(F333), 3)) &amp; RIGHT(TRIM(B333), 3) &amp; PROPER(LEFT(TRIM(I333), 2))</f>
        <v>Ami001Pu</v>
      </c>
      <c r="AD333" s="154">
        <f t="shared" ca="1" si="16"/>
        <v>34</v>
      </c>
      <c r="AE333" s="154">
        <f>IFERROR(IF(OR(E333="", D333="", LOWER(TRIM(E333))="pending", LOWER(TRIM(D333))="pending"), "Pending", E333 - D333), "Pending")</f>
        <v>12</v>
      </c>
      <c r="AF333" s="138" t="str">
        <f>IFERROR(IF(OR(E333="", D333="","Pending","Pending"), "Pending", IF((E333 - D333) &lt;= 5, "On Time", "Delayed")), "Pending")</f>
        <v>Delayed</v>
      </c>
      <c r="AG333" s="24" t="str">
        <f t="shared" si="17"/>
        <v>Completed</v>
      </c>
    </row>
    <row r="334" spans="1:33">
      <c r="A334" s="24" t="s">
        <v>1505</v>
      </c>
      <c r="B334" s="24" t="s">
        <v>53</v>
      </c>
      <c r="C334" s="24" t="s">
        <v>259</v>
      </c>
      <c r="D334" s="30">
        <v>45752</v>
      </c>
      <c r="E334" s="30" t="s">
        <v>1507</v>
      </c>
      <c r="F334" s="24" t="str">
        <f>VLOOKUP(B334,Custumer_Master!A:D,2,FALSE)</f>
        <v>Pooja Shah</v>
      </c>
      <c r="G334" s="24" t="str">
        <f>VLOOKUP($B334,Custumer_Master!$A:$J,6,FALSE)</f>
        <v>Female</v>
      </c>
      <c r="H334" s="30" t="str">
        <f>VLOOKUP($B334,Custumer_Master!$A:$J,7,FALSE)</f>
        <v>16/09/1994</v>
      </c>
      <c r="I334" s="24" t="str">
        <f>VLOOKUP($B334,Custumer_Master!$A:$J,9,FALSE)</f>
        <v>Bengaluru</v>
      </c>
      <c r="J334" s="24" t="str">
        <f>VLOOKUP($B334,Custumer_Master!$A:$J,10,FALSE)</f>
        <v>South</v>
      </c>
      <c r="K334" s="24" t="str">
        <f>VLOOKUP(B334,Custumer_Master!A:D,4,FALSE)</f>
        <v>WB</v>
      </c>
      <c r="L334" s="24" t="str">
        <f>PROPER(TRIM(VLOOKUP('Final Data'!C334,Product_Master!A:F,3,FALSE)))</f>
        <v>Stationery</v>
      </c>
      <c r="M334" s="24" t="s">
        <v>263</v>
      </c>
      <c r="N334" s="34">
        <v>12</v>
      </c>
      <c r="O334" s="192">
        <f>VLOOKUP(C334,Product_Master!A:F,5,FALSE)</f>
        <v>33.75</v>
      </c>
      <c r="P334" s="33">
        <v>0.2</v>
      </c>
      <c r="Q334" s="34">
        <f t="shared" si="15"/>
        <v>324</v>
      </c>
      <c r="R334" s="34">
        <v>3</v>
      </c>
      <c r="S334" s="24" t="s">
        <v>2148</v>
      </c>
      <c r="T334" s="24" t="s">
        <v>61</v>
      </c>
      <c r="U334" s="24" t="s">
        <v>62</v>
      </c>
      <c r="V334" s="34">
        <v>9741953402</v>
      </c>
      <c r="W334" s="24" t="str">
        <f>VLOOKUP(C334,Product_Master!A:F,4,FALSE)</f>
        <v>TechHub</v>
      </c>
      <c r="X334" s="34">
        <f>VLOOKUP(C334,Product_Master!A:F,6,FALSE)</f>
        <v>12</v>
      </c>
      <c r="Y334" s="24" t="str">
        <f>VLOOKUP(B334,Custumer_Master!A:D,3,FALSE)</f>
        <v>Silver</v>
      </c>
      <c r="Z334" s="30">
        <f>EDATE(E334,X334)</f>
        <v>46120</v>
      </c>
      <c r="AA334" s="29" t="str">
        <f>VLOOKUP(B334,Custumer_Master!A:K,11,)</f>
        <v>September</v>
      </c>
      <c r="AB334" s="24" t="s">
        <v>2108</v>
      </c>
      <c r="AC334" s="138" t="str">
        <f>PROPER(LEFT(TRIM(F334), 3)) &amp; RIGHT(TRIM(B334), 3) &amp; PROPER(LEFT(TRIM(I334), 2))</f>
        <v>Poo010Be</v>
      </c>
      <c r="AD334" s="154">
        <f t="shared" ca="1" si="16"/>
        <v>31</v>
      </c>
      <c r="AE334" s="154">
        <f>IFERROR(IF(OR(E334="", D334="", LOWER(TRIM(E334))="pending", LOWER(TRIM(D334))="pending"), "Pending", E334 - D334), "Pending")</f>
        <v>3</v>
      </c>
      <c r="AF334" s="138" t="str">
        <f>IFERROR(IF(OR(E334="", D334="","Pending","Pending"), "Pending", IF((E334 - D334) &lt;= 5, "On Time", "Delayed")), "Pending")</f>
        <v>On Time</v>
      </c>
      <c r="AG334" s="24" t="str">
        <f t="shared" si="17"/>
        <v>Completed</v>
      </c>
    </row>
    <row r="335" spans="1:33">
      <c r="A335" s="24" t="s">
        <v>1510</v>
      </c>
      <c r="B335" s="24" t="s">
        <v>23</v>
      </c>
      <c r="C335" s="24" t="s">
        <v>92</v>
      </c>
      <c r="D335" s="30">
        <v>45756</v>
      </c>
      <c r="E335" s="30" t="s">
        <v>666</v>
      </c>
      <c r="F335" s="24" t="str">
        <f>VLOOKUP(B335,Custumer_Master!A:D,2,FALSE)</f>
        <v>Kavya Nair</v>
      </c>
      <c r="G335" s="24" t="str">
        <f>VLOOKUP($B335,Custumer_Master!$A:$J,6,FALSE)</f>
        <v>Female</v>
      </c>
      <c r="H335" s="30" t="str">
        <f>VLOOKUP($B335,Custumer_Master!$A:$J,7,FALSE)</f>
        <v>01/08/1976</v>
      </c>
      <c r="I335" s="24" t="str">
        <f>VLOOKUP($B335,Custumer_Master!$A:$J,9,FALSE)</f>
        <v>Hyderabad</v>
      </c>
      <c r="J335" s="24" t="str">
        <f>VLOOKUP($B335,Custumer_Master!$A:$J,10,FALSE)</f>
        <v>South</v>
      </c>
      <c r="K335" s="24" t="str">
        <f>VLOOKUP(B335,Custumer_Master!A:D,4,FALSE)</f>
        <v>WB</v>
      </c>
      <c r="L335" s="24" t="str">
        <f>PROPER(TRIM(VLOOKUP('Final Data'!C335,Product_Master!A:F,3,FALSE)))</f>
        <v>Home Appliances</v>
      </c>
      <c r="M335" s="24" t="s">
        <v>97</v>
      </c>
      <c r="N335" s="34">
        <v>2</v>
      </c>
      <c r="O335" s="192">
        <f>VLOOKUP(C335,Product_Master!A:F,5,FALSE)</f>
        <v>2625</v>
      </c>
      <c r="P335" s="33">
        <v>0</v>
      </c>
      <c r="Q335" s="34">
        <f t="shared" si="15"/>
        <v>5250</v>
      </c>
      <c r="R335" s="34">
        <v>1</v>
      </c>
      <c r="S335" s="24" t="s">
        <v>2148</v>
      </c>
      <c r="T335" s="24" t="s">
        <v>115</v>
      </c>
      <c r="U335" s="24" t="s">
        <v>50</v>
      </c>
      <c r="V335" s="34">
        <v>9404733633</v>
      </c>
      <c r="W335" s="24" t="str">
        <f>VLOOKUP(C335,Product_Master!A:F,4,FALSE)</f>
        <v>Global Trade</v>
      </c>
      <c r="X335" s="34">
        <f>VLOOKUP(C335,Product_Master!A:F,6,FALSE)</f>
        <v>6</v>
      </c>
      <c r="Y335" s="24" t="str">
        <f>VLOOKUP(B335,Custumer_Master!A:D,3,FALSE)</f>
        <v>Silver</v>
      </c>
      <c r="Z335" s="30">
        <f>EDATE(E335,X335)</f>
        <v>45944</v>
      </c>
      <c r="AA335" s="29" t="str">
        <f>VLOOKUP(B335,Custumer_Master!A:K,11,)</f>
        <v>August</v>
      </c>
      <c r="AB335" s="24" t="s">
        <v>2160</v>
      </c>
      <c r="AC335" s="138" t="str">
        <f>PROPER(LEFT(TRIM(F335), 3)) &amp; RIGHT(TRIM(B335), 3) &amp; PROPER(LEFT(TRIM(I335), 2))</f>
        <v>Kav008Hy</v>
      </c>
      <c r="AD335" s="154">
        <f t="shared" ca="1" si="16"/>
        <v>49</v>
      </c>
      <c r="AE335" s="154">
        <f>IFERROR(IF(OR(E335="", D335="", LOWER(TRIM(E335))="pending", LOWER(TRIM(D335))="pending"), "Pending", E335 - D335), "Pending")</f>
        <v>5</v>
      </c>
      <c r="AF335" s="138" t="str">
        <f>IFERROR(IF(OR(E335="", D335="","Pending","Pending"), "Pending", IF((E335 - D335) &lt;= 5, "On Time", "Delayed")), "Pending")</f>
        <v>On Time</v>
      </c>
      <c r="AG335" s="24" t="str">
        <f t="shared" si="17"/>
        <v>Completed</v>
      </c>
    </row>
    <row r="336" spans="1:33">
      <c r="A336" s="24" t="s">
        <v>1513</v>
      </c>
      <c r="B336" s="24" t="s">
        <v>23</v>
      </c>
      <c r="C336" s="24" t="s">
        <v>24</v>
      </c>
      <c r="D336" s="30">
        <v>46155</v>
      </c>
      <c r="E336" s="30" t="s">
        <v>1180</v>
      </c>
      <c r="F336" s="24" t="str">
        <f>VLOOKUP(B336,Custumer_Master!A:D,2,FALSE)</f>
        <v>Kavya Nair</v>
      </c>
      <c r="G336" s="24" t="str">
        <f>VLOOKUP($B336,Custumer_Master!$A:$J,6,FALSE)</f>
        <v>Female</v>
      </c>
      <c r="H336" s="30" t="str">
        <f>VLOOKUP($B336,Custumer_Master!$A:$J,7,FALSE)</f>
        <v>01/08/1976</v>
      </c>
      <c r="I336" s="24" t="str">
        <f>VLOOKUP($B336,Custumer_Master!$A:$J,9,FALSE)</f>
        <v>Hyderabad</v>
      </c>
      <c r="J336" s="24" t="str">
        <f>VLOOKUP($B336,Custumer_Master!$A:$J,10,FALSE)</f>
        <v>South</v>
      </c>
      <c r="K336" s="24" t="str">
        <f>VLOOKUP(B336,Custumer_Master!A:D,4,FALSE)</f>
        <v>WB</v>
      </c>
      <c r="L336" s="24" t="str">
        <f>PROPER(TRIM(VLOOKUP('Final Data'!C336,Product_Master!A:F,3,FALSE)))</f>
        <v>Home Appliances</v>
      </c>
      <c r="M336" s="24" t="s">
        <v>33</v>
      </c>
      <c r="N336" s="34">
        <v>15</v>
      </c>
      <c r="O336" s="192">
        <f>VLOOKUP(C336,Product_Master!A:F,5,FALSE)</f>
        <v>1650</v>
      </c>
      <c r="P336" s="33">
        <v>0.15</v>
      </c>
      <c r="Q336" s="34">
        <f t="shared" si="15"/>
        <v>21037.5</v>
      </c>
      <c r="R336" s="34">
        <v>2</v>
      </c>
      <c r="S336" s="24" t="s">
        <v>2148</v>
      </c>
      <c r="T336" s="24" t="s">
        <v>49</v>
      </c>
      <c r="U336" s="24" t="s">
        <v>50</v>
      </c>
      <c r="V336" s="34">
        <v>9297492337</v>
      </c>
      <c r="W336" s="24" t="str">
        <f>VLOOKUP(C336,Product_Master!A:F,4,FALSE)</f>
        <v>Global Trade</v>
      </c>
      <c r="X336" s="34">
        <f>VLOOKUP(C336,Product_Master!A:F,6,FALSE)</f>
        <v>24</v>
      </c>
      <c r="Y336" s="24" t="str">
        <f>VLOOKUP(B336,Custumer_Master!A:D,3,FALSE)</f>
        <v>Silver</v>
      </c>
      <c r="Z336" s="30">
        <f>EDATE(E336,X336)</f>
        <v>46889</v>
      </c>
      <c r="AA336" s="29" t="str">
        <f>VLOOKUP(B336,Custumer_Master!A:K,11,)</f>
        <v>August</v>
      </c>
      <c r="AB336" s="24" t="s">
        <v>2160</v>
      </c>
      <c r="AC336" s="138" t="str">
        <f>PROPER(LEFT(TRIM(F336), 3)) &amp; RIGHT(TRIM(B336), 3) &amp; PROPER(LEFT(TRIM(I336), 2))</f>
        <v>Kav008Hy</v>
      </c>
      <c r="AD336" s="154">
        <f t="shared" ca="1" si="16"/>
        <v>49</v>
      </c>
      <c r="AE336" s="154">
        <f>IFERROR(IF(OR(E336="", D336="", LOWER(TRIM(E336))="pending", LOWER(TRIM(D336))="pending"), "Pending", E336 - D336), "Pending")</f>
        <v>3</v>
      </c>
      <c r="AF336" s="138" t="str">
        <f>IFERROR(IF(OR(E336="", D336="","Pending","Pending"), "Pending", IF((E336 - D336) &lt;= 5, "On Time", "Delayed")), "Pending")</f>
        <v>On Time</v>
      </c>
      <c r="AG336" s="24" t="str">
        <f t="shared" si="17"/>
        <v>Completed</v>
      </c>
    </row>
    <row r="337" spans="1:33">
      <c r="A337" s="24" t="s">
        <v>1516</v>
      </c>
      <c r="B337" s="24" t="s">
        <v>100</v>
      </c>
      <c r="C337" s="24" t="s">
        <v>222</v>
      </c>
      <c r="D337" s="30">
        <v>45995</v>
      </c>
      <c r="E337" s="30" t="s">
        <v>1253</v>
      </c>
      <c r="F337" s="24" t="str">
        <f>VLOOKUP(B337,Custumer_Master!A:D,2,FALSE)</f>
        <v>Priya Patel</v>
      </c>
      <c r="G337" s="24" t="str">
        <f>VLOOKUP($B337,Custumer_Master!$A:$J,6,FALSE)</f>
        <v>Female</v>
      </c>
      <c r="H337" s="30" t="str">
        <f>VLOOKUP($B337,Custumer_Master!$A:$J,7,FALSE)</f>
        <v>07/03/1995</v>
      </c>
      <c r="I337" s="24" t="str">
        <f>VLOOKUP($B337,Custumer_Master!$A:$J,9,FALSE)</f>
        <v>Mumbai</v>
      </c>
      <c r="J337" s="24" t="str">
        <f>VLOOKUP($B337,Custumer_Master!$A:$J,10,FALSE)</f>
        <v>West</v>
      </c>
      <c r="K337" s="24" t="str">
        <f>VLOOKUP(B337,Custumer_Master!A:D,4,FALSE)</f>
        <v>WB</v>
      </c>
      <c r="L337" s="24" t="str">
        <f>PROPER(TRIM(VLOOKUP('Final Data'!C337,Product_Master!A:F,3,FALSE)))</f>
        <v>Stationery</v>
      </c>
      <c r="M337" s="24" t="s">
        <v>227</v>
      </c>
      <c r="N337" s="34">
        <v>8</v>
      </c>
      <c r="O337" s="192">
        <f>VLOOKUP(C337,Product_Master!A:F,5,FALSE)</f>
        <v>15</v>
      </c>
      <c r="P337" s="33">
        <v>0.2</v>
      </c>
      <c r="Q337" s="34">
        <f t="shared" si="15"/>
        <v>96</v>
      </c>
      <c r="R337" s="34">
        <v>5</v>
      </c>
      <c r="S337" s="24" t="s">
        <v>2149</v>
      </c>
      <c r="T337" s="24" t="s">
        <v>49</v>
      </c>
      <c r="U337" s="24" t="s">
        <v>144</v>
      </c>
      <c r="V337" s="34">
        <v>9350338928</v>
      </c>
      <c r="W337" s="24" t="str">
        <f>VLOOKUP(C337,Product_Master!A:F,4,FALSE)</f>
        <v>Prime Supplies</v>
      </c>
      <c r="X337" s="34">
        <f>VLOOKUP(C337,Product_Master!A:F,6,FALSE)</f>
        <v>12</v>
      </c>
      <c r="Y337" s="24" t="str">
        <f>VLOOKUP(B337,Custumer_Master!A:D,3,FALSE)</f>
        <v>Platinum</v>
      </c>
      <c r="Z337" s="30">
        <f>EDATE(E337,X337)</f>
        <v>46368</v>
      </c>
      <c r="AA337" s="29" t="str">
        <f>VLOOKUP(B337,Custumer_Master!A:K,11,)</f>
        <v>March</v>
      </c>
      <c r="AB337" s="24" t="s">
        <v>2108</v>
      </c>
      <c r="AC337" s="138" t="str">
        <f>PROPER(LEFT(TRIM(F337), 3)) &amp; RIGHT(TRIM(B337), 3) &amp; PROPER(LEFT(TRIM(I337), 2))</f>
        <v>Pri002Mu</v>
      </c>
      <c r="AD337" s="154">
        <f t="shared" ca="1" si="16"/>
        <v>31</v>
      </c>
      <c r="AE337" s="154">
        <f>IFERROR(IF(OR(E337="", D337="", LOWER(TRIM(E337))="pending", LOWER(TRIM(D337))="pending"), "Pending", E337 - D337), "Pending")</f>
        <v>8</v>
      </c>
      <c r="AF337" s="138" t="str">
        <f>IFERROR(IF(OR(E337="", D337="","Pending","Pending"), "Pending", IF((E337 - D337) &lt;= 5, "On Time", "Delayed")), "Pending")</f>
        <v>Delayed</v>
      </c>
      <c r="AG337" s="24" t="str">
        <f t="shared" si="17"/>
        <v>Completed</v>
      </c>
    </row>
    <row r="338" spans="1:33">
      <c r="A338" s="24" t="s">
        <v>1519</v>
      </c>
      <c r="B338" s="24" t="s">
        <v>127</v>
      </c>
      <c r="C338" s="24" t="s">
        <v>222</v>
      </c>
      <c r="D338" s="30">
        <v>46089</v>
      </c>
      <c r="E338" s="30" t="s">
        <v>798</v>
      </c>
      <c r="F338" s="24" t="str">
        <f>VLOOKUP(B338,Custumer_Master!A:D,2,FALSE)</f>
        <v>Rohit Singh</v>
      </c>
      <c r="G338" s="24" t="str">
        <f>VLOOKUP($B338,Custumer_Master!$A:$J,6,FALSE)</f>
        <v>Male</v>
      </c>
      <c r="H338" s="30" t="str">
        <f>VLOOKUP($B338,Custumer_Master!$A:$J,7,FALSE)</f>
        <v>10/05/1982</v>
      </c>
      <c r="I338" s="24" t="str">
        <f>VLOOKUP($B338,Custumer_Master!$A:$J,9,FALSE)</f>
        <v>Delhi</v>
      </c>
      <c r="J338" s="24" t="str">
        <f>VLOOKUP($B338,Custumer_Master!$A:$J,10,FALSE)</f>
        <v>North</v>
      </c>
      <c r="K338" s="24" t="str">
        <f>VLOOKUP(B338,Custumer_Master!A:D,4,FALSE)</f>
        <v>DL</v>
      </c>
      <c r="L338" s="24" t="str">
        <f>PROPER(TRIM(VLOOKUP('Final Data'!C338,Product_Master!A:F,3,FALSE)))</f>
        <v>Stationery</v>
      </c>
      <c r="M338" s="24" t="s">
        <v>227</v>
      </c>
      <c r="N338" s="34">
        <v>1</v>
      </c>
      <c r="O338" s="192">
        <f>VLOOKUP(C338,Product_Master!A:F,5,FALSE)</f>
        <v>15</v>
      </c>
      <c r="P338" s="33">
        <v>0</v>
      </c>
      <c r="Q338" s="34">
        <f t="shared" si="15"/>
        <v>15</v>
      </c>
      <c r="R338" s="34">
        <v>3</v>
      </c>
      <c r="S338" s="24" t="s">
        <v>2149</v>
      </c>
      <c r="T338" s="24" t="s">
        <v>35</v>
      </c>
      <c r="U338" s="24" t="s">
        <v>132</v>
      </c>
      <c r="V338" s="34">
        <v>9933894798</v>
      </c>
      <c r="W338" s="24" t="str">
        <f>VLOOKUP(C338,Product_Master!A:F,4,FALSE)</f>
        <v>Prime Supplies</v>
      </c>
      <c r="X338" s="34">
        <f>VLOOKUP(C338,Product_Master!A:F,6,FALSE)</f>
        <v>12</v>
      </c>
      <c r="Y338" s="24" t="str">
        <f>VLOOKUP(B338,Custumer_Master!A:D,3,FALSE)</f>
        <v>Gold</v>
      </c>
      <c r="Z338" s="30">
        <f>EDATE(E338,X338)</f>
        <v>46456</v>
      </c>
      <c r="AA338" s="29" t="str">
        <f>VLOOKUP(B338,Custumer_Master!A:K,11,)</f>
        <v>May</v>
      </c>
      <c r="AB338" s="24" t="s">
        <v>2108</v>
      </c>
      <c r="AC338" s="138" t="str">
        <f>PROPER(LEFT(TRIM(F338), 3)) &amp; RIGHT(TRIM(B338), 3) &amp; PROPER(LEFT(TRIM(I338), 2))</f>
        <v>Roh003De</v>
      </c>
      <c r="AD338" s="154">
        <f t="shared" ca="1" si="16"/>
        <v>44</v>
      </c>
      <c r="AE338" s="154">
        <f>IFERROR(IF(OR(E338="", D338="", LOWER(TRIM(E338))="pending", LOWER(TRIM(D338))="pending"), "Pending", E338 - D338), "Pending")</f>
        <v>2</v>
      </c>
      <c r="AF338" s="138" t="str">
        <f>IFERROR(IF(OR(E338="", D338="","Pending","Pending"), "Pending", IF((E338 - D338) &lt;= 5, "On Time", "Delayed")), "Pending")</f>
        <v>On Time</v>
      </c>
      <c r="AG338" s="24" t="str">
        <f t="shared" si="17"/>
        <v>Completed</v>
      </c>
    </row>
    <row r="339" spans="1:33">
      <c r="A339" s="24" t="s">
        <v>1522</v>
      </c>
      <c r="B339" s="24" t="s">
        <v>23</v>
      </c>
      <c r="C339" s="24" t="s">
        <v>184</v>
      </c>
      <c r="D339" s="30">
        <v>46027</v>
      </c>
      <c r="E339" s="30" t="s">
        <v>253</v>
      </c>
      <c r="F339" s="24" t="str">
        <f>VLOOKUP(B339,Custumer_Master!A:D,2,FALSE)</f>
        <v>Kavya Nair</v>
      </c>
      <c r="G339" s="24" t="str">
        <f>VLOOKUP($B339,Custumer_Master!$A:$J,6,FALSE)</f>
        <v>Female</v>
      </c>
      <c r="H339" s="30" t="str">
        <f>VLOOKUP($B339,Custumer_Master!$A:$J,7,FALSE)</f>
        <v>01/08/1976</v>
      </c>
      <c r="I339" s="24" t="str">
        <f>VLOOKUP($B339,Custumer_Master!$A:$J,9,FALSE)</f>
        <v>Hyderabad</v>
      </c>
      <c r="J339" s="24" t="str">
        <f>VLOOKUP($B339,Custumer_Master!$A:$J,10,FALSE)</f>
        <v>South</v>
      </c>
      <c r="K339" s="24" t="str">
        <f>VLOOKUP(B339,Custumer_Master!A:D,4,FALSE)</f>
        <v>WB</v>
      </c>
      <c r="L339" s="24" t="str">
        <f>PROPER(TRIM(VLOOKUP('Final Data'!C339,Product_Master!A:F,3,FALSE)))</f>
        <v>Electronics</v>
      </c>
      <c r="M339" s="24" t="s">
        <v>189</v>
      </c>
      <c r="N339" s="34">
        <v>15</v>
      </c>
      <c r="O339" s="192">
        <f>VLOOKUP(C339,Product_Master!A:F,5,FALSE)</f>
        <v>525</v>
      </c>
      <c r="P339" s="33">
        <v>0</v>
      </c>
      <c r="Q339" s="34">
        <f t="shared" si="15"/>
        <v>7875</v>
      </c>
      <c r="R339" s="34">
        <v>2</v>
      </c>
      <c r="S339" s="24" t="s">
        <v>2149</v>
      </c>
      <c r="T339" s="24" t="s">
        <v>49</v>
      </c>
      <c r="U339" s="24" t="s">
        <v>50</v>
      </c>
      <c r="V339" s="34">
        <v>9705218824</v>
      </c>
      <c r="W339" s="24" t="str">
        <f>VLOOKUP(C339,Product_Master!A:F,4,FALSE)</f>
        <v>TechHub</v>
      </c>
      <c r="X339" s="34">
        <f>VLOOKUP(C339,Product_Master!A:F,6,FALSE)</f>
        <v>24</v>
      </c>
      <c r="Y339" s="24" t="str">
        <f>VLOOKUP(B339,Custumer_Master!A:D,3,FALSE)</f>
        <v>Silver</v>
      </c>
      <c r="Z339" s="30">
        <f>EDATE(E339,X339)</f>
        <v>46768</v>
      </c>
      <c r="AA339" s="29" t="str">
        <f>VLOOKUP(B339,Custumer_Master!A:K,11,)</f>
        <v>August</v>
      </c>
      <c r="AB339" s="24" t="s">
        <v>2160</v>
      </c>
      <c r="AC339" s="138" t="str">
        <f>PROPER(LEFT(TRIM(F339), 3)) &amp; RIGHT(TRIM(B339), 3) &amp; PROPER(LEFT(TRIM(I339), 2))</f>
        <v>Kav008Hy</v>
      </c>
      <c r="AD339" s="154">
        <f t="shared" ca="1" si="16"/>
        <v>49</v>
      </c>
      <c r="AE339" s="154">
        <f>IFERROR(IF(OR(E339="", D339="", LOWER(TRIM(E339))="pending", LOWER(TRIM(D339))="pending"), "Pending", E339 - D339), "Pending")</f>
        <v>11</v>
      </c>
      <c r="AF339" s="138" t="str">
        <f>IFERROR(IF(OR(E339="", D339="","Pending","Pending"), "Pending", IF((E339 - D339) &lt;= 5, "On Time", "Delayed")), "Pending")</f>
        <v>Delayed</v>
      </c>
      <c r="AG339" s="24" t="str">
        <f t="shared" si="17"/>
        <v>Completed</v>
      </c>
    </row>
    <row r="340" spans="1:33">
      <c r="A340" s="24" t="s">
        <v>1525</v>
      </c>
      <c r="B340" s="24" t="s">
        <v>327</v>
      </c>
      <c r="C340" s="24" t="s">
        <v>92</v>
      </c>
      <c r="D340" s="30">
        <v>45695</v>
      </c>
      <c r="E340" s="30" t="s">
        <v>1526</v>
      </c>
      <c r="F340" s="24" t="str">
        <f>VLOOKUP(B340,Custumer_Master!A:D,2,FALSE)</f>
        <v>Amit Sharma</v>
      </c>
      <c r="G340" s="24" t="str">
        <f>VLOOKUP($B340,Custumer_Master!$A:$J,6,FALSE)</f>
        <v>Male</v>
      </c>
      <c r="H340" s="30" t="str">
        <f>VLOOKUP($B340,Custumer_Master!$A:$J,7,FALSE)</f>
        <v>09/08/1991</v>
      </c>
      <c r="I340" s="24" t="str">
        <f>VLOOKUP($B340,Custumer_Master!$A:$J,9,FALSE)</f>
        <v>Pune</v>
      </c>
      <c r="J340" s="24" t="str">
        <f>VLOOKUP($B340,Custumer_Master!$A:$J,10,FALSE)</f>
        <v>West</v>
      </c>
      <c r="K340" s="24" t="str">
        <f>VLOOKUP(B340,Custumer_Master!A:D,4,FALSE)</f>
        <v>RJ</v>
      </c>
      <c r="L340" s="24" t="str">
        <f>PROPER(TRIM(VLOOKUP('Final Data'!C340,Product_Master!A:F,3,FALSE)))</f>
        <v>Home Appliances</v>
      </c>
      <c r="M340" s="24" t="s">
        <v>97</v>
      </c>
      <c r="N340" s="34">
        <v>15</v>
      </c>
      <c r="O340" s="192">
        <f>VLOOKUP(C340,Product_Master!A:F,5,FALSE)</f>
        <v>2625</v>
      </c>
      <c r="P340" s="33">
        <v>0.1</v>
      </c>
      <c r="Q340" s="34">
        <f t="shared" si="15"/>
        <v>35437.5</v>
      </c>
      <c r="R340" s="34">
        <v>3</v>
      </c>
      <c r="S340" s="24" t="s">
        <v>34</v>
      </c>
      <c r="T340" s="24" t="s">
        <v>151</v>
      </c>
      <c r="U340" s="24" t="s">
        <v>332</v>
      </c>
      <c r="V340" s="34">
        <v>9229164453</v>
      </c>
      <c r="W340" s="24" t="str">
        <f>VLOOKUP(C340,Product_Master!A:F,4,FALSE)</f>
        <v>Global Trade</v>
      </c>
      <c r="X340" s="34">
        <f>VLOOKUP(C340,Product_Master!A:F,6,FALSE)</f>
        <v>6</v>
      </c>
      <c r="Y340" s="24" t="str">
        <f>VLOOKUP(B340,Custumer_Master!A:D,3,FALSE)</f>
        <v>Silver</v>
      </c>
      <c r="Z340" s="30">
        <f>EDATE(E340,X340)</f>
        <v>45879</v>
      </c>
      <c r="AA340" s="29" t="str">
        <f>VLOOKUP(B340,Custumer_Master!A:K,11,)</f>
        <v>August</v>
      </c>
      <c r="AB340" s="24" t="s">
        <v>2108</v>
      </c>
      <c r="AC340" s="138" t="str">
        <f>PROPER(LEFT(TRIM(F340), 3)) &amp; RIGHT(TRIM(B340), 3) &amp; PROPER(LEFT(TRIM(I340), 2))</f>
        <v>Ami001Pu</v>
      </c>
      <c r="AD340" s="154">
        <f t="shared" ca="1" si="16"/>
        <v>34</v>
      </c>
      <c r="AE340" s="154">
        <f>IFERROR(IF(OR(E340="", D340="", LOWER(TRIM(E340))="pending", LOWER(TRIM(D340))="pending"), "Pending", E340 - D340), "Pending")</f>
        <v>3</v>
      </c>
      <c r="AF340" s="138" t="str">
        <f>IFERROR(IF(OR(E340="", D340="","Pending","Pending"), "Pending", IF((E340 - D340) &lt;= 5, "On Time", "Delayed")), "Pending")</f>
        <v>On Time</v>
      </c>
      <c r="AG340" s="24" t="str">
        <f t="shared" si="17"/>
        <v>Completed</v>
      </c>
    </row>
    <row r="341" spans="1:33">
      <c r="A341" s="24" t="s">
        <v>1529</v>
      </c>
      <c r="B341" s="24" t="s">
        <v>23</v>
      </c>
      <c r="C341" s="24" t="s">
        <v>118</v>
      </c>
      <c r="D341" s="30">
        <v>45866</v>
      </c>
      <c r="E341" s="30" t="s">
        <v>156</v>
      </c>
      <c r="F341" s="24" t="str">
        <f>VLOOKUP(B341,Custumer_Master!A:D,2,FALSE)</f>
        <v>Kavya Nair</v>
      </c>
      <c r="G341" s="24" t="str">
        <f>VLOOKUP($B341,Custumer_Master!$A:$J,6,FALSE)</f>
        <v>Female</v>
      </c>
      <c r="H341" s="30" t="str">
        <f>VLOOKUP($B341,Custumer_Master!$A:$J,7,FALSE)</f>
        <v>01/08/1976</v>
      </c>
      <c r="I341" s="24" t="str">
        <f>VLOOKUP($B341,Custumer_Master!$A:$J,9,FALSE)</f>
        <v>Hyderabad</v>
      </c>
      <c r="J341" s="24" t="str">
        <f>VLOOKUP($B341,Custumer_Master!$A:$J,10,FALSE)</f>
        <v>South</v>
      </c>
      <c r="K341" s="24" t="str">
        <f>VLOOKUP(B341,Custumer_Master!A:D,4,FALSE)</f>
        <v>WB</v>
      </c>
      <c r="L341" s="24" t="str">
        <f>PROPER(TRIM(VLOOKUP('Final Data'!C341,Product_Master!A:F,3,FALSE)))</f>
        <v>Stationery</v>
      </c>
      <c r="M341" s="24" t="s">
        <v>123</v>
      </c>
      <c r="N341" s="34">
        <v>16</v>
      </c>
      <c r="O341" s="192">
        <f>VLOOKUP(C341,Product_Master!A:F,5,FALSE)</f>
        <v>45</v>
      </c>
      <c r="P341" s="33">
        <v>0.1</v>
      </c>
      <c r="Q341" s="34">
        <f t="shared" si="15"/>
        <v>648</v>
      </c>
      <c r="R341" s="34">
        <v>4</v>
      </c>
      <c r="S341" s="24" t="s">
        <v>79</v>
      </c>
      <c r="T341" s="24" t="s">
        <v>61</v>
      </c>
      <c r="U341" s="24" t="s">
        <v>50</v>
      </c>
      <c r="V341" s="34">
        <v>9219806176</v>
      </c>
      <c r="W341" s="24" t="str">
        <f>VLOOKUP(C341,Product_Master!A:F,4,FALSE)</f>
        <v>ABC Corp</v>
      </c>
      <c r="X341" s="34">
        <f>VLOOKUP(C341,Product_Master!A:F,6,FALSE)</f>
        <v>12</v>
      </c>
      <c r="Y341" s="24" t="str">
        <f>VLOOKUP(B341,Custumer_Master!A:D,3,FALSE)</f>
        <v>Silver</v>
      </c>
      <c r="Z341" s="30">
        <f>EDATE(E341,X341)</f>
        <v>46241</v>
      </c>
      <c r="AA341" s="29" t="str">
        <f>VLOOKUP(B341,Custumer_Master!A:K,11,)</f>
        <v>August</v>
      </c>
      <c r="AB341" s="24" t="s">
        <v>2108</v>
      </c>
      <c r="AC341" s="138" t="str">
        <f>PROPER(LEFT(TRIM(F341), 3)) &amp; RIGHT(TRIM(B341), 3) &amp; PROPER(LEFT(TRIM(I341), 2))</f>
        <v>Kav008Hy</v>
      </c>
      <c r="AD341" s="154">
        <f t="shared" ca="1" si="16"/>
        <v>49</v>
      </c>
      <c r="AE341" s="154">
        <f>IFERROR(IF(OR(E341="", D341="", LOWER(TRIM(E341))="pending", LOWER(TRIM(D341))="pending"), "Pending", E341 - D341), "Pending")</f>
        <v>10</v>
      </c>
      <c r="AF341" s="138" t="str">
        <f>IFERROR(IF(OR(E341="", D341="","Pending","Pending"), "Pending", IF((E341 - D341) &lt;= 5, "On Time", "Delayed")), "Pending")</f>
        <v>Delayed</v>
      </c>
      <c r="AG341" s="24" t="str">
        <f t="shared" si="17"/>
        <v>Completed</v>
      </c>
    </row>
    <row r="342" spans="1:33">
      <c r="A342" s="24" t="s">
        <v>1533</v>
      </c>
      <c r="B342" s="24" t="s">
        <v>127</v>
      </c>
      <c r="C342" s="24" t="s">
        <v>259</v>
      </c>
      <c r="D342" s="30">
        <v>45945</v>
      </c>
      <c r="E342" s="30" t="s">
        <v>793</v>
      </c>
      <c r="F342" s="24" t="str">
        <f>VLOOKUP(B342,Custumer_Master!A:D,2,FALSE)</f>
        <v>Rohit Singh</v>
      </c>
      <c r="G342" s="24" t="str">
        <f>VLOOKUP($B342,Custumer_Master!$A:$J,6,FALSE)</f>
        <v>Male</v>
      </c>
      <c r="H342" s="30" t="str">
        <f>VLOOKUP($B342,Custumer_Master!$A:$J,7,FALSE)</f>
        <v>10/05/1982</v>
      </c>
      <c r="I342" s="24" t="str">
        <f>VLOOKUP($B342,Custumer_Master!$A:$J,9,FALSE)</f>
        <v>Delhi</v>
      </c>
      <c r="J342" s="24" t="str">
        <f>VLOOKUP($B342,Custumer_Master!$A:$J,10,FALSE)</f>
        <v>North</v>
      </c>
      <c r="K342" s="24" t="str">
        <f>VLOOKUP(B342,Custumer_Master!A:D,4,FALSE)</f>
        <v>DL</v>
      </c>
      <c r="L342" s="24" t="str">
        <f>PROPER(TRIM(VLOOKUP('Final Data'!C342,Product_Master!A:F,3,FALSE)))</f>
        <v>Stationery</v>
      </c>
      <c r="M342" s="24" t="s">
        <v>263</v>
      </c>
      <c r="N342" s="34">
        <v>2</v>
      </c>
      <c r="O342" s="192">
        <f>VLOOKUP(C342,Product_Master!A:F,5,FALSE)</f>
        <v>33.75</v>
      </c>
      <c r="P342" s="33">
        <v>0.15</v>
      </c>
      <c r="Q342" s="34">
        <f t="shared" si="15"/>
        <v>57.375</v>
      </c>
      <c r="R342" s="34">
        <v>1</v>
      </c>
      <c r="S342" s="24" t="s">
        <v>2149</v>
      </c>
      <c r="T342" s="24" t="s">
        <v>151</v>
      </c>
      <c r="U342" s="24" t="s">
        <v>132</v>
      </c>
      <c r="V342" s="34">
        <v>9630210250</v>
      </c>
      <c r="W342" s="24" t="str">
        <f>VLOOKUP(C342,Product_Master!A:F,4,FALSE)</f>
        <v>TechHub</v>
      </c>
      <c r="X342" s="34">
        <f>VLOOKUP(C342,Product_Master!A:F,6,FALSE)</f>
        <v>12</v>
      </c>
      <c r="Y342" s="24" t="str">
        <f>VLOOKUP(B342,Custumer_Master!A:D,3,FALSE)</f>
        <v>Gold</v>
      </c>
      <c r="Z342" s="30">
        <f>EDATE(E342,X342)</f>
        <v>46316</v>
      </c>
      <c r="AA342" s="29" t="str">
        <f>VLOOKUP(B342,Custumer_Master!A:K,11,)</f>
        <v>May</v>
      </c>
      <c r="AB342" s="24" t="s">
        <v>2160</v>
      </c>
      <c r="AC342" s="138" t="str">
        <f>PROPER(LEFT(TRIM(F342), 3)) &amp; RIGHT(TRIM(B342), 3) &amp; PROPER(LEFT(TRIM(I342), 2))</f>
        <v>Roh003De</v>
      </c>
      <c r="AD342" s="154">
        <f t="shared" ca="1" si="16"/>
        <v>44</v>
      </c>
      <c r="AE342" s="154">
        <f>IFERROR(IF(OR(E342="", D342="", LOWER(TRIM(E342))="pending", LOWER(TRIM(D342))="pending"), "Pending", E342 - D342), "Pending")</f>
        <v>6</v>
      </c>
      <c r="AF342" s="138" t="str">
        <f>IFERROR(IF(OR(E342="", D342="","Pending","Pending"), "Pending", IF((E342 - D342) &lt;= 5, "On Time", "Delayed")), "Pending")</f>
        <v>Delayed</v>
      </c>
      <c r="AG342" s="24" t="str">
        <f t="shared" si="17"/>
        <v>Completed</v>
      </c>
    </row>
    <row r="343" spans="1:33">
      <c r="A343" s="24" t="s">
        <v>1536</v>
      </c>
      <c r="B343" s="24" t="s">
        <v>168</v>
      </c>
      <c r="C343" s="24" t="s">
        <v>118</v>
      </c>
      <c r="D343" s="30">
        <v>45997</v>
      </c>
      <c r="E343" s="30" t="s">
        <v>1214</v>
      </c>
      <c r="F343" s="24" t="str">
        <f>VLOOKUP(B343,Custumer_Master!A:D,2,FALSE)</f>
        <v>Anita Gupta</v>
      </c>
      <c r="G343" s="24" t="str">
        <f>VLOOKUP($B343,Custumer_Master!$A:$J,6,FALSE)</f>
        <v>Female</v>
      </c>
      <c r="H343" s="30" t="str">
        <f>VLOOKUP($B343,Custumer_Master!$A:$J,7,FALSE)</f>
        <v>16/01/2002</v>
      </c>
      <c r="I343" s="24" t="str">
        <f>VLOOKUP($B343,Custumer_Master!$A:$J,9,FALSE)</f>
        <v>Pune</v>
      </c>
      <c r="J343" s="24" t="str">
        <f>VLOOKUP($B343,Custumer_Master!$A:$J,10,FALSE)</f>
        <v>West</v>
      </c>
      <c r="K343" s="24" t="str">
        <f>VLOOKUP(B343,Custumer_Master!A:D,4,FALSE)</f>
        <v>WB</v>
      </c>
      <c r="L343" s="24" t="str">
        <f>PROPER(TRIM(VLOOKUP('Final Data'!C343,Product_Master!A:F,3,FALSE)))</f>
        <v>Stationery</v>
      </c>
      <c r="M343" s="24" t="s">
        <v>123</v>
      </c>
      <c r="N343" s="34">
        <v>13</v>
      </c>
      <c r="O343" s="192">
        <f>VLOOKUP(C343,Product_Master!A:F,5,FALSE)</f>
        <v>45</v>
      </c>
      <c r="P343" s="33">
        <v>0.15</v>
      </c>
      <c r="Q343" s="34">
        <f t="shared" si="15"/>
        <v>497.25</v>
      </c>
      <c r="R343" s="34">
        <v>2</v>
      </c>
      <c r="S343" s="24" t="s">
        <v>2148</v>
      </c>
      <c r="T343" s="24" t="s">
        <v>61</v>
      </c>
      <c r="U343" s="24" t="s">
        <v>175</v>
      </c>
      <c r="V343" s="34">
        <v>9583354052</v>
      </c>
      <c r="W343" s="24" t="str">
        <f>VLOOKUP(C343,Product_Master!A:F,4,FALSE)</f>
        <v>ABC Corp</v>
      </c>
      <c r="X343" s="34">
        <f>VLOOKUP(C343,Product_Master!A:F,6,FALSE)</f>
        <v>12</v>
      </c>
      <c r="Y343" s="24" t="str">
        <f>VLOOKUP(B343,Custumer_Master!A:D,3,FALSE)</f>
        <v>Gold</v>
      </c>
      <c r="Z343" s="30">
        <f>EDATE(E343,X343)</f>
        <v>46371</v>
      </c>
      <c r="AA343" s="29" t="str">
        <f>VLOOKUP(B343,Custumer_Master!A:K,11,)</f>
        <v>January</v>
      </c>
      <c r="AB343" s="24" t="s">
        <v>2160</v>
      </c>
      <c r="AC343" s="138" t="str">
        <f>PROPER(LEFT(TRIM(F343), 3)) &amp; RIGHT(TRIM(B343), 3) &amp; PROPER(LEFT(TRIM(I343), 2))</f>
        <v>Ani004Pu</v>
      </c>
      <c r="AD343" s="154">
        <f t="shared" ca="1" si="16"/>
        <v>24</v>
      </c>
      <c r="AE343" s="154">
        <f>IFERROR(IF(OR(E343="", D343="", LOWER(TRIM(E343))="pending", LOWER(TRIM(D343))="pending"), "Pending", E343 - D343), "Pending")</f>
        <v>9</v>
      </c>
      <c r="AF343" s="138" t="str">
        <f>IFERROR(IF(OR(E343="", D343="","Pending","Pending"), "Pending", IF((E343 - D343) &lt;= 5, "On Time", "Delayed")), "Pending")</f>
        <v>Delayed</v>
      </c>
      <c r="AG343" s="24" t="str">
        <f t="shared" si="17"/>
        <v>Completed</v>
      </c>
    </row>
    <row r="344" spans="1:33">
      <c r="A344" s="24" t="s">
        <v>1540</v>
      </c>
      <c r="B344" s="24" t="s">
        <v>83</v>
      </c>
      <c r="C344" s="24" t="s">
        <v>40</v>
      </c>
      <c r="D344" s="30">
        <v>45797</v>
      </c>
      <c r="E344" s="30" t="s">
        <v>236</v>
      </c>
      <c r="F344" s="24" t="str">
        <f>VLOOKUP(B344,Custumer_Master!A:D,2,FALSE)</f>
        <v>Arjun Rao</v>
      </c>
      <c r="G344" s="24" t="str">
        <f>VLOOKUP($B344,Custumer_Master!$A:$J,6,FALSE)</f>
        <v>Male</v>
      </c>
      <c r="H344" s="30" t="str">
        <f>VLOOKUP($B344,Custumer_Master!$A:$J,7,FALSE)</f>
        <v>07/02/1988</v>
      </c>
      <c r="I344" s="24" t="str">
        <f>VLOOKUP($B344,Custumer_Master!$A:$J,9,FALSE)</f>
        <v>Hyderabad</v>
      </c>
      <c r="J344" s="24" t="str">
        <f>VLOOKUP($B344,Custumer_Master!$A:$J,10,FALSE)</f>
        <v>South</v>
      </c>
      <c r="K344" s="24" t="str">
        <f>VLOOKUP(B344,Custumer_Master!A:D,4,FALSE)</f>
        <v>RJ</v>
      </c>
      <c r="L344" s="24" t="str">
        <f>PROPER(TRIM(VLOOKUP('Final Data'!C344,Product_Master!A:F,3,FALSE)))</f>
        <v>Electronics</v>
      </c>
      <c r="M344" s="24" t="s">
        <v>47</v>
      </c>
      <c r="N344" s="34">
        <v>15</v>
      </c>
      <c r="O344" s="192">
        <f>VLOOKUP(C344,Product_Master!A:F,5,FALSE)</f>
        <v>9000</v>
      </c>
      <c r="P344" s="33">
        <v>0.2</v>
      </c>
      <c r="Q344" s="34">
        <f t="shared" si="15"/>
        <v>108000</v>
      </c>
      <c r="R344" s="34">
        <v>3</v>
      </c>
      <c r="S344" s="24" t="s">
        <v>79</v>
      </c>
      <c r="T344" s="24" t="s">
        <v>35</v>
      </c>
      <c r="U344" s="24" t="s">
        <v>89</v>
      </c>
      <c r="V344" s="34">
        <v>9242534507</v>
      </c>
      <c r="W344" s="24" t="str">
        <f>VLOOKUP(C344,Product_Master!A:F,4,FALSE)</f>
        <v>Global Trade</v>
      </c>
      <c r="X344" s="34">
        <f>VLOOKUP(C344,Product_Master!A:F,6,FALSE)</f>
        <v>24</v>
      </c>
      <c r="Y344" s="24" t="str">
        <f>VLOOKUP(B344,Custumer_Master!A:D,3,FALSE)</f>
        <v>Silver</v>
      </c>
      <c r="Z344" s="30">
        <f>EDATE(E344,X344)</f>
        <v>46529</v>
      </c>
      <c r="AA344" s="29" t="str">
        <f>VLOOKUP(B344,Custumer_Master!A:K,11,)</f>
        <v>February</v>
      </c>
      <c r="AB344" s="24" t="s">
        <v>2112</v>
      </c>
      <c r="AC344" s="138" t="str">
        <f>PROPER(LEFT(TRIM(F344), 3)) &amp; RIGHT(TRIM(B344), 3) &amp; PROPER(LEFT(TRIM(I344), 2))</f>
        <v>Arj007Hy</v>
      </c>
      <c r="AD344" s="154">
        <f t="shared" ca="1" si="16"/>
        <v>38</v>
      </c>
      <c r="AE344" s="154">
        <f>IFERROR(IF(OR(E344="", D344="", LOWER(TRIM(E344))="pending", LOWER(TRIM(D344))="pending"), "Pending", E344 - D344), "Pending")</f>
        <v>2</v>
      </c>
      <c r="AF344" s="138" t="str">
        <f>IFERROR(IF(OR(E344="", D344="","Pending","Pending"), "Pending", IF((E344 - D344) &lt;= 5, "On Time", "Delayed")), "Pending")</f>
        <v>On Time</v>
      </c>
      <c r="AG344" s="24" t="str">
        <f t="shared" si="17"/>
        <v>Completed</v>
      </c>
    </row>
    <row r="345" spans="1:33">
      <c r="A345" s="24" t="s">
        <v>1543</v>
      </c>
      <c r="B345" s="24" t="s">
        <v>327</v>
      </c>
      <c r="C345" s="24" t="s">
        <v>222</v>
      </c>
      <c r="D345" s="30">
        <v>45863</v>
      </c>
      <c r="E345" s="30" t="s">
        <v>1544</v>
      </c>
      <c r="F345" s="24" t="str">
        <f>VLOOKUP(B345,Custumer_Master!A:D,2,FALSE)</f>
        <v>Amit Sharma</v>
      </c>
      <c r="G345" s="24" t="str">
        <f>VLOOKUP($B345,Custumer_Master!$A:$J,6,FALSE)</f>
        <v>Male</v>
      </c>
      <c r="H345" s="30" t="str">
        <f>VLOOKUP($B345,Custumer_Master!$A:$J,7,FALSE)</f>
        <v>09/08/1991</v>
      </c>
      <c r="I345" s="24" t="str">
        <f>VLOOKUP($B345,Custumer_Master!$A:$J,9,FALSE)</f>
        <v>Pune</v>
      </c>
      <c r="J345" s="24" t="str">
        <f>VLOOKUP($B345,Custumer_Master!$A:$J,10,FALSE)</f>
        <v>West</v>
      </c>
      <c r="K345" s="24" t="str">
        <f>VLOOKUP(B345,Custumer_Master!A:D,4,FALSE)</f>
        <v>RJ</v>
      </c>
      <c r="L345" s="24" t="str">
        <f>PROPER(TRIM(VLOOKUP('Final Data'!C345,Product_Master!A:F,3,FALSE)))</f>
        <v>Stationery</v>
      </c>
      <c r="M345" s="24" t="s">
        <v>227</v>
      </c>
      <c r="N345" s="34">
        <v>2</v>
      </c>
      <c r="O345" s="192">
        <f>VLOOKUP(C345,Product_Master!A:F,5,FALSE)</f>
        <v>15</v>
      </c>
      <c r="P345" s="33">
        <v>0.2</v>
      </c>
      <c r="Q345" s="34">
        <f t="shared" si="15"/>
        <v>24</v>
      </c>
      <c r="R345" s="34">
        <v>4</v>
      </c>
      <c r="S345" s="24" t="s">
        <v>34</v>
      </c>
      <c r="T345" s="24" t="s">
        <v>35</v>
      </c>
      <c r="U345" s="24" t="s">
        <v>332</v>
      </c>
      <c r="V345" s="34">
        <v>9291239150</v>
      </c>
      <c r="W345" s="24" t="str">
        <f>VLOOKUP(C345,Product_Master!A:F,4,FALSE)</f>
        <v>Prime Supplies</v>
      </c>
      <c r="X345" s="34">
        <f>VLOOKUP(C345,Product_Master!A:F,6,FALSE)</f>
        <v>12</v>
      </c>
      <c r="Y345" s="24" t="str">
        <f>VLOOKUP(B345,Custumer_Master!A:D,3,FALSE)</f>
        <v>Silver</v>
      </c>
      <c r="Z345" s="30">
        <f>EDATE(E345,X345)</f>
        <v>46236</v>
      </c>
      <c r="AA345" s="29" t="str">
        <f>VLOOKUP(B345,Custumer_Master!A:K,11,)</f>
        <v>August</v>
      </c>
      <c r="AB345" s="24" t="s">
        <v>2108</v>
      </c>
      <c r="AC345" s="138" t="str">
        <f>PROPER(LEFT(TRIM(F345), 3)) &amp; RIGHT(TRIM(B345), 3) &amp; PROPER(LEFT(TRIM(I345), 2))</f>
        <v>Ami001Pu</v>
      </c>
      <c r="AD345" s="154">
        <f t="shared" ca="1" si="16"/>
        <v>34</v>
      </c>
      <c r="AE345" s="154">
        <f>IFERROR(IF(OR(E345="", D345="", LOWER(TRIM(E345))="pending", LOWER(TRIM(D345))="pending"), "Pending", E345 - D345), "Pending")</f>
        <v>8</v>
      </c>
      <c r="AF345" s="138" t="str">
        <f>IFERROR(IF(OR(E345="", D345="","Pending","Pending"), "Pending", IF((E345 - D345) &lt;= 5, "On Time", "Delayed")), "Pending")</f>
        <v>Delayed</v>
      </c>
      <c r="AG345" s="24" t="str">
        <f t="shared" si="17"/>
        <v>Completed</v>
      </c>
    </row>
    <row r="346" spans="1:33">
      <c r="A346" s="24" t="s">
        <v>1547</v>
      </c>
      <c r="B346" s="24" t="s">
        <v>127</v>
      </c>
      <c r="C346" s="24" t="s">
        <v>92</v>
      </c>
      <c r="D346" s="30">
        <v>45874</v>
      </c>
      <c r="E346" s="30" t="s">
        <v>1548</v>
      </c>
      <c r="F346" s="24" t="str">
        <f>VLOOKUP(B346,Custumer_Master!A:D,2,FALSE)</f>
        <v>Rohit Singh</v>
      </c>
      <c r="G346" s="24" t="str">
        <f>VLOOKUP($B346,Custumer_Master!$A:$J,6,FALSE)</f>
        <v>Male</v>
      </c>
      <c r="H346" s="30" t="str">
        <f>VLOOKUP($B346,Custumer_Master!$A:$J,7,FALSE)</f>
        <v>10/05/1982</v>
      </c>
      <c r="I346" s="24" t="str">
        <f>VLOOKUP($B346,Custumer_Master!$A:$J,9,FALSE)</f>
        <v>Delhi</v>
      </c>
      <c r="J346" s="24" t="str">
        <f>VLOOKUP($B346,Custumer_Master!$A:$J,10,FALSE)</f>
        <v>North</v>
      </c>
      <c r="K346" s="24" t="str">
        <f>VLOOKUP(B346,Custumer_Master!A:D,4,FALSE)</f>
        <v>DL</v>
      </c>
      <c r="L346" s="24" t="str">
        <f>PROPER(TRIM(VLOOKUP('Final Data'!C346,Product_Master!A:F,3,FALSE)))</f>
        <v>Home Appliances</v>
      </c>
      <c r="M346" s="24" t="s">
        <v>97</v>
      </c>
      <c r="N346" s="34">
        <v>16</v>
      </c>
      <c r="O346" s="192">
        <f>VLOOKUP(C346,Product_Master!A:F,5,FALSE)</f>
        <v>2625</v>
      </c>
      <c r="P346" s="33">
        <v>0</v>
      </c>
      <c r="Q346" s="34">
        <f t="shared" si="15"/>
        <v>42000</v>
      </c>
      <c r="R346" s="34">
        <v>4</v>
      </c>
      <c r="S346" s="24" t="s">
        <v>34</v>
      </c>
      <c r="T346" s="24" t="s">
        <v>115</v>
      </c>
      <c r="U346" s="24" t="s">
        <v>132</v>
      </c>
      <c r="V346" s="34">
        <v>9550820904</v>
      </c>
      <c r="W346" s="24" t="str">
        <f>VLOOKUP(C346,Product_Master!A:F,4,FALSE)</f>
        <v>Global Trade</v>
      </c>
      <c r="X346" s="34">
        <f>VLOOKUP(C346,Product_Master!A:F,6,FALSE)</f>
        <v>6</v>
      </c>
      <c r="Y346" s="24" t="str">
        <f>VLOOKUP(B346,Custumer_Master!A:D,3,FALSE)</f>
        <v>Gold</v>
      </c>
      <c r="Z346" s="30">
        <f>EDATE(E346,X346)</f>
        <v>46070</v>
      </c>
      <c r="AA346" s="29" t="str">
        <f>VLOOKUP(B346,Custumer_Master!A:K,11,)</f>
        <v>May</v>
      </c>
      <c r="AB346" s="24" t="s">
        <v>2108</v>
      </c>
      <c r="AC346" s="138" t="str">
        <f>PROPER(LEFT(TRIM(F346), 3)) &amp; RIGHT(TRIM(B346), 3) &amp; PROPER(LEFT(TRIM(I346), 2))</f>
        <v>Roh003De</v>
      </c>
      <c r="AD346" s="154">
        <f t="shared" ca="1" si="16"/>
        <v>44</v>
      </c>
      <c r="AE346" s="154">
        <f>IFERROR(IF(OR(E346="", D346="", LOWER(TRIM(E346))="pending", LOWER(TRIM(D346))="pending"), "Pending", E346 - D346), "Pending")</f>
        <v>12</v>
      </c>
      <c r="AF346" s="138" t="str">
        <f>IFERROR(IF(OR(E346="", D346="","Pending","Pending"), "Pending", IF((E346 - D346) &lt;= 5, "On Time", "Delayed")), "Pending")</f>
        <v>Delayed</v>
      </c>
      <c r="AG346" s="24" t="str">
        <f t="shared" si="17"/>
        <v>Completed</v>
      </c>
    </row>
    <row r="347" spans="1:33">
      <c r="A347" s="24" t="s">
        <v>1551</v>
      </c>
      <c r="B347" s="24" t="s">
        <v>53</v>
      </c>
      <c r="C347" s="24" t="s">
        <v>92</v>
      </c>
      <c r="D347" s="30">
        <v>46071</v>
      </c>
      <c r="E347" s="30" t="s">
        <v>94</v>
      </c>
      <c r="F347" s="24" t="str">
        <f>VLOOKUP(B347,Custumer_Master!A:D,2,FALSE)</f>
        <v>Pooja Shah</v>
      </c>
      <c r="G347" s="24" t="str">
        <f>VLOOKUP($B347,Custumer_Master!$A:$J,6,FALSE)</f>
        <v>Female</v>
      </c>
      <c r="H347" s="30" t="str">
        <f>VLOOKUP($B347,Custumer_Master!$A:$J,7,FALSE)</f>
        <v>16/09/1994</v>
      </c>
      <c r="I347" s="24" t="str">
        <f>VLOOKUP($B347,Custumer_Master!$A:$J,9,FALSE)</f>
        <v>Bengaluru</v>
      </c>
      <c r="J347" s="24" t="str">
        <f>VLOOKUP($B347,Custumer_Master!$A:$J,10,FALSE)</f>
        <v>South</v>
      </c>
      <c r="K347" s="24" t="str">
        <f>VLOOKUP(B347,Custumer_Master!A:D,4,FALSE)</f>
        <v>WB</v>
      </c>
      <c r="L347" s="24" t="str">
        <f>PROPER(TRIM(VLOOKUP('Final Data'!C347,Product_Master!A:F,3,FALSE)))</f>
        <v>Home Appliances</v>
      </c>
      <c r="M347" s="24" t="s">
        <v>97</v>
      </c>
      <c r="N347" s="34">
        <v>18</v>
      </c>
      <c r="O347" s="192">
        <f>VLOOKUP(C347,Product_Master!A:F,5,FALSE)</f>
        <v>2625</v>
      </c>
      <c r="P347" s="33">
        <v>0.15</v>
      </c>
      <c r="Q347" s="34">
        <f t="shared" si="15"/>
        <v>40162.5</v>
      </c>
      <c r="R347" s="34">
        <v>5</v>
      </c>
      <c r="S347" s="24" t="s">
        <v>34</v>
      </c>
      <c r="T347" s="24" t="s">
        <v>151</v>
      </c>
      <c r="U347" s="24" t="s">
        <v>62</v>
      </c>
      <c r="V347" s="34">
        <v>9294486423</v>
      </c>
      <c r="W347" s="24" t="str">
        <f>VLOOKUP(C347,Product_Master!A:F,4,FALSE)</f>
        <v>Global Trade</v>
      </c>
      <c r="X347" s="34">
        <f>VLOOKUP(C347,Product_Master!A:F,6,FALSE)</f>
        <v>6</v>
      </c>
      <c r="Y347" s="24" t="str">
        <f>VLOOKUP(B347,Custumer_Master!A:D,3,FALSE)</f>
        <v>Silver</v>
      </c>
      <c r="Z347" s="30">
        <f>EDATE(E347,X347)</f>
        <v>46259</v>
      </c>
      <c r="AA347" s="29" t="str">
        <f>VLOOKUP(B347,Custumer_Master!A:K,11,)</f>
        <v>September</v>
      </c>
      <c r="AB347" s="24" t="s">
        <v>2108</v>
      </c>
      <c r="AC347" s="138" t="str">
        <f>PROPER(LEFT(TRIM(F347), 3)) &amp; RIGHT(TRIM(B347), 3) &amp; PROPER(LEFT(TRIM(I347), 2))</f>
        <v>Poo010Be</v>
      </c>
      <c r="AD347" s="154">
        <f t="shared" ca="1" si="16"/>
        <v>31</v>
      </c>
      <c r="AE347" s="154">
        <f>IFERROR(IF(OR(E347="", D347="", LOWER(TRIM(E347))="pending", LOWER(TRIM(D347))="pending"), "Pending", E347 - D347), "Pending")</f>
        <v>7</v>
      </c>
      <c r="AF347" s="138" t="str">
        <f>IFERROR(IF(OR(E347="", D347="","Pending","Pending"), "Pending", IF((E347 - D347) &lt;= 5, "On Time", "Delayed")), "Pending")</f>
        <v>Delayed</v>
      </c>
      <c r="AG347" s="24" t="str">
        <f t="shared" si="17"/>
        <v>Completed</v>
      </c>
    </row>
    <row r="348" spans="1:33">
      <c r="A348" s="24" t="s">
        <v>1554</v>
      </c>
      <c r="B348" s="24" t="s">
        <v>23</v>
      </c>
      <c r="C348" s="24" t="s">
        <v>259</v>
      </c>
      <c r="D348" s="30">
        <v>46102</v>
      </c>
      <c r="E348" s="30" t="s">
        <v>544</v>
      </c>
      <c r="F348" s="24" t="str">
        <f>VLOOKUP(B348,Custumer_Master!A:D,2,FALSE)</f>
        <v>Kavya Nair</v>
      </c>
      <c r="G348" s="24" t="str">
        <f>VLOOKUP($B348,Custumer_Master!$A:$J,6,FALSE)</f>
        <v>Female</v>
      </c>
      <c r="H348" s="30" t="str">
        <f>VLOOKUP($B348,Custumer_Master!$A:$J,7,FALSE)</f>
        <v>01/08/1976</v>
      </c>
      <c r="I348" s="24" t="str">
        <f>VLOOKUP($B348,Custumer_Master!$A:$J,9,FALSE)</f>
        <v>Hyderabad</v>
      </c>
      <c r="J348" s="24" t="str">
        <f>VLOOKUP($B348,Custumer_Master!$A:$J,10,FALSE)</f>
        <v>South</v>
      </c>
      <c r="K348" s="24" t="str">
        <f>VLOOKUP(B348,Custumer_Master!A:D,4,FALSE)</f>
        <v>WB</v>
      </c>
      <c r="L348" s="24" t="str">
        <f>PROPER(TRIM(VLOOKUP('Final Data'!C348,Product_Master!A:F,3,FALSE)))</f>
        <v>Stationery</v>
      </c>
      <c r="M348" s="24" t="s">
        <v>263</v>
      </c>
      <c r="N348" s="34">
        <v>20</v>
      </c>
      <c r="O348" s="192">
        <f>VLOOKUP(C348,Product_Master!A:F,5,FALSE)</f>
        <v>33.75</v>
      </c>
      <c r="P348" s="33">
        <v>0.15</v>
      </c>
      <c r="Q348" s="34">
        <f t="shared" si="15"/>
        <v>573.75</v>
      </c>
      <c r="R348" s="34">
        <v>4</v>
      </c>
      <c r="S348" s="24" t="s">
        <v>34</v>
      </c>
      <c r="T348" s="24" t="s">
        <v>151</v>
      </c>
      <c r="U348" s="24" t="s">
        <v>50</v>
      </c>
      <c r="V348" s="34">
        <v>9260258621</v>
      </c>
      <c r="W348" s="24" t="str">
        <f>VLOOKUP(C348,Product_Master!A:F,4,FALSE)</f>
        <v>TechHub</v>
      </c>
      <c r="X348" s="34">
        <f>VLOOKUP(C348,Product_Master!A:F,6,FALSE)</f>
        <v>12</v>
      </c>
      <c r="Y348" s="24" t="str">
        <f>VLOOKUP(B348,Custumer_Master!A:D,3,FALSE)</f>
        <v>Silver</v>
      </c>
      <c r="Z348" s="30">
        <f>EDATE(E348,X348)</f>
        <v>46472</v>
      </c>
      <c r="AA348" s="29" t="str">
        <f>VLOOKUP(B348,Custumer_Master!A:K,11,)</f>
        <v>August</v>
      </c>
      <c r="AB348" s="24" t="s">
        <v>2108</v>
      </c>
      <c r="AC348" s="138" t="str">
        <f>PROPER(LEFT(TRIM(F348), 3)) &amp; RIGHT(TRIM(B348), 3) &amp; PROPER(LEFT(TRIM(I348), 2))</f>
        <v>Kav008Hy</v>
      </c>
      <c r="AD348" s="154">
        <f t="shared" ca="1" si="16"/>
        <v>49</v>
      </c>
      <c r="AE348" s="154">
        <f>IFERROR(IF(OR(E348="", D348="", LOWER(TRIM(E348))="pending", LOWER(TRIM(D348))="pending"), "Pending", E348 - D348), "Pending")</f>
        <v>5</v>
      </c>
      <c r="AF348" s="138" t="str">
        <f>IFERROR(IF(OR(E348="", D348="","Pending","Pending"), "Pending", IF((E348 - D348) &lt;= 5, "On Time", "Delayed")), "Pending")</f>
        <v>On Time</v>
      </c>
      <c r="AG348" s="24" t="str">
        <f t="shared" si="17"/>
        <v>Completed</v>
      </c>
    </row>
    <row r="349" spans="1:33">
      <c r="A349" s="24" t="s">
        <v>1557</v>
      </c>
      <c r="B349" s="24" t="s">
        <v>251</v>
      </c>
      <c r="C349" s="24" t="s">
        <v>24</v>
      </c>
      <c r="D349" s="30">
        <v>46128</v>
      </c>
      <c r="E349" s="30" t="s">
        <v>356</v>
      </c>
      <c r="F349" s="24" t="str">
        <f>VLOOKUP(B349,Custumer_Master!A:D,2,FALSE)</f>
        <v>Sneha Joshi</v>
      </c>
      <c r="G349" s="24" t="str">
        <f>VLOOKUP($B349,Custumer_Master!$A:$J,6,FALSE)</f>
        <v>Female</v>
      </c>
      <c r="H349" s="30" t="str">
        <f>VLOOKUP($B349,Custumer_Master!$A:$J,7,FALSE)</f>
        <v>04/04/1981</v>
      </c>
      <c r="I349" s="24" t="str">
        <f>VLOOKUP($B349,Custumer_Master!$A:$J,9,FALSE)</f>
        <v>Pune</v>
      </c>
      <c r="J349" s="24" t="str">
        <f>VLOOKUP($B349,Custumer_Master!$A:$J,10,FALSE)</f>
        <v>West</v>
      </c>
      <c r="K349" s="24" t="str">
        <f>VLOOKUP(B349,Custumer_Master!A:D,4,FALSE)</f>
        <v>WB</v>
      </c>
      <c r="L349" s="24" t="str">
        <f>PROPER(TRIM(VLOOKUP('Final Data'!C349,Product_Master!A:F,3,FALSE)))</f>
        <v>Home Appliances</v>
      </c>
      <c r="M349" s="24" t="s">
        <v>33</v>
      </c>
      <c r="N349" s="34">
        <v>13</v>
      </c>
      <c r="O349" s="192">
        <f>VLOOKUP(C349,Product_Master!A:F,5,FALSE)</f>
        <v>1650</v>
      </c>
      <c r="P349" s="33">
        <v>0.15</v>
      </c>
      <c r="Q349" s="34">
        <f t="shared" si="15"/>
        <v>18232.5</v>
      </c>
      <c r="R349" s="34">
        <v>2</v>
      </c>
      <c r="S349" s="24" t="s">
        <v>2148</v>
      </c>
      <c r="T349" s="24" t="s">
        <v>115</v>
      </c>
      <c r="U349" s="24" t="s">
        <v>256</v>
      </c>
      <c r="V349" s="34">
        <v>9697433584</v>
      </c>
      <c r="W349" s="24" t="str">
        <f>VLOOKUP(C349,Product_Master!A:F,4,FALSE)</f>
        <v>Global Trade</v>
      </c>
      <c r="X349" s="34">
        <f>VLOOKUP(C349,Product_Master!A:F,6,FALSE)</f>
        <v>24</v>
      </c>
      <c r="Y349" s="24" t="str">
        <f>VLOOKUP(B349,Custumer_Master!A:D,3,FALSE)</f>
        <v>Gold</v>
      </c>
      <c r="Z349" s="30">
        <f>EDATE(E349,X349)</f>
        <v>46862</v>
      </c>
      <c r="AA349" s="29" t="str">
        <f>VLOOKUP(B349,Custumer_Master!A:K,11,)</f>
        <v>April</v>
      </c>
      <c r="AB349" s="24" t="s">
        <v>2160</v>
      </c>
      <c r="AC349" s="138" t="str">
        <f>PROPER(LEFT(TRIM(F349), 3)) &amp; RIGHT(TRIM(B349), 3) &amp; PROPER(LEFT(TRIM(I349), 2))</f>
        <v>Sne006Pu</v>
      </c>
      <c r="AD349" s="154">
        <f t="shared" ca="1" si="16"/>
        <v>45</v>
      </c>
      <c r="AE349" s="154">
        <f>IFERROR(IF(OR(E349="", D349="", LOWER(TRIM(E349))="pending", LOWER(TRIM(D349))="pending"), "Pending", E349 - D349), "Pending")</f>
        <v>3</v>
      </c>
      <c r="AF349" s="138" t="str">
        <f>IFERROR(IF(OR(E349="", D349="","Pending","Pending"), "Pending", IF((E349 - D349) &lt;= 5, "On Time", "Delayed")), "Pending")</f>
        <v>On Time</v>
      </c>
      <c r="AG349" s="24" t="str">
        <f t="shared" si="17"/>
        <v>Completed</v>
      </c>
    </row>
    <row r="350" spans="1:33">
      <c r="A350" s="24" t="s">
        <v>1560</v>
      </c>
      <c r="B350" s="24" t="s">
        <v>53</v>
      </c>
      <c r="C350" s="24" t="s">
        <v>1561</v>
      </c>
      <c r="D350" s="30">
        <v>45943</v>
      </c>
      <c r="E350" s="30" t="s">
        <v>346</v>
      </c>
      <c r="F350" s="24" t="str">
        <f>VLOOKUP(B350,Custumer_Master!A:D,2,FALSE)</f>
        <v>Pooja Shah</v>
      </c>
      <c r="G350" s="24" t="str">
        <f>VLOOKUP($B350,Custumer_Master!$A:$J,6,FALSE)</f>
        <v>Female</v>
      </c>
      <c r="H350" s="30" t="str">
        <f>VLOOKUP($B350,Custumer_Master!$A:$J,7,FALSE)</f>
        <v>16/09/1994</v>
      </c>
      <c r="I350" s="24" t="str">
        <f>VLOOKUP($B350,Custumer_Master!$A:$J,9,FALSE)</f>
        <v>Bengaluru</v>
      </c>
      <c r="J350" s="24" t="str">
        <f>VLOOKUP($B350,Custumer_Master!$A:$J,10,FALSE)</f>
        <v>South</v>
      </c>
      <c r="K350" s="24" t="str">
        <f>VLOOKUP(B350,Custumer_Master!A:D,4,FALSE)</f>
        <v>WB</v>
      </c>
      <c r="L350" s="24" t="e">
        <f>PROPER(TRIM(VLOOKUP('Final Data'!C350,Product_Master!A:F,3,FALSE)))</f>
        <v>#N/A</v>
      </c>
      <c r="M350" s="24" t="e">
        <v>#N/A</v>
      </c>
      <c r="N350" s="34">
        <v>11</v>
      </c>
      <c r="O350" s="192" t="e">
        <f>VLOOKUP(C350,Product_Master!A:F,5,FALSE)</f>
        <v>#N/A</v>
      </c>
      <c r="P350" s="33">
        <v>0.05</v>
      </c>
      <c r="Q350" s="34" t="e">
        <f t="shared" si="15"/>
        <v>#N/A</v>
      </c>
      <c r="R350" s="34">
        <v>1</v>
      </c>
      <c r="S350" s="24" t="s">
        <v>2149</v>
      </c>
      <c r="T350" s="24" t="s">
        <v>115</v>
      </c>
      <c r="U350" s="24" t="s">
        <v>62</v>
      </c>
      <c r="V350" s="34">
        <v>9837969758</v>
      </c>
      <c r="W350" s="24" t="e">
        <f>VLOOKUP(C350,Product_Master!A:F,4,FALSE)</f>
        <v>#N/A</v>
      </c>
      <c r="X350" s="34" t="e">
        <f>VLOOKUP(C350,Product_Master!A:F,6,FALSE)</f>
        <v>#N/A</v>
      </c>
      <c r="Y350" s="24" t="str">
        <f>VLOOKUP(B350,Custumer_Master!A:D,3,FALSE)</f>
        <v>Silver</v>
      </c>
      <c r="Z350" s="30" t="e">
        <f>EDATE(E350,X350)</f>
        <v>#N/A</v>
      </c>
      <c r="AA350" s="29" t="str">
        <f>VLOOKUP(B350,Custumer_Master!A:K,11,)</f>
        <v>September</v>
      </c>
      <c r="AB350" s="24" t="s">
        <v>2160</v>
      </c>
      <c r="AC350" s="138" t="str">
        <f>PROPER(LEFT(TRIM(F350), 3)) &amp; RIGHT(TRIM(B350), 3) &amp; PROPER(LEFT(TRIM(I350), 2))</f>
        <v>Poo010Be</v>
      </c>
      <c r="AD350" s="154">
        <f t="shared" ca="1" si="16"/>
        <v>31</v>
      </c>
      <c r="AE350" s="154">
        <f>IFERROR(IF(OR(E350="", D350="", LOWER(TRIM(E350))="pending", LOWER(TRIM(D350))="pending"), "Pending", E350 - D350), "Pending")</f>
        <v>1</v>
      </c>
      <c r="AF350" s="138" t="str">
        <f>IFERROR(IF(OR(E350="", D350="","Pending","Pending"), "Pending", IF((E350 - D350) &lt;= 5, "On Time", "Delayed")), "Pending")</f>
        <v>On Time</v>
      </c>
      <c r="AG350" s="24" t="str">
        <f t="shared" si="17"/>
        <v>Completed</v>
      </c>
    </row>
    <row r="351" spans="1:33">
      <c r="A351" s="24" t="s">
        <v>1564</v>
      </c>
      <c r="B351" s="24" t="s">
        <v>53</v>
      </c>
      <c r="C351" s="24" t="s">
        <v>24</v>
      </c>
      <c r="D351" s="30">
        <v>45996</v>
      </c>
      <c r="E351" s="30" t="s">
        <v>1475</v>
      </c>
      <c r="F351" s="24" t="str">
        <f>VLOOKUP(B351,Custumer_Master!A:D,2,FALSE)</f>
        <v>Pooja Shah</v>
      </c>
      <c r="G351" s="24" t="str">
        <f>VLOOKUP($B351,Custumer_Master!$A:$J,6,FALSE)</f>
        <v>Female</v>
      </c>
      <c r="H351" s="30" t="str">
        <f>VLOOKUP($B351,Custumer_Master!$A:$J,7,FALSE)</f>
        <v>16/09/1994</v>
      </c>
      <c r="I351" s="24" t="str">
        <f>VLOOKUP($B351,Custumer_Master!$A:$J,9,FALSE)</f>
        <v>Bengaluru</v>
      </c>
      <c r="J351" s="24" t="str">
        <f>VLOOKUP($B351,Custumer_Master!$A:$J,10,FALSE)</f>
        <v>South</v>
      </c>
      <c r="K351" s="24" t="str">
        <f>VLOOKUP(B351,Custumer_Master!A:D,4,FALSE)</f>
        <v>WB</v>
      </c>
      <c r="L351" s="24" t="str">
        <f>PROPER(TRIM(VLOOKUP('Final Data'!C351,Product_Master!A:F,3,FALSE)))</f>
        <v>Home Appliances</v>
      </c>
      <c r="M351" s="24" t="s">
        <v>33</v>
      </c>
      <c r="N351" s="34">
        <v>2</v>
      </c>
      <c r="O351" s="192">
        <f>VLOOKUP(C351,Product_Master!A:F,5,FALSE)</f>
        <v>1650</v>
      </c>
      <c r="P351" s="33">
        <v>0</v>
      </c>
      <c r="Q351" s="34">
        <f t="shared" si="15"/>
        <v>3300</v>
      </c>
      <c r="R351" s="34">
        <v>4</v>
      </c>
      <c r="S351" s="24" t="s">
        <v>2149</v>
      </c>
      <c r="T351" s="24" t="s">
        <v>151</v>
      </c>
      <c r="U351" s="24" t="s">
        <v>62</v>
      </c>
      <c r="V351" s="34">
        <v>9209736419</v>
      </c>
      <c r="W351" s="24" t="str">
        <f>VLOOKUP(C351,Product_Master!A:F,4,FALSE)</f>
        <v>Global Trade</v>
      </c>
      <c r="X351" s="34">
        <f>VLOOKUP(C351,Product_Master!A:F,6,FALSE)</f>
        <v>24</v>
      </c>
      <c r="Y351" s="24" t="str">
        <f>VLOOKUP(B351,Custumer_Master!A:D,3,FALSE)</f>
        <v>Silver</v>
      </c>
      <c r="Z351" s="30">
        <f>EDATE(E351,X351)</f>
        <v>46731</v>
      </c>
      <c r="AA351" s="29" t="str">
        <f>VLOOKUP(B351,Custumer_Master!A:K,11,)</f>
        <v>September</v>
      </c>
      <c r="AB351" s="24" t="s">
        <v>2108</v>
      </c>
      <c r="AC351" s="138" t="str">
        <f>PROPER(LEFT(TRIM(F351), 3)) &amp; RIGHT(TRIM(B351), 3) &amp; PROPER(LEFT(TRIM(I351), 2))</f>
        <v>Poo010Be</v>
      </c>
      <c r="AD351" s="154">
        <f t="shared" ca="1" si="16"/>
        <v>31</v>
      </c>
      <c r="AE351" s="154">
        <f>IFERROR(IF(OR(E351="", D351="", LOWER(TRIM(E351))="pending", LOWER(TRIM(D351))="pending"), "Pending", E351 - D351), "Pending")</f>
        <v>5</v>
      </c>
      <c r="AF351" s="138" t="str">
        <f>IFERROR(IF(OR(E351="", D351="","Pending","Pending"), "Pending", IF((E351 - D351) &lt;= 5, "On Time", "Delayed")), "Pending")</f>
        <v>On Time</v>
      </c>
      <c r="AG351" s="24" t="str">
        <f t="shared" si="17"/>
        <v>Completed</v>
      </c>
    </row>
    <row r="352" spans="1:33">
      <c r="A352" s="24" t="s">
        <v>1568</v>
      </c>
      <c r="B352" s="24" t="s">
        <v>83</v>
      </c>
      <c r="C352" s="24" t="s">
        <v>184</v>
      </c>
      <c r="D352" s="30">
        <v>45868</v>
      </c>
      <c r="E352" s="30" t="s">
        <v>720</v>
      </c>
      <c r="F352" s="24" t="str">
        <f>VLOOKUP(B352,Custumer_Master!A:D,2,FALSE)</f>
        <v>Arjun Rao</v>
      </c>
      <c r="G352" s="24" t="str">
        <f>VLOOKUP($B352,Custumer_Master!$A:$J,6,FALSE)</f>
        <v>Male</v>
      </c>
      <c r="H352" s="30" t="str">
        <f>VLOOKUP($B352,Custumer_Master!$A:$J,7,FALSE)</f>
        <v>07/02/1988</v>
      </c>
      <c r="I352" s="24" t="str">
        <f>VLOOKUP($B352,Custumer_Master!$A:$J,9,FALSE)</f>
        <v>Hyderabad</v>
      </c>
      <c r="J352" s="24" t="str">
        <f>VLOOKUP($B352,Custumer_Master!$A:$J,10,FALSE)</f>
        <v>South</v>
      </c>
      <c r="K352" s="24" t="str">
        <f>VLOOKUP(B352,Custumer_Master!A:D,4,FALSE)</f>
        <v>RJ</v>
      </c>
      <c r="L352" s="24" t="str">
        <f>PROPER(TRIM(VLOOKUP('Final Data'!C352,Product_Master!A:F,3,FALSE)))</f>
        <v>Electronics</v>
      </c>
      <c r="M352" s="24" t="s">
        <v>189</v>
      </c>
      <c r="N352" s="34">
        <v>15</v>
      </c>
      <c r="O352" s="192">
        <f>VLOOKUP(C352,Product_Master!A:F,5,FALSE)</f>
        <v>525</v>
      </c>
      <c r="P352" s="33">
        <v>0.15</v>
      </c>
      <c r="Q352" s="34">
        <f t="shared" si="15"/>
        <v>6693.75</v>
      </c>
      <c r="R352" s="34">
        <v>3</v>
      </c>
      <c r="S352" s="24" t="s">
        <v>2148</v>
      </c>
      <c r="T352" s="24" t="s">
        <v>115</v>
      </c>
      <c r="U352" s="24" t="s">
        <v>89</v>
      </c>
      <c r="V352" s="34">
        <v>9645907237</v>
      </c>
      <c r="W352" s="24" t="str">
        <f>VLOOKUP(C352,Product_Master!A:F,4,FALSE)</f>
        <v>TechHub</v>
      </c>
      <c r="X352" s="34">
        <f>VLOOKUP(C352,Product_Master!A:F,6,FALSE)</f>
        <v>24</v>
      </c>
      <c r="Y352" s="24" t="str">
        <f>VLOOKUP(B352,Custumer_Master!A:D,3,FALSE)</f>
        <v>Silver</v>
      </c>
      <c r="Z352" s="30">
        <f>EDATE(E352,X352)</f>
        <v>46603</v>
      </c>
      <c r="AA352" s="29" t="str">
        <f>VLOOKUP(B352,Custumer_Master!A:K,11,)</f>
        <v>February</v>
      </c>
      <c r="AB352" s="24" t="s">
        <v>2108</v>
      </c>
      <c r="AC352" s="138" t="str">
        <f>PROPER(LEFT(TRIM(F352), 3)) &amp; RIGHT(TRIM(B352), 3) &amp; PROPER(LEFT(TRIM(I352), 2))</f>
        <v>Arj007Hy</v>
      </c>
      <c r="AD352" s="154">
        <f t="shared" ca="1" si="16"/>
        <v>38</v>
      </c>
      <c r="AE352" s="154">
        <f>IFERROR(IF(OR(E352="", D352="", LOWER(TRIM(E352))="pending", LOWER(TRIM(D352))="pending"), "Pending", E352 - D352), "Pending")</f>
        <v>5</v>
      </c>
      <c r="AF352" s="138" t="str">
        <f>IFERROR(IF(OR(E352="", D352="","Pending","Pending"), "Pending", IF((E352 - D352) &lt;= 5, "On Time", "Delayed")), "Pending")</f>
        <v>On Time</v>
      </c>
      <c r="AG352" s="24" t="str">
        <f t="shared" si="17"/>
        <v>Completed</v>
      </c>
    </row>
    <row r="353" spans="1:33">
      <c r="A353" s="24" t="s">
        <v>1571</v>
      </c>
      <c r="B353" s="24" t="s">
        <v>127</v>
      </c>
      <c r="C353" s="24" t="s">
        <v>24</v>
      </c>
      <c r="D353" s="30">
        <v>45856</v>
      </c>
      <c r="E353" s="30" t="s">
        <v>835</v>
      </c>
      <c r="F353" s="24" t="str">
        <f>VLOOKUP(B353,Custumer_Master!A:D,2,FALSE)</f>
        <v>Rohit Singh</v>
      </c>
      <c r="G353" s="24" t="str">
        <f>VLOOKUP($B353,Custumer_Master!$A:$J,6,FALSE)</f>
        <v>Male</v>
      </c>
      <c r="H353" s="30" t="str">
        <f>VLOOKUP($B353,Custumer_Master!$A:$J,7,FALSE)</f>
        <v>10/05/1982</v>
      </c>
      <c r="I353" s="24" t="str">
        <f>VLOOKUP($B353,Custumer_Master!$A:$J,9,FALSE)</f>
        <v>Delhi</v>
      </c>
      <c r="J353" s="24" t="str">
        <f>VLOOKUP($B353,Custumer_Master!$A:$J,10,FALSE)</f>
        <v>North</v>
      </c>
      <c r="K353" s="24" t="str">
        <f>VLOOKUP(B353,Custumer_Master!A:D,4,FALSE)</f>
        <v>DL</v>
      </c>
      <c r="L353" s="24" t="str">
        <f>PROPER(TRIM(VLOOKUP('Final Data'!C353,Product_Master!A:F,3,FALSE)))</f>
        <v>Home Appliances</v>
      </c>
      <c r="M353" s="24" t="s">
        <v>33</v>
      </c>
      <c r="N353" s="34">
        <v>5</v>
      </c>
      <c r="O353" s="192">
        <f>VLOOKUP(C353,Product_Master!A:F,5,FALSE)</f>
        <v>1650</v>
      </c>
      <c r="P353" s="33">
        <v>0.15</v>
      </c>
      <c r="Q353" s="34">
        <f t="shared" si="15"/>
        <v>7012.5</v>
      </c>
      <c r="R353" s="34">
        <v>1</v>
      </c>
      <c r="S353" s="24" t="s">
        <v>2148</v>
      </c>
      <c r="T353" s="24" t="s">
        <v>115</v>
      </c>
      <c r="U353" s="24" t="s">
        <v>132</v>
      </c>
      <c r="V353" s="34">
        <v>9566149945</v>
      </c>
      <c r="W353" s="24" t="str">
        <f>VLOOKUP(C353,Product_Master!A:F,4,FALSE)</f>
        <v>Global Trade</v>
      </c>
      <c r="X353" s="34">
        <f>VLOOKUP(C353,Product_Master!A:F,6,FALSE)</f>
        <v>24</v>
      </c>
      <c r="Y353" s="24" t="str">
        <f>VLOOKUP(B353,Custumer_Master!A:D,3,FALSE)</f>
        <v>Gold</v>
      </c>
      <c r="Z353" s="30">
        <f>EDATE(E353,X353)</f>
        <v>46592</v>
      </c>
      <c r="AA353" s="29" t="str">
        <f>VLOOKUP(B353,Custumer_Master!A:K,11,)</f>
        <v>May</v>
      </c>
      <c r="AB353" s="24" t="s">
        <v>2160</v>
      </c>
      <c r="AC353" s="138" t="str">
        <f>PROPER(LEFT(TRIM(F353), 3)) &amp; RIGHT(TRIM(B353), 3) &amp; PROPER(LEFT(TRIM(I353), 2))</f>
        <v>Roh003De</v>
      </c>
      <c r="AD353" s="154">
        <f t="shared" ca="1" si="16"/>
        <v>44</v>
      </c>
      <c r="AE353" s="154">
        <f>IFERROR(IF(OR(E353="", D353="", LOWER(TRIM(E353))="pending", LOWER(TRIM(D353))="pending"), "Pending", E353 - D353), "Pending")</f>
        <v>6</v>
      </c>
      <c r="AF353" s="138" t="str">
        <f>IFERROR(IF(OR(E353="", D353="","Pending","Pending"), "Pending", IF((E353 - D353) &lt;= 5, "On Time", "Delayed")), "Pending")</f>
        <v>Delayed</v>
      </c>
      <c r="AG353" s="24" t="str">
        <f t="shared" si="17"/>
        <v>Completed</v>
      </c>
    </row>
    <row r="354" spans="1:33">
      <c r="A354" s="24" t="s">
        <v>1575</v>
      </c>
      <c r="B354" s="24" t="s">
        <v>83</v>
      </c>
      <c r="C354" s="24" t="s">
        <v>72</v>
      </c>
      <c r="D354" s="30">
        <v>46092</v>
      </c>
      <c r="E354" s="30" t="s">
        <v>1480</v>
      </c>
      <c r="F354" s="24" t="str">
        <f>VLOOKUP(B354,Custumer_Master!A:D,2,FALSE)</f>
        <v>Arjun Rao</v>
      </c>
      <c r="G354" s="24" t="str">
        <f>VLOOKUP($B354,Custumer_Master!$A:$J,6,FALSE)</f>
        <v>Male</v>
      </c>
      <c r="H354" s="30" t="str">
        <f>VLOOKUP($B354,Custumer_Master!$A:$J,7,FALSE)</f>
        <v>07/02/1988</v>
      </c>
      <c r="I354" s="24" t="str">
        <f>VLOOKUP($B354,Custumer_Master!$A:$J,9,FALSE)</f>
        <v>Hyderabad</v>
      </c>
      <c r="J354" s="24" t="str">
        <f>VLOOKUP($B354,Custumer_Master!$A:$J,10,FALSE)</f>
        <v>South</v>
      </c>
      <c r="K354" s="24" t="str">
        <f>VLOOKUP(B354,Custumer_Master!A:D,4,FALSE)</f>
        <v>RJ</v>
      </c>
      <c r="L354" s="24" t="str">
        <f>PROPER(TRIM(VLOOKUP('Final Data'!C354,Product_Master!A:F,3,FALSE)))</f>
        <v>Electronics</v>
      </c>
      <c r="M354" s="24" t="s">
        <v>78</v>
      </c>
      <c r="N354" s="34">
        <v>15</v>
      </c>
      <c r="O354" s="192">
        <f>VLOOKUP(C354,Product_Master!A:F,5,FALSE)</f>
        <v>900</v>
      </c>
      <c r="P354" s="33">
        <v>0</v>
      </c>
      <c r="Q354" s="34">
        <f t="shared" si="15"/>
        <v>13500</v>
      </c>
      <c r="R354" s="34">
        <v>3</v>
      </c>
      <c r="S354" s="24" t="s">
        <v>2148</v>
      </c>
      <c r="T354" s="24" t="s">
        <v>61</v>
      </c>
      <c r="U354" s="24" t="s">
        <v>89</v>
      </c>
      <c r="V354" s="34">
        <v>9935018068</v>
      </c>
      <c r="W354" s="24" t="str">
        <f>VLOOKUP(C354,Product_Master!A:F,4,FALSE)</f>
        <v>TechHub</v>
      </c>
      <c r="X354" s="34">
        <f>VLOOKUP(C354,Product_Master!A:F,6,FALSE)</f>
        <v>6</v>
      </c>
      <c r="Y354" s="24" t="str">
        <f>VLOOKUP(B354,Custumer_Master!A:D,3,FALSE)</f>
        <v>Silver</v>
      </c>
      <c r="Z354" s="30">
        <f>EDATE(E354,X354)</f>
        <v>46277</v>
      </c>
      <c r="AA354" s="29" t="str">
        <f>VLOOKUP(B354,Custumer_Master!A:K,11,)</f>
        <v>February</v>
      </c>
      <c r="AB354" s="24" t="s">
        <v>2108</v>
      </c>
      <c r="AC354" s="138" t="str">
        <f>PROPER(LEFT(TRIM(F354), 3)) &amp; RIGHT(TRIM(B354), 3) &amp; PROPER(LEFT(TRIM(I354), 2))</f>
        <v>Arj007Hy</v>
      </c>
      <c r="AD354" s="154">
        <f t="shared" ca="1" si="16"/>
        <v>38</v>
      </c>
      <c r="AE354" s="154">
        <f>IFERROR(IF(OR(E354="", D354="", LOWER(TRIM(E354))="pending", LOWER(TRIM(D354))="pending"), "Pending", E354 - D354), "Pending")</f>
        <v>1</v>
      </c>
      <c r="AF354" s="138" t="str">
        <f>IFERROR(IF(OR(E354="", D354="","Pending","Pending"), "Pending", IF((E354 - D354) &lt;= 5, "On Time", "Delayed")), "Pending")</f>
        <v>On Time</v>
      </c>
      <c r="AG354" s="24" t="str">
        <f t="shared" si="17"/>
        <v>Completed</v>
      </c>
    </row>
    <row r="355" spans="1:33">
      <c r="A355" s="24" t="s">
        <v>1578</v>
      </c>
      <c r="B355" s="24" t="s">
        <v>251</v>
      </c>
      <c r="C355" s="24" t="s">
        <v>72</v>
      </c>
      <c r="D355" s="30">
        <v>46120</v>
      </c>
      <c r="E355" s="30" t="s">
        <v>657</v>
      </c>
      <c r="F355" s="24" t="str">
        <f>VLOOKUP(B355,Custumer_Master!A:D,2,FALSE)</f>
        <v>Sneha Joshi</v>
      </c>
      <c r="G355" s="24" t="str">
        <f>VLOOKUP($B355,Custumer_Master!$A:$J,6,FALSE)</f>
        <v>Female</v>
      </c>
      <c r="H355" s="30" t="str">
        <f>VLOOKUP($B355,Custumer_Master!$A:$J,7,FALSE)</f>
        <v>04/04/1981</v>
      </c>
      <c r="I355" s="24" t="str">
        <f>VLOOKUP($B355,Custumer_Master!$A:$J,9,FALSE)</f>
        <v>Pune</v>
      </c>
      <c r="J355" s="24" t="str">
        <f>VLOOKUP($B355,Custumer_Master!$A:$J,10,FALSE)</f>
        <v>West</v>
      </c>
      <c r="K355" s="24" t="str">
        <f>VLOOKUP(B355,Custumer_Master!A:D,4,FALSE)</f>
        <v>WB</v>
      </c>
      <c r="L355" s="24" t="str">
        <f>PROPER(TRIM(VLOOKUP('Final Data'!C355,Product_Master!A:F,3,FALSE)))</f>
        <v>Electronics</v>
      </c>
      <c r="M355" s="24" t="s">
        <v>78</v>
      </c>
      <c r="N355" s="34">
        <v>19</v>
      </c>
      <c r="O355" s="192">
        <f>VLOOKUP(C355,Product_Master!A:F,5,FALSE)</f>
        <v>900</v>
      </c>
      <c r="P355" s="33">
        <v>0</v>
      </c>
      <c r="Q355" s="34">
        <f t="shared" si="15"/>
        <v>17100</v>
      </c>
      <c r="R355" s="34">
        <v>1</v>
      </c>
      <c r="S355" s="24" t="s">
        <v>34</v>
      </c>
      <c r="T355" s="24" t="s">
        <v>49</v>
      </c>
      <c r="U355" s="24" t="s">
        <v>256</v>
      </c>
      <c r="V355" s="34">
        <v>9171794652</v>
      </c>
      <c r="W355" s="24" t="str">
        <f>VLOOKUP(C355,Product_Master!A:F,4,FALSE)</f>
        <v>TechHub</v>
      </c>
      <c r="X355" s="34">
        <f>VLOOKUP(C355,Product_Master!A:F,6,FALSE)</f>
        <v>6</v>
      </c>
      <c r="Y355" s="24" t="str">
        <f>VLOOKUP(B355,Custumer_Master!A:D,3,FALSE)</f>
        <v>Gold</v>
      </c>
      <c r="Z355" s="30">
        <f>EDATE(E355,X355)</f>
        <v>46305</v>
      </c>
      <c r="AA355" s="29" t="str">
        <f>VLOOKUP(B355,Custumer_Master!A:K,11,)</f>
        <v>April</v>
      </c>
      <c r="AB355" s="24" t="s">
        <v>2160</v>
      </c>
      <c r="AC355" s="138" t="str">
        <f>PROPER(LEFT(TRIM(F355), 3)) &amp; RIGHT(TRIM(B355), 3) &amp; PROPER(LEFT(TRIM(I355), 2))</f>
        <v>Sne006Pu</v>
      </c>
      <c r="AD355" s="154">
        <f t="shared" ca="1" si="16"/>
        <v>45</v>
      </c>
      <c r="AE355" s="154">
        <f>IFERROR(IF(OR(E355="", D355="", LOWER(TRIM(E355))="pending", LOWER(TRIM(D355))="pending"), "Pending", E355 - D355), "Pending")</f>
        <v>2</v>
      </c>
      <c r="AF355" s="138" t="str">
        <f>IFERROR(IF(OR(E355="", D355="","Pending","Pending"), "Pending", IF((E355 - D355) &lt;= 5, "On Time", "Delayed")), "Pending")</f>
        <v>On Time</v>
      </c>
      <c r="AG355" s="24" t="str">
        <f t="shared" si="17"/>
        <v>Completed</v>
      </c>
    </row>
    <row r="356" spans="1:33">
      <c r="A356" s="24" t="s">
        <v>1581</v>
      </c>
      <c r="B356" s="24" t="s">
        <v>168</v>
      </c>
      <c r="C356" s="24" t="s">
        <v>40</v>
      </c>
      <c r="D356" s="30">
        <v>45918</v>
      </c>
      <c r="E356" s="30" t="s">
        <v>1582</v>
      </c>
      <c r="F356" s="24" t="str">
        <f>VLOOKUP(B356,Custumer_Master!A:D,2,FALSE)</f>
        <v>Anita Gupta</v>
      </c>
      <c r="G356" s="24" t="str">
        <f>VLOOKUP($B356,Custumer_Master!$A:$J,6,FALSE)</f>
        <v>Female</v>
      </c>
      <c r="H356" s="30" t="str">
        <f>VLOOKUP($B356,Custumer_Master!$A:$J,7,FALSE)</f>
        <v>16/01/2002</v>
      </c>
      <c r="I356" s="24" t="str">
        <f>VLOOKUP($B356,Custumer_Master!$A:$J,9,FALSE)</f>
        <v>Pune</v>
      </c>
      <c r="J356" s="24" t="str">
        <f>VLOOKUP($B356,Custumer_Master!$A:$J,10,FALSE)</f>
        <v>West</v>
      </c>
      <c r="K356" s="24" t="str">
        <f>VLOOKUP(B356,Custumer_Master!A:D,4,FALSE)</f>
        <v>WB</v>
      </c>
      <c r="L356" s="24" t="str">
        <f>PROPER(TRIM(VLOOKUP('Final Data'!C356,Product_Master!A:F,3,FALSE)))</f>
        <v>Electronics</v>
      </c>
      <c r="M356" s="24" t="s">
        <v>47</v>
      </c>
      <c r="N356" s="34">
        <v>9</v>
      </c>
      <c r="O356" s="192">
        <f>VLOOKUP(C356,Product_Master!A:F,5,FALSE)</f>
        <v>9000</v>
      </c>
      <c r="P356" s="33">
        <v>0.15</v>
      </c>
      <c r="Q356" s="34">
        <f t="shared" si="15"/>
        <v>68850</v>
      </c>
      <c r="R356" s="34">
        <v>3</v>
      </c>
      <c r="S356" s="24" t="s">
        <v>2149</v>
      </c>
      <c r="T356" s="24" t="s">
        <v>49</v>
      </c>
      <c r="U356" s="24" t="s">
        <v>175</v>
      </c>
      <c r="V356" s="34">
        <v>9671497416</v>
      </c>
      <c r="W356" s="24" t="str">
        <f>VLOOKUP(C356,Product_Master!A:F,4,FALSE)</f>
        <v>Global Trade</v>
      </c>
      <c r="X356" s="34">
        <f>VLOOKUP(C356,Product_Master!A:F,6,FALSE)</f>
        <v>24</v>
      </c>
      <c r="Y356" s="24" t="str">
        <f>VLOOKUP(B356,Custumer_Master!A:D,3,FALSE)</f>
        <v>Gold</v>
      </c>
      <c r="Z356" s="30">
        <f>EDATE(E356,X356)</f>
        <v>46655</v>
      </c>
      <c r="AA356" s="29" t="str">
        <f>VLOOKUP(B356,Custumer_Master!A:K,11,)</f>
        <v>January</v>
      </c>
      <c r="AB356" s="24" t="s">
        <v>2112</v>
      </c>
      <c r="AC356" s="138" t="str">
        <f>PROPER(LEFT(TRIM(F356), 3)) &amp; RIGHT(TRIM(B356), 3) &amp; PROPER(LEFT(TRIM(I356), 2))</f>
        <v>Ani004Pu</v>
      </c>
      <c r="AD356" s="154">
        <f t="shared" ca="1" si="16"/>
        <v>24</v>
      </c>
      <c r="AE356" s="154">
        <f>IFERROR(IF(OR(E356="", D356="", LOWER(TRIM(E356))="pending", LOWER(TRIM(D356))="pending"), "Pending", E356 - D356), "Pending")</f>
        <v>7</v>
      </c>
      <c r="AF356" s="138" t="str">
        <f>IFERROR(IF(OR(E356="", D356="","Pending","Pending"), "Pending", IF((E356 - D356) &lt;= 5, "On Time", "Delayed")), "Pending")</f>
        <v>Delayed</v>
      </c>
      <c r="AG356" s="24" t="str">
        <f t="shared" si="17"/>
        <v>Completed</v>
      </c>
    </row>
    <row r="357" spans="1:33">
      <c r="A357" s="24" t="s">
        <v>1585</v>
      </c>
      <c r="B357" s="24" t="s">
        <v>23</v>
      </c>
      <c r="C357" s="24" t="s">
        <v>259</v>
      </c>
      <c r="D357" s="30">
        <v>45941</v>
      </c>
      <c r="E357" s="30" t="s">
        <v>793</v>
      </c>
      <c r="F357" s="24" t="str">
        <f>VLOOKUP(B357,Custumer_Master!A:D,2,FALSE)</f>
        <v>Kavya Nair</v>
      </c>
      <c r="G357" s="24" t="str">
        <f>VLOOKUP($B357,Custumer_Master!$A:$J,6,FALSE)</f>
        <v>Female</v>
      </c>
      <c r="H357" s="30" t="str">
        <f>VLOOKUP($B357,Custumer_Master!$A:$J,7,FALSE)</f>
        <v>01/08/1976</v>
      </c>
      <c r="I357" s="24" t="str">
        <f>VLOOKUP($B357,Custumer_Master!$A:$J,9,FALSE)</f>
        <v>Hyderabad</v>
      </c>
      <c r="J357" s="24" t="str">
        <f>VLOOKUP($B357,Custumer_Master!$A:$J,10,FALSE)</f>
        <v>South</v>
      </c>
      <c r="K357" s="24" t="str">
        <f>VLOOKUP(B357,Custumer_Master!A:D,4,FALSE)</f>
        <v>WB</v>
      </c>
      <c r="L357" s="24" t="str">
        <f>PROPER(TRIM(VLOOKUP('Final Data'!C357,Product_Master!A:F,3,FALSE)))</f>
        <v>Stationery</v>
      </c>
      <c r="M357" s="24" t="s">
        <v>263</v>
      </c>
      <c r="N357" s="34">
        <v>5</v>
      </c>
      <c r="O357" s="192">
        <f>VLOOKUP(C357,Product_Master!A:F,5,FALSE)</f>
        <v>33.75</v>
      </c>
      <c r="P357" s="33">
        <v>0.05</v>
      </c>
      <c r="Q357" s="34">
        <f t="shared" si="15"/>
        <v>160.3125</v>
      </c>
      <c r="R357" s="34">
        <v>1</v>
      </c>
      <c r="S357" s="24" t="s">
        <v>79</v>
      </c>
      <c r="T357" s="24" t="s">
        <v>115</v>
      </c>
      <c r="U357" s="24" t="s">
        <v>50</v>
      </c>
      <c r="V357" s="34">
        <v>9810433484</v>
      </c>
      <c r="W357" s="24" t="str">
        <f>VLOOKUP(C357,Product_Master!A:F,4,FALSE)</f>
        <v>TechHub</v>
      </c>
      <c r="X357" s="34">
        <f>VLOOKUP(C357,Product_Master!A:F,6,FALSE)</f>
        <v>12</v>
      </c>
      <c r="Y357" s="24" t="str">
        <f>VLOOKUP(B357,Custumer_Master!A:D,3,FALSE)</f>
        <v>Silver</v>
      </c>
      <c r="Z357" s="30">
        <f>EDATE(E357,X357)</f>
        <v>46316</v>
      </c>
      <c r="AA357" s="29" t="str">
        <f>VLOOKUP(B357,Custumer_Master!A:K,11,)</f>
        <v>August</v>
      </c>
      <c r="AB357" s="24" t="s">
        <v>2160</v>
      </c>
      <c r="AC357" s="138" t="str">
        <f>PROPER(LEFT(TRIM(F357), 3)) &amp; RIGHT(TRIM(B357), 3) &amp; PROPER(LEFT(TRIM(I357), 2))</f>
        <v>Kav008Hy</v>
      </c>
      <c r="AD357" s="154">
        <f t="shared" ca="1" si="16"/>
        <v>49</v>
      </c>
      <c r="AE357" s="154">
        <f>IFERROR(IF(OR(E357="", D357="", LOWER(TRIM(E357))="pending", LOWER(TRIM(D357))="pending"), "Pending", E357 - D357), "Pending")</f>
        <v>10</v>
      </c>
      <c r="AF357" s="138" t="str">
        <f>IFERROR(IF(OR(E357="", D357="","Pending","Pending"), "Pending", IF((E357 - D357) &lt;= 5, "On Time", "Delayed")), "Pending")</f>
        <v>Delayed</v>
      </c>
      <c r="AG357" s="24" t="str">
        <f t="shared" si="17"/>
        <v>Completed</v>
      </c>
    </row>
    <row r="358" spans="1:33">
      <c r="A358" s="24" t="s">
        <v>1588</v>
      </c>
      <c r="B358" s="24" t="s">
        <v>251</v>
      </c>
      <c r="C358" s="24" t="s">
        <v>184</v>
      </c>
      <c r="D358" s="30"/>
      <c r="E358" s="30" t="s">
        <v>1373</v>
      </c>
      <c r="F358" s="24" t="str">
        <f>VLOOKUP(B358,Custumer_Master!A:D,2,FALSE)</f>
        <v>Sneha Joshi</v>
      </c>
      <c r="G358" s="24" t="str">
        <f>VLOOKUP($B358,Custumer_Master!$A:$J,6,FALSE)</f>
        <v>Female</v>
      </c>
      <c r="H358" s="30" t="str">
        <f>VLOOKUP($B358,Custumer_Master!$A:$J,7,FALSE)</f>
        <v>04/04/1981</v>
      </c>
      <c r="I358" s="24" t="str">
        <f>VLOOKUP($B358,Custumer_Master!$A:$J,9,FALSE)</f>
        <v>Pune</v>
      </c>
      <c r="J358" s="24" t="str">
        <f>VLOOKUP($B358,Custumer_Master!$A:$J,10,FALSE)</f>
        <v>West</v>
      </c>
      <c r="K358" s="24" t="str">
        <f>VLOOKUP(B358,Custumer_Master!A:D,4,FALSE)</f>
        <v>WB</v>
      </c>
      <c r="L358" s="24" t="str">
        <f>PROPER(TRIM(VLOOKUP('Final Data'!C358,Product_Master!A:F,3,FALSE)))</f>
        <v>Electronics</v>
      </c>
      <c r="M358" s="24" t="s">
        <v>189</v>
      </c>
      <c r="N358" s="34">
        <v>3</v>
      </c>
      <c r="O358" s="192">
        <f>VLOOKUP(C358,Product_Master!A:F,5,FALSE)</f>
        <v>525</v>
      </c>
      <c r="P358" s="33">
        <v>0.15</v>
      </c>
      <c r="Q358" s="34">
        <f t="shared" si="15"/>
        <v>1338.75</v>
      </c>
      <c r="R358" s="34">
        <v>4</v>
      </c>
      <c r="S358" s="24" t="s">
        <v>34</v>
      </c>
      <c r="T358" s="24" t="s">
        <v>151</v>
      </c>
      <c r="U358" s="24" t="s">
        <v>256</v>
      </c>
      <c r="V358" s="34">
        <v>9990243436</v>
      </c>
      <c r="W358" s="24" t="str">
        <f>VLOOKUP(C358,Product_Master!A:F,4,FALSE)</f>
        <v>TechHub</v>
      </c>
      <c r="X358" s="34">
        <f>VLOOKUP(C358,Product_Master!A:F,6,FALSE)</f>
        <v>24</v>
      </c>
      <c r="Y358" s="24" t="str">
        <f>VLOOKUP(B358,Custumer_Master!A:D,3,FALSE)</f>
        <v>Gold</v>
      </c>
      <c r="Z358" s="30">
        <f>EDATE(E358,X358)</f>
        <v>46429</v>
      </c>
      <c r="AA358" s="29" t="str">
        <f>VLOOKUP(B358,Custumer_Master!A:K,11,)</f>
        <v>April</v>
      </c>
      <c r="AB358" s="24" t="s">
        <v>2108</v>
      </c>
      <c r="AC358" s="138" t="str">
        <f>PROPER(LEFT(TRIM(F358), 3)) &amp; RIGHT(TRIM(B358), 3) &amp; PROPER(LEFT(TRIM(I358), 2))</f>
        <v>Sne006Pu</v>
      </c>
      <c r="AD358" s="154">
        <f t="shared" ca="1" si="16"/>
        <v>45</v>
      </c>
      <c r="AE358" s="154" t="str">
        <f>IFERROR(IF(OR(E358="", D358="", LOWER(TRIM(E358))="pending", LOWER(TRIM(D358))="pending"), "Pending", E358 - D358), "Pending")</f>
        <v>Pending</v>
      </c>
      <c r="AF358" s="138" t="str">
        <f>IFERROR(IF(OR(E358="", D358="","Pending","Pending"), "Pending", IF((E358 - D358) &lt;= 5, "On Time", "Delayed")), "Pending")</f>
        <v>Pending</v>
      </c>
      <c r="AG358" s="24" t="str">
        <f t="shared" si="17"/>
        <v>Pending</v>
      </c>
    </row>
    <row r="359" spans="1:33">
      <c r="A359" s="24" t="s">
        <v>1592</v>
      </c>
      <c r="B359" s="24" t="s">
        <v>71</v>
      </c>
      <c r="C359" s="24" t="s">
        <v>169</v>
      </c>
      <c r="D359" s="30">
        <v>46005</v>
      </c>
      <c r="E359" s="30" t="s">
        <v>961</v>
      </c>
      <c r="F359" s="24" t="str">
        <f>VLOOKUP(B359,Custumer_Master!A:D,2,FALSE)</f>
        <v>Mohit Verma</v>
      </c>
      <c r="G359" s="24" t="str">
        <f>VLOOKUP($B359,Custumer_Master!$A:$J,6,FALSE)</f>
        <v>Male</v>
      </c>
      <c r="H359" s="30" t="str">
        <f>VLOOKUP($B359,Custumer_Master!$A:$J,7,FALSE)</f>
        <v>13/04/1976</v>
      </c>
      <c r="I359" s="24" t="str">
        <f>VLOOKUP($B359,Custumer_Master!$A:$J,9,FALSE)</f>
        <v>Delhi</v>
      </c>
      <c r="J359" s="24" t="str">
        <f>VLOOKUP($B359,Custumer_Master!$A:$J,10,FALSE)</f>
        <v>North</v>
      </c>
      <c r="K359" s="24" t="str">
        <f>VLOOKUP(B359,Custumer_Master!A:D,4,FALSE)</f>
        <v>KA</v>
      </c>
      <c r="L359" s="24" t="str">
        <f>PROPER(TRIM(VLOOKUP('Final Data'!C359,Product_Master!A:F,3,FALSE)))</f>
        <v>Home Appliances</v>
      </c>
      <c r="M359" s="24" t="s">
        <v>174</v>
      </c>
      <c r="N359" s="34">
        <v>12</v>
      </c>
      <c r="O359" s="192">
        <f>VLOOKUP(C359,Product_Master!A:F,5,FALSE)</f>
        <v>6375</v>
      </c>
      <c r="P359" s="33">
        <v>0.05</v>
      </c>
      <c r="Q359" s="34">
        <f t="shared" si="15"/>
        <v>72675</v>
      </c>
      <c r="R359" s="34">
        <v>3</v>
      </c>
      <c r="S359" s="24" t="s">
        <v>79</v>
      </c>
      <c r="T359" s="24" t="s">
        <v>61</v>
      </c>
      <c r="U359" s="24" t="s">
        <v>80</v>
      </c>
      <c r="V359" s="34">
        <v>9396678031</v>
      </c>
      <c r="W359" s="24" t="str">
        <f>VLOOKUP(C359,Product_Master!A:F,4,FALSE)</f>
        <v>TechHub</v>
      </c>
      <c r="X359" s="34">
        <f>VLOOKUP(C359,Product_Master!A:F,6,FALSE)</f>
        <v>24</v>
      </c>
      <c r="Y359" s="24" t="str">
        <f>VLOOKUP(B359,Custumer_Master!A:D,3,FALSE)</f>
        <v>Platinum</v>
      </c>
      <c r="Z359" s="30">
        <f>EDATE(E359,X359)</f>
        <v>46747</v>
      </c>
      <c r="AA359" s="29" t="str">
        <f>VLOOKUP(B359,Custumer_Master!A:K,11,)</f>
        <v>April</v>
      </c>
      <c r="AB359" s="24" t="s">
        <v>2112</v>
      </c>
      <c r="AC359" s="138" t="str">
        <f>PROPER(LEFT(TRIM(F359), 3)) &amp; RIGHT(TRIM(B359), 3) &amp; PROPER(LEFT(TRIM(I359), 2))</f>
        <v>Moh009De</v>
      </c>
      <c r="AD359" s="154">
        <f t="shared" ca="1" si="16"/>
        <v>50</v>
      </c>
      <c r="AE359" s="154">
        <f>IFERROR(IF(OR(E359="", D359="", LOWER(TRIM(E359))="pending", LOWER(TRIM(D359))="pending"), "Pending", E359 - D359), "Pending")</f>
        <v>12</v>
      </c>
      <c r="AF359" s="138" t="str">
        <f>IFERROR(IF(OR(E359="", D359="","Pending","Pending"), "Pending", IF((E359 - D359) &lt;= 5, "On Time", "Delayed")), "Pending")</f>
        <v>Delayed</v>
      </c>
      <c r="AG359" s="24" t="str">
        <f t="shared" si="17"/>
        <v>Completed</v>
      </c>
    </row>
    <row r="360" spans="1:33">
      <c r="A360" s="24" t="s">
        <v>1595</v>
      </c>
      <c r="B360" s="24" t="s">
        <v>251</v>
      </c>
      <c r="C360" s="24" t="s">
        <v>169</v>
      </c>
      <c r="D360" s="30">
        <v>46123</v>
      </c>
      <c r="E360" s="30" t="s">
        <v>356</v>
      </c>
      <c r="F360" s="24" t="str">
        <f>VLOOKUP(B360,Custumer_Master!A:D,2,FALSE)</f>
        <v>Sneha Joshi</v>
      </c>
      <c r="G360" s="24" t="str">
        <f>VLOOKUP($B360,Custumer_Master!$A:$J,6,FALSE)</f>
        <v>Female</v>
      </c>
      <c r="H360" s="30" t="str">
        <f>VLOOKUP($B360,Custumer_Master!$A:$J,7,FALSE)</f>
        <v>04/04/1981</v>
      </c>
      <c r="I360" s="24" t="str">
        <f>VLOOKUP($B360,Custumer_Master!$A:$J,9,FALSE)</f>
        <v>Pune</v>
      </c>
      <c r="J360" s="24" t="str">
        <f>VLOOKUP($B360,Custumer_Master!$A:$J,10,FALSE)</f>
        <v>West</v>
      </c>
      <c r="K360" s="24" t="str">
        <f>VLOOKUP(B360,Custumer_Master!A:D,4,FALSE)</f>
        <v>WB</v>
      </c>
      <c r="L360" s="24" t="str">
        <f>PROPER(TRIM(VLOOKUP('Final Data'!C360,Product_Master!A:F,3,FALSE)))</f>
        <v>Home Appliances</v>
      </c>
      <c r="M360" s="24" t="s">
        <v>174</v>
      </c>
      <c r="N360" s="34">
        <v>4</v>
      </c>
      <c r="O360" s="192">
        <f>VLOOKUP(C360,Product_Master!A:F,5,FALSE)</f>
        <v>6375</v>
      </c>
      <c r="P360" s="33">
        <v>0.15</v>
      </c>
      <c r="Q360" s="34">
        <f t="shared" si="15"/>
        <v>21675</v>
      </c>
      <c r="R360" s="34">
        <v>4</v>
      </c>
      <c r="S360" s="24" t="s">
        <v>2148</v>
      </c>
      <c r="T360" s="24" t="s">
        <v>61</v>
      </c>
      <c r="U360" s="24" t="s">
        <v>256</v>
      </c>
      <c r="V360" s="34">
        <v>9818591245</v>
      </c>
      <c r="W360" s="24" t="str">
        <f>VLOOKUP(C360,Product_Master!A:F,4,FALSE)</f>
        <v>TechHub</v>
      </c>
      <c r="X360" s="34">
        <f>VLOOKUP(C360,Product_Master!A:F,6,FALSE)</f>
        <v>24</v>
      </c>
      <c r="Y360" s="24" t="str">
        <f>VLOOKUP(B360,Custumer_Master!A:D,3,FALSE)</f>
        <v>Gold</v>
      </c>
      <c r="Z360" s="30">
        <f>EDATE(E360,X360)</f>
        <v>46862</v>
      </c>
      <c r="AA360" s="29" t="str">
        <f>VLOOKUP(B360,Custumer_Master!A:K,11,)</f>
        <v>April</v>
      </c>
      <c r="AB360" s="24" t="s">
        <v>2108</v>
      </c>
      <c r="AC360" s="138" t="str">
        <f>PROPER(LEFT(TRIM(F360), 3)) &amp; RIGHT(TRIM(B360), 3) &amp; PROPER(LEFT(TRIM(I360), 2))</f>
        <v>Sne006Pu</v>
      </c>
      <c r="AD360" s="154">
        <f t="shared" ca="1" si="16"/>
        <v>45</v>
      </c>
      <c r="AE360" s="154">
        <f>IFERROR(IF(OR(E360="", D360="", LOWER(TRIM(E360))="pending", LOWER(TRIM(D360))="pending"), "Pending", E360 - D360), "Pending")</f>
        <v>8</v>
      </c>
      <c r="AF360" s="138" t="str">
        <f>IFERROR(IF(OR(E360="", D360="","Pending","Pending"), "Pending", IF((E360 - D360) &lt;= 5, "On Time", "Delayed")), "Pending")</f>
        <v>Delayed</v>
      </c>
      <c r="AG360" s="24" t="str">
        <f t="shared" si="17"/>
        <v>Completed</v>
      </c>
    </row>
    <row r="361" spans="1:33">
      <c r="A361" s="24" t="s">
        <v>1598</v>
      </c>
      <c r="B361" s="24" t="s">
        <v>127</v>
      </c>
      <c r="C361" s="24" t="s">
        <v>222</v>
      </c>
      <c r="D361" s="30">
        <v>45766</v>
      </c>
      <c r="E361" s="30" t="s">
        <v>953</v>
      </c>
      <c r="F361" s="24" t="str">
        <f>VLOOKUP(B361,Custumer_Master!A:D,2,FALSE)</f>
        <v>Rohit Singh</v>
      </c>
      <c r="G361" s="24" t="str">
        <f>VLOOKUP($B361,Custumer_Master!$A:$J,6,FALSE)</f>
        <v>Male</v>
      </c>
      <c r="H361" s="30" t="str">
        <f>VLOOKUP($B361,Custumer_Master!$A:$J,7,FALSE)</f>
        <v>10/05/1982</v>
      </c>
      <c r="I361" s="24" t="str">
        <f>VLOOKUP($B361,Custumer_Master!$A:$J,9,FALSE)</f>
        <v>Delhi</v>
      </c>
      <c r="J361" s="24" t="str">
        <f>VLOOKUP($B361,Custumer_Master!$A:$J,10,FALSE)</f>
        <v>North</v>
      </c>
      <c r="K361" s="24" t="str">
        <f>VLOOKUP(B361,Custumer_Master!A:D,4,FALSE)</f>
        <v>DL</v>
      </c>
      <c r="L361" s="24" t="str">
        <f>PROPER(TRIM(VLOOKUP('Final Data'!C361,Product_Master!A:F,3,FALSE)))</f>
        <v>Stationery</v>
      </c>
      <c r="M361" s="24" t="s">
        <v>227</v>
      </c>
      <c r="N361" s="34">
        <v>16</v>
      </c>
      <c r="O361" s="192">
        <f>VLOOKUP(C361,Product_Master!A:F,5,FALSE)</f>
        <v>15</v>
      </c>
      <c r="P361" s="33">
        <v>0.1</v>
      </c>
      <c r="Q361" s="34">
        <f t="shared" si="15"/>
        <v>216</v>
      </c>
      <c r="R361" s="34">
        <v>4</v>
      </c>
      <c r="S361" s="24" t="s">
        <v>34</v>
      </c>
      <c r="T361" s="24" t="s">
        <v>115</v>
      </c>
      <c r="U361" s="24" t="s">
        <v>132</v>
      </c>
      <c r="V361" s="34">
        <v>9505550047</v>
      </c>
      <c r="W361" s="24" t="str">
        <f>VLOOKUP(C361,Product_Master!A:F,4,FALSE)</f>
        <v>Prime Supplies</v>
      </c>
      <c r="X361" s="34">
        <f>VLOOKUP(C361,Product_Master!A:F,6,FALSE)</f>
        <v>12</v>
      </c>
      <c r="Y361" s="24" t="str">
        <f>VLOOKUP(B361,Custumer_Master!A:D,3,FALSE)</f>
        <v>Gold</v>
      </c>
      <c r="Z361" s="30">
        <f>EDATE(E361,X361)</f>
        <v>46134</v>
      </c>
      <c r="AA361" s="29" t="str">
        <f>VLOOKUP(B361,Custumer_Master!A:K,11,)</f>
        <v>May</v>
      </c>
      <c r="AB361" s="24" t="s">
        <v>2108</v>
      </c>
      <c r="AC361" s="138" t="str">
        <f>PROPER(LEFT(TRIM(F361), 3)) &amp; RIGHT(TRIM(B361), 3) &amp; PROPER(LEFT(TRIM(I361), 2))</f>
        <v>Roh003De</v>
      </c>
      <c r="AD361" s="154">
        <f t="shared" ca="1" si="16"/>
        <v>44</v>
      </c>
      <c r="AE361" s="154">
        <f>IFERROR(IF(OR(E361="", D361="", LOWER(TRIM(E361))="pending", LOWER(TRIM(D361))="pending"), "Pending", E361 - D361), "Pending")</f>
        <v>3</v>
      </c>
      <c r="AF361" s="138" t="str">
        <f>IFERROR(IF(OR(E361="", D361="","Pending","Pending"), "Pending", IF((E361 - D361) &lt;= 5, "On Time", "Delayed")), "Pending")</f>
        <v>On Time</v>
      </c>
      <c r="AG361" s="24" t="str">
        <f t="shared" si="17"/>
        <v>Completed</v>
      </c>
    </row>
    <row r="362" spans="1:33">
      <c r="A362" s="24" t="s">
        <v>1601</v>
      </c>
      <c r="B362" s="24" t="s">
        <v>127</v>
      </c>
      <c r="C362" s="24" t="s">
        <v>118</v>
      </c>
      <c r="D362" s="30">
        <v>46152</v>
      </c>
      <c r="E362" s="30" t="s">
        <v>1602</v>
      </c>
      <c r="F362" s="24" t="str">
        <f>VLOOKUP(B362,Custumer_Master!A:D,2,FALSE)</f>
        <v>Rohit Singh</v>
      </c>
      <c r="G362" s="24" t="str">
        <f>VLOOKUP($B362,Custumer_Master!$A:$J,6,FALSE)</f>
        <v>Male</v>
      </c>
      <c r="H362" s="30" t="str">
        <f>VLOOKUP($B362,Custumer_Master!$A:$J,7,FALSE)</f>
        <v>10/05/1982</v>
      </c>
      <c r="I362" s="24" t="str">
        <f>VLOOKUP($B362,Custumer_Master!$A:$J,9,FALSE)</f>
        <v>Delhi</v>
      </c>
      <c r="J362" s="24" t="str">
        <f>VLOOKUP($B362,Custumer_Master!$A:$J,10,FALSE)</f>
        <v>North</v>
      </c>
      <c r="K362" s="24" t="str">
        <f>VLOOKUP(B362,Custumer_Master!A:D,4,FALSE)</f>
        <v>DL</v>
      </c>
      <c r="L362" s="24" t="str">
        <f>PROPER(TRIM(VLOOKUP('Final Data'!C362,Product_Master!A:F,3,FALSE)))</f>
        <v>Stationery</v>
      </c>
      <c r="M362" s="24" t="s">
        <v>123</v>
      </c>
      <c r="N362" s="34">
        <v>3</v>
      </c>
      <c r="O362" s="192">
        <f>VLOOKUP(C362,Product_Master!A:F,5,FALSE)</f>
        <v>45</v>
      </c>
      <c r="P362" s="33">
        <v>0.2</v>
      </c>
      <c r="Q362" s="34">
        <f t="shared" si="15"/>
        <v>108</v>
      </c>
      <c r="R362" s="34">
        <v>4</v>
      </c>
      <c r="S362" s="24" t="s">
        <v>2149</v>
      </c>
      <c r="T362" s="24" t="s">
        <v>151</v>
      </c>
      <c r="U362" s="24" t="s">
        <v>132</v>
      </c>
      <c r="V362" s="34">
        <v>9469828772</v>
      </c>
      <c r="W362" s="24" t="str">
        <f>VLOOKUP(C362,Product_Master!A:F,4,FALSE)</f>
        <v>ABC Corp</v>
      </c>
      <c r="X362" s="34">
        <f>VLOOKUP(C362,Product_Master!A:F,6,FALSE)</f>
        <v>12</v>
      </c>
      <c r="Y362" s="24" t="str">
        <f>VLOOKUP(B362,Custumer_Master!A:D,3,FALSE)</f>
        <v>Gold</v>
      </c>
      <c r="Z362" s="30">
        <f>EDATE(E362,X362)</f>
        <v>46525</v>
      </c>
      <c r="AA362" s="29" t="str">
        <f>VLOOKUP(B362,Custumer_Master!A:K,11,)</f>
        <v>May</v>
      </c>
      <c r="AB362" s="24" t="s">
        <v>2108</v>
      </c>
      <c r="AC362" s="138" t="str">
        <f>PROPER(LEFT(TRIM(F362), 3)) &amp; RIGHT(TRIM(B362), 3) &amp; PROPER(LEFT(TRIM(I362), 2))</f>
        <v>Roh003De</v>
      </c>
      <c r="AD362" s="154">
        <f t="shared" ca="1" si="16"/>
        <v>44</v>
      </c>
      <c r="AE362" s="154">
        <f>IFERROR(IF(OR(E362="", D362="", LOWER(TRIM(E362))="pending", LOWER(TRIM(D362))="pending"), "Pending", E362 - D362), "Pending")</f>
        <v>8</v>
      </c>
      <c r="AF362" s="138" t="str">
        <f>IFERROR(IF(OR(E362="", D362="","Pending","Pending"), "Pending", IF((E362 - D362) &lt;= 5, "On Time", "Delayed")), "Pending")</f>
        <v>Delayed</v>
      </c>
      <c r="AG362" s="24" t="str">
        <f t="shared" si="17"/>
        <v>Completed</v>
      </c>
    </row>
    <row r="363" spans="1:33">
      <c r="A363" s="24" t="s">
        <v>1605</v>
      </c>
      <c r="B363" s="24" t="s">
        <v>71</v>
      </c>
      <c r="C363" s="24" t="s">
        <v>24</v>
      </c>
      <c r="D363" s="30">
        <v>45858</v>
      </c>
      <c r="E363" s="30" t="s">
        <v>155</v>
      </c>
      <c r="F363" s="24" t="str">
        <f>VLOOKUP(B363,Custumer_Master!A:D,2,FALSE)</f>
        <v>Mohit Verma</v>
      </c>
      <c r="G363" s="24" t="str">
        <f>VLOOKUP($B363,Custumer_Master!$A:$J,6,FALSE)</f>
        <v>Male</v>
      </c>
      <c r="H363" s="30" t="str">
        <f>VLOOKUP($B363,Custumer_Master!$A:$J,7,FALSE)</f>
        <v>13/04/1976</v>
      </c>
      <c r="I363" s="24" t="str">
        <f>VLOOKUP($B363,Custumer_Master!$A:$J,9,FALSE)</f>
        <v>Delhi</v>
      </c>
      <c r="J363" s="24" t="str">
        <f>VLOOKUP($B363,Custumer_Master!$A:$J,10,FALSE)</f>
        <v>North</v>
      </c>
      <c r="K363" s="24" t="str">
        <f>VLOOKUP(B363,Custumer_Master!A:D,4,FALSE)</f>
        <v>KA</v>
      </c>
      <c r="L363" s="24" t="str">
        <f>PROPER(TRIM(VLOOKUP('Final Data'!C363,Product_Master!A:F,3,FALSE)))</f>
        <v>Home Appliances</v>
      </c>
      <c r="M363" s="24" t="s">
        <v>33</v>
      </c>
      <c r="N363" s="34">
        <v>19</v>
      </c>
      <c r="O363" s="192">
        <f>VLOOKUP(C363,Product_Master!A:F,5,FALSE)</f>
        <v>1650</v>
      </c>
      <c r="P363" s="33">
        <v>0.1</v>
      </c>
      <c r="Q363" s="34">
        <f t="shared" si="15"/>
        <v>28215</v>
      </c>
      <c r="R363" s="34">
        <v>2</v>
      </c>
      <c r="S363" s="24" t="s">
        <v>34</v>
      </c>
      <c r="T363" s="24" t="s">
        <v>151</v>
      </c>
      <c r="U363" s="24" t="s">
        <v>80</v>
      </c>
      <c r="V363" s="34">
        <v>9885092680</v>
      </c>
      <c r="W363" s="24" t="str">
        <f>VLOOKUP(C363,Product_Master!A:F,4,FALSE)</f>
        <v>Global Trade</v>
      </c>
      <c r="X363" s="34">
        <f>VLOOKUP(C363,Product_Master!A:F,6,FALSE)</f>
        <v>24</v>
      </c>
      <c r="Y363" s="24" t="str">
        <f>VLOOKUP(B363,Custumer_Master!A:D,3,FALSE)</f>
        <v>Platinum</v>
      </c>
      <c r="Z363" s="30">
        <f>EDATE(E363,X363)</f>
        <v>46594</v>
      </c>
      <c r="AA363" s="29" t="str">
        <f>VLOOKUP(B363,Custumer_Master!A:K,11,)</f>
        <v>April</v>
      </c>
      <c r="AB363" s="24" t="s">
        <v>2160</v>
      </c>
      <c r="AC363" s="138" t="str">
        <f>PROPER(LEFT(TRIM(F363), 3)) &amp; RIGHT(TRIM(B363), 3) &amp; PROPER(LEFT(TRIM(I363), 2))</f>
        <v>Moh009De</v>
      </c>
      <c r="AD363" s="154">
        <f t="shared" ca="1" si="16"/>
        <v>50</v>
      </c>
      <c r="AE363" s="154">
        <f>IFERROR(IF(OR(E363="", D363="", LOWER(TRIM(E363))="pending", LOWER(TRIM(D363))="pending"), "Pending", E363 - D363), "Pending")</f>
        <v>6</v>
      </c>
      <c r="AF363" s="138" t="str">
        <f>IFERROR(IF(OR(E363="", D363="","Pending","Pending"), "Pending", IF((E363 - D363) &lt;= 5, "On Time", "Delayed")), "Pending")</f>
        <v>Delayed</v>
      </c>
      <c r="AG363" s="24" t="str">
        <f t="shared" si="17"/>
        <v>Completed</v>
      </c>
    </row>
    <row r="364" spans="1:33">
      <c r="A364" s="24" t="s">
        <v>1608</v>
      </c>
      <c r="B364" s="24" t="s">
        <v>71</v>
      </c>
      <c r="C364" s="24" t="s">
        <v>72</v>
      </c>
      <c r="D364" s="30">
        <v>46045</v>
      </c>
      <c r="E364" s="30" t="s">
        <v>588</v>
      </c>
      <c r="F364" s="24" t="str">
        <f>VLOOKUP(B364,Custumer_Master!A:D,2,FALSE)</f>
        <v>Mohit Verma</v>
      </c>
      <c r="G364" s="24" t="str">
        <f>VLOOKUP($B364,Custumer_Master!$A:$J,6,FALSE)</f>
        <v>Male</v>
      </c>
      <c r="H364" s="30" t="str">
        <f>VLOOKUP($B364,Custumer_Master!$A:$J,7,FALSE)</f>
        <v>13/04/1976</v>
      </c>
      <c r="I364" s="24" t="str">
        <f>VLOOKUP($B364,Custumer_Master!$A:$J,9,FALSE)</f>
        <v>Delhi</v>
      </c>
      <c r="J364" s="24" t="str">
        <f>VLOOKUP($B364,Custumer_Master!$A:$J,10,FALSE)</f>
        <v>North</v>
      </c>
      <c r="K364" s="24" t="str">
        <f>VLOOKUP(B364,Custumer_Master!A:D,4,FALSE)</f>
        <v>KA</v>
      </c>
      <c r="L364" s="24" t="str">
        <f>PROPER(TRIM(VLOOKUP('Final Data'!C364,Product_Master!A:F,3,FALSE)))</f>
        <v>Electronics</v>
      </c>
      <c r="M364" s="24" t="s">
        <v>78</v>
      </c>
      <c r="N364" s="34">
        <v>7</v>
      </c>
      <c r="O364" s="192">
        <f>VLOOKUP(C364,Product_Master!A:F,5,FALSE)</f>
        <v>900</v>
      </c>
      <c r="P364" s="33">
        <v>0.2</v>
      </c>
      <c r="Q364" s="34">
        <f t="shared" si="15"/>
        <v>5040</v>
      </c>
      <c r="R364" s="34">
        <v>3</v>
      </c>
      <c r="S364" s="24" t="s">
        <v>79</v>
      </c>
      <c r="T364" s="24" t="s">
        <v>115</v>
      </c>
      <c r="U364" s="24" t="s">
        <v>80</v>
      </c>
      <c r="V364" s="34">
        <v>9362319457</v>
      </c>
      <c r="W364" s="24" t="str">
        <f>VLOOKUP(C364,Product_Master!A:F,4,FALSE)</f>
        <v>TechHub</v>
      </c>
      <c r="X364" s="34">
        <f>VLOOKUP(C364,Product_Master!A:F,6,FALSE)</f>
        <v>6</v>
      </c>
      <c r="Y364" s="24" t="str">
        <f>VLOOKUP(B364,Custumer_Master!A:D,3,FALSE)</f>
        <v>Platinum</v>
      </c>
      <c r="Z364" s="30">
        <f>EDATE(E364,X364)</f>
        <v>46230</v>
      </c>
      <c r="AA364" s="29" t="str">
        <f>VLOOKUP(B364,Custumer_Master!A:K,11,)</f>
        <v>April</v>
      </c>
      <c r="AB364" s="24" t="s">
        <v>2108</v>
      </c>
      <c r="AC364" s="138" t="str">
        <f>PROPER(LEFT(TRIM(F364), 3)) &amp; RIGHT(TRIM(B364), 3) &amp; PROPER(LEFT(TRIM(I364), 2))</f>
        <v>Moh009De</v>
      </c>
      <c r="AD364" s="154">
        <f t="shared" ca="1" si="16"/>
        <v>50</v>
      </c>
      <c r="AE364" s="154">
        <f>IFERROR(IF(OR(E364="", D364="", LOWER(TRIM(E364))="pending", LOWER(TRIM(D364))="pending"), "Pending", E364 - D364), "Pending")</f>
        <v>4</v>
      </c>
      <c r="AF364" s="138" t="str">
        <f>IFERROR(IF(OR(E364="", D364="","Pending","Pending"), "Pending", IF((E364 - D364) &lt;= 5, "On Time", "Delayed")), "Pending")</f>
        <v>On Time</v>
      </c>
      <c r="AG364" s="24" t="str">
        <f t="shared" si="17"/>
        <v>Completed</v>
      </c>
    </row>
    <row r="365" spans="1:33">
      <c r="A365" s="24" t="s">
        <v>1612</v>
      </c>
      <c r="B365" s="24" t="s">
        <v>53</v>
      </c>
      <c r="C365" s="24" t="s">
        <v>222</v>
      </c>
      <c r="D365" s="30">
        <v>46097</v>
      </c>
      <c r="E365" s="30" t="s">
        <v>65</v>
      </c>
      <c r="F365" s="24" t="str">
        <f>VLOOKUP(B365,Custumer_Master!A:D,2,FALSE)</f>
        <v>Pooja Shah</v>
      </c>
      <c r="G365" s="24" t="str">
        <f>VLOOKUP($B365,Custumer_Master!$A:$J,6,FALSE)</f>
        <v>Female</v>
      </c>
      <c r="H365" s="30" t="str">
        <f>VLOOKUP($B365,Custumer_Master!$A:$J,7,FALSE)</f>
        <v>16/09/1994</v>
      </c>
      <c r="I365" s="24" t="str">
        <f>VLOOKUP($B365,Custumer_Master!$A:$J,9,FALSE)</f>
        <v>Bengaluru</v>
      </c>
      <c r="J365" s="24" t="str">
        <f>VLOOKUP($B365,Custumer_Master!$A:$J,10,FALSE)</f>
        <v>South</v>
      </c>
      <c r="K365" s="24" t="str">
        <f>VLOOKUP(B365,Custumer_Master!A:D,4,FALSE)</f>
        <v>WB</v>
      </c>
      <c r="L365" s="24" t="str">
        <f>PROPER(TRIM(VLOOKUP('Final Data'!C365,Product_Master!A:F,3,FALSE)))</f>
        <v>Stationery</v>
      </c>
      <c r="M365" s="24" t="s">
        <v>227</v>
      </c>
      <c r="N365" s="34">
        <v>20</v>
      </c>
      <c r="O365" s="192">
        <f>VLOOKUP(C365,Product_Master!A:F,5,FALSE)</f>
        <v>15</v>
      </c>
      <c r="P365" s="33">
        <v>0.2</v>
      </c>
      <c r="Q365" s="34">
        <f t="shared" si="15"/>
        <v>240</v>
      </c>
      <c r="R365" s="34">
        <v>5</v>
      </c>
      <c r="S365" s="24" t="s">
        <v>79</v>
      </c>
      <c r="T365" s="24" t="s">
        <v>115</v>
      </c>
      <c r="U365" s="24" t="s">
        <v>62</v>
      </c>
      <c r="V365" s="34">
        <v>9223945130</v>
      </c>
      <c r="W365" s="24" t="str">
        <f>VLOOKUP(C365,Product_Master!A:F,4,FALSE)</f>
        <v>Prime Supplies</v>
      </c>
      <c r="X365" s="34">
        <f>VLOOKUP(C365,Product_Master!A:F,6,FALSE)</f>
        <v>12</v>
      </c>
      <c r="Y365" s="24" t="str">
        <f>VLOOKUP(B365,Custumer_Master!A:D,3,FALSE)</f>
        <v>Silver</v>
      </c>
      <c r="Z365" s="30">
        <f>EDATE(E365,X365)</f>
        <v>46467</v>
      </c>
      <c r="AA365" s="29" t="str">
        <f>VLOOKUP(B365,Custumer_Master!A:K,11,)</f>
        <v>September</v>
      </c>
      <c r="AB365" s="24" t="s">
        <v>2108</v>
      </c>
      <c r="AC365" s="138" t="str">
        <f>PROPER(LEFT(TRIM(F365), 3)) &amp; RIGHT(TRIM(B365), 3) &amp; PROPER(LEFT(TRIM(I365), 2))</f>
        <v>Poo010Be</v>
      </c>
      <c r="AD365" s="154">
        <f t="shared" ca="1" si="16"/>
        <v>31</v>
      </c>
      <c r="AE365" s="154">
        <f>IFERROR(IF(OR(E365="", D365="", LOWER(TRIM(E365))="pending", LOWER(TRIM(D365))="pending"), "Pending", E365 - D365), "Pending")</f>
        <v>5</v>
      </c>
      <c r="AF365" s="138" t="str">
        <f>IFERROR(IF(OR(E365="", D365="","Pending","Pending"), "Pending", IF((E365 - D365) &lt;= 5, "On Time", "Delayed")), "Pending")</f>
        <v>On Time</v>
      </c>
      <c r="AG365" s="24" t="str">
        <f t="shared" si="17"/>
        <v>Completed</v>
      </c>
    </row>
    <row r="366" spans="1:33">
      <c r="A366" s="24" t="s">
        <v>1615</v>
      </c>
      <c r="B366" s="24" t="s">
        <v>100</v>
      </c>
      <c r="C366" s="24" t="s">
        <v>72</v>
      </c>
      <c r="D366" s="30">
        <v>45777</v>
      </c>
      <c r="E366" s="30" t="s">
        <v>1616</v>
      </c>
      <c r="F366" s="24" t="str">
        <f>VLOOKUP(B366,Custumer_Master!A:D,2,FALSE)</f>
        <v>Priya Patel</v>
      </c>
      <c r="G366" s="24" t="str">
        <f>VLOOKUP($B366,Custumer_Master!$A:$J,6,FALSE)</f>
        <v>Female</v>
      </c>
      <c r="H366" s="30" t="str">
        <f>VLOOKUP($B366,Custumer_Master!$A:$J,7,FALSE)</f>
        <v>07/03/1995</v>
      </c>
      <c r="I366" s="24" t="str">
        <f>VLOOKUP($B366,Custumer_Master!$A:$J,9,FALSE)</f>
        <v>Mumbai</v>
      </c>
      <c r="J366" s="24" t="str">
        <f>VLOOKUP($B366,Custumer_Master!$A:$J,10,FALSE)</f>
        <v>West</v>
      </c>
      <c r="K366" s="24" t="str">
        <f>VLOOKUP(B366,Custumer_Master!A:D,4,FALSE)</f>
        <v>WB</v>
      </c>
      <c r="L366" s="24" t="str">
        <f>PROPER(TRIM(VLOOKUP('Final Data'!C366,Product_Master!A:F,3,FALSE)))</f>
        <v>Electronics</v>
      </c>
      <c r="M366" s="24" t="s">
        <v>78</v>
      </c>
      <c r="N366" s="34">
        <v>19</v>
      </c>
      <c r="O366" s="192">
        <f>VLOOKUP(C366,Product_Master!A:F,5,FALSE)</f>
        <v>900</v>
      </c>
      <c r="P366" s="33">
        <v>0.05</v>
      </c>
      <c r="Q366" s="34">
        <f t="shared" si="15"/>
        <v>16245</v>
      </c>
      <c r="R366" s="34">
        <v>3</v>
      </c>
      <c r="S366" s="24" t="s">
        <v>79</v>
      </c>
      <c r="T366" s="24" t="s">
        <v>35</v>
      </c>
      <c r="U366" s="24" t="s">
        <v>144</v>
      </c>
      <c r="V366" s="34">
        <v>9910804926</v>
      </c>
      <c r="W366" s="24" t="str">
        <f>VLOOKUP(C366,Product_Master!A:F,4,FALSE)</f>
        <v>TechHub</v>
      </c>
      <c r="X366" s="34">
        <f>VLOOKUP(C366,Product_Master!A:F,6,FALSE)</f>
        <v>6</v>
      </c>
      <c r="Y366" s="24" t="str">
        <f>VLOOKUP(B366,Custumer_Master!A:D,3,FALSE)</f>
        <v>Platinum</v>
      </c>
      <c r="Z366" s="30">
        <f>EDATE(E366,X366)</f>
        <v>45968</v>
      </c>
      <c r="AA366" s="29" t="str">
        <f>VLOOKUP(B366,Custumer_Master!A:K,11,)</f>
        <v>March</v>
      </c>
      <c r="AB366" s="24" t="s">
        <v>2108</v>
      </c>
      <c r="AC366" s="138" t="str">
        <f>PROPER(LEFT(TRIM(F366), 3)) &amp; RIGHT(TRIM(B366), 3) &amp; PROPER(LEFT(TRIM(I366), 2))</f>
        <v>Pri002Mu</v>
      </c>
      <c r="AD366" s="154">
        <f t="shared" ca="1" si="16"/>
        <v>31</v>
      </c>
      <c r="AE366" s="154">
        <f>IFERROR(IF(OR(E366="", D366="", LOWER(TRIM(E366))="pending", LOWER(TRIM(D366))="pending"), "Pending", E366 - D366), "Pending")</f>
        <v>7</v>
      </c>
      <c r="AF366" s="138" t="str">
        <f>IFERROR(IF(OR(E366="", D366="","Pending","Pending"), "Pending", IF((E366 - D366) &lt;= 5, "On Time", "Delayed")), "Pending")</f>
        <v>Delayed</v>
      </c>
      <c r="AG366" s="24" t="str">
        <f t="shared" si="17"/>
        <v>Completed</v>
      </c>
    </row>
    <row r="367" spans="1:33">
      <c r="A367" s="24" t="s">
        <v>1619</v>
      </c>
      <c r="B367" s="24" t="s">
        <v>53</v>
      </c>
      <c r="C367" s="24" t="s">
        <v>222</v>
      </c>
      <c r="D367" s="30">
        <v>45691</v>
      </c>
      <c r="E367" s="30" t="s">
        <v>302</v>
      </c>
      <c r="F367" s="24" t="str">
        <f>VLOOKUP(B367,Custumer_Master!A:D,2,FALSE)</f>
        <v>Pooja Shah</v>
      </c>
      <c r="G367" s="24" t="str">
        <f>VLOOKUP($B367,Custumer_Master!$A:$J,6,FALSE)</f>
        <v>Female</v>
      </c>
      <c r="H367" s="30" t="str">
        <f>VLOOKUP($B367,Custumer_Master!$A:$J,7,FALSE)</f>
        <v>16/09/1994</v>
      </c>
      <c r="I367" s="24" t="str">
        <f>VLOOKUP($B367,Custumer_Master!$A:$J,9,FALSE)</f>
        <v>Bengaluru</v>
      </c>
      <c r="J367" s="24" t="str">
        <f>VLOOKUP($B367,Custumer_Master!$A:$J,10,FALSE)</f>
        <v>South</v>
      </c>
      <c r="K367" s="24" t="str">
        <f>VLOOKUP(B367,Custumer_Master!A:D,4,FALSE)</f>
        <v>WB</v>
      </c>
      <c r="L367" s="24" t="str">
        <f>PROPER(TRIM(VLOOKUP('Final Data'!C367,Product_Master!A:F,3,FALSE)))</f>
        <v>Stationery</v>
      </c>
      <c r="M367" s="24" t="s">
        <v>227</v>
      </c>
      <c r="N367" s="34">
        <v>5</v>
      </c>
      <c r="O367" s="192">
        <f>VLOOKUP(C367,Product_Master!A:F,5,FALSE)</f>
        <v>15</v>
      </c>
      <c r="P367" s="33">
        <v>0</v>
      </c>
      <c r="Q367" s="34">
        <f t="shared" si="15"/>
        <v>75</v>
      </c>
      <c r="R367" s="34">
        <v>2</v>
      </c>
      <c r="S367" s="24" t="s">
        <v>2149</v>
      </c>
      <c r="T367" s="24" t="s">
        <v>49</v>
      </c>
      <c r="U367" s="24" t="s">
        <v>62</v>
      </c>
      <c r="V367" s="34">
        <v>9274269744</v>
      </c>
      <c r="W367" s="24" t="str">
        <f>VLOOKUP(C367,Product_Master!A:F,4,FALSE)</f>
        <v>Prime Supplies</v>
      </c>
      <c r="X367" s="34">
        <f>VLOOKUP(C367,Product_Master!A:F,6,FALSE)</f>
        <v>12</v>
      </c>
      <c r="Y367" s="24" t="str">
        <f>VLOOKUP(B367,Custumer_Master!A:D,3,FALSE)</f>
        <v>Silver</v>
      </c>
      <c r="Z367" s="30">
        <f>EDATE(E367,X367)</f>
        <v>46066</v>
      </c>
      <c r="AA367" s="29" t="str">
        <f>VLOOKUP(B367,Custumer_Master!A:K,11,)</f>
        <v>September</v>
      </c>
      <c r="AB367" s="24" t="s">
        <v>2160</v>
      </c>
      <c r="AC367" s="138" t="str">
        <f>PROPER(LEFT(TRIM(F367), 3)) &amp; RIGHT(TRIM(B367), 3) &amp; PROPER(LEFT(TRIM(I367), 2))</f>
        <v>Poo010Be</v>
      </c>
      <c r="AD367" s="154">
        <f t="shared" ca="1" si="16"/>
        <v>31</v>
      </c>
      <c r="AE367" s="154">
        <f>IFERROR(IF(OR(E367="", D367="", LOWER(TRIM(E367))="pending", LOWER(TRIM(D367))="pending"), "Pending", E367 - D367), "Pending")</f>
        <v>10</v>
      </c>
      <c r="AF367" s="138" t="str">
        <f>IFERROR(IF(OR(E367="", D367="","Pending","Pending"), "Pending", IF((E367 - D367) &lt;= 5, "On Time", "Delayed")), "Pending")</f>
        <v>Delayed</v>
      </c>
      <c r="AG367" s="24" t="str">
        <f t="shared" si="17"/>
        <v>Completed</v>
      </c>
    </row>
    <row r="368" spans="1:33">
      <c r="A368" s="24" t="s">
        <v>1623</v>
      </c>
      <c r="B368" s="24" t="s">
        <v>100</v>
      </c>
      <c r="C368" s="24" t="s">
        <v>259</v>
      </c>
      <c r="D368" s="30">
        <v>46088</v>
      </c>
      <c r="E368" s="30" t="s">
        <v>543</v>
      </c>
      <c r="F368" s="24" t="str">
        <f>VLOOKUP(B368,Custumer_Master!A:D,2,FALSE)</f>
        <v>Priya Patel</v>
      </c>
      <c r="G368" s="24" t="str">
        <f>VLOOKUP($B368,Custumer_Master!$A:$J,6,FALSE)</f>
        <v>Female</v>
      </c>
      <c r="H368" s="30" t="str">
        <f>VLOOKUP($B368,Custumer_Master!$A:$J,7,FALSE)</f>
        <v>07/03/1995</v>
      </c>
      <c r="I368" s="24" t="str">
        <f>VLOOKUP($B368,Custumer_Master!$A:$J,9,FALSE)</f>
        <v>Mumbai</v>
      </c>
      <c r="J368" s="24" t="str">
        <f>VLOOKUP($B368,Custumer_Master!$A:$J,10,FALSE)</f>
        <v>West</v>
      </c>
      <c r="K368" s="24" t="str">
        <f>VLOOKUP(B368,Custumer_Master!A:D,4,FALSE)</f>
        <v>WB</v>
      </c>
      <c r="L368" s="24" t="str">
        <f>PROPER(TRIM(VLOOKUP('Final Data'!C368,Product_Master!A:F,3,FALSE)))</f>
        <v>Stationery</v>
      </c>
      <c r="M368" s="24" t="s">
        <v>263</v>
      </c>
      <c r="N368" s="34">
        <v>16</v>
      </c>
      <c r="O368" s="192">
        <f>VLOOKUP(C368,Product_Master!A:F,5,FALSE)</f>
        <v>33.75</v>
      </c>
      <c r="P368" s="33">
        <v>0.15</v>
      </c>
      <c r="Q368" s="34">
        <f t="shared" si="15"/>
        <v>459</v>
      </c>
      <c r="R368" s="34">
        <v>5</v>
      </c>
      <c r="S368" s="24" t="s">
        <v>34</v>
      </c>
      <c r="T368" s="24" t="s">
        <v>61</v>
      </c>
      <c r="U368" s="24" t="s">
        <v>144</v>
      </c>
      <c r="V368" s="34">
        <v>9223196101</v>
      </c>
      <c r="W368" s="24" t="str">
        <f>VLOOKUP(C368,Product_Master!A:F,4,FALSE)</f>
        <v>TechHub</v>
      </c>
      <c r="X368" s="34">
        <f>VLOOKUP(C368,Product_Master!A:F,6,FALSE)</f>
        <v>12</v>
      </c>
      <c r="Y368" s="24" t="str">
        <f>VLOOKUP(B368,Custumer_Master!A:D,3,FALSE)</f>
        <v>Platinum</v>
      </c>
      <c r="Z368" s="30">
        <f>EDATE(E368,X368)</f>
        <v>46462</v>
      </c>
      <c r="AA368" s="29" t="str">
        <f>VLOOKUP(B368,Custumer_Master!A:K,11,)</f>
        <v>March</v>
      </c>
      <c r="AB368" s="24" t="s">
        <v>2108</v>
      </c>
      <c r="AC368" s="138" t="str">
        <f>PROPER(LEFT(TRIM(F368), 3)) &amp; RIGHT(TRIM(B368), 3) &amp; PROPER(LEFT(TRIM(I368), 2))</f>
        <v>Pri002Mu</v>
      </c>
      <c r="AD368" s="154">
        <f t="shared" ca="1" si="16"/>
        <v>31</v>
      </c>
      <c r="AE368" s="154">
        <f>IFERROR(IF(OR(E368="", D368="", LOWER(TRIM(E368))="pending", LOWER(TRIM(D368))="pending"), "Pending", E368 - D368), "Pending")</f>
        <v>9</v>
      </c>
      <c r="AF368" s="138" t="str">
        <f>IFERROR(IF(OR(E368="", D368="","Pending","Pending"), "Pending", IF((E368 - D368) &lt;= 5, "On Time", "Delayed")), "Pending")</f>
        <v>Delayed</v>
      </c>
      <c r="AG368" s="24" t="str">
        <f t="shared" si="17"/>
        <v>Completed</v>
      </c>
    </row>
    <row r="369" spans="1:33">
      <c r="A369" s="24" t="s">
        <v>1626</v>
      </c>
      <c r="B369" s="24" t="s">
        <v>23</v>
      </c>
      <c r="C369" s="24" t="s">
        <v>24</v>
      </c>
      <c r="D369" s="30">
        <v>45780</v>
      </c>
      <c r="E369" s="30" t="s">
        <v>944</v>
      </c>
      <c r="F369" s="24" t="str">
        <f>VLOOKUP(B369,Custumer_Master!A:D,2,FALSE)</f>
        <v>Kavya Nair</v>
      </c>
      <c r="G369" s="24" t="str">
        <f>VLOOKUP($B369,Custumer_Master!$A:$J,6,FALSE)</f>
        <v>Female</v>
      </c>
      <c r="H369" s="30" t="str">
        <f>VLOOKUP($B369,Custumer_Master!$A:$J,7,FALSE)</f>
        <v>01/08/1976</v>
      </c>
      <c r="I369" s="24" t="str">
        <f>VLOOKUP($B369,Custumer_Master!$A:$J,9,FALSE)</f>
        <v>Hyderabad</v>
      </c>
      <c r="J369" s="24" t="str">
        <f>VLOOKUP($B369,Custumer_Master!$A:$J,10,FALSE)</f>
        <v>South</v>
      </c>
      <c r="K369" s="24" t="str">
        <f>VLOOKUP(B369,Custumer_Master!A:D,4,FALSE)</f>
        <v>WB</v>
      </c>
      <c r="L369" s="24" t="str">
        <f>PROPER(TRIM(VLOOKUP('Final Data'!C369,Product_Master!A:F,3,FALSE)))</f>
        <v>Home Appliances</v>
      </c>
      <c r="M369" s="24" t="s">
        <v>33</v>
      </c>
      <c r="N369" s="34">
        <v>1</v>
      </c>
      <c r="O369" s="192">
        <f>VLOOKUP(C369,Product_Master!A:F,5,FALSE)</f>
        <v>1650</v>
      </c>
      <c r="P369" s="33">
        <v>0.1</v>
      </c>
      <c r="Q369" s="34">
        <f t="shared" si="15"/>
        <v>1485</v>
      </c>
      <c r="R369" s="34">
        <v>5</v>
      </c>
      <c r="S369" s="24" t="s">
        <v>79</v>
      </c>
      <c r="T369" s="24" t="s">
        <v>49</v>
      </c>
      <c r="U369" s="24" t="s">
        <v>50</v>
      </c>
      <c r="V369" s="34">
        <v>9888477457</v>
      </c>
      <c r="W369" s="24" t="str">
        <f>VLOOKUP(C369,Product_Master!A:F,4,FALSE)</f>
        <v>Global Trade</v>
      </c>
      <c r="X369" s="34">
        <f>VLOOKUP(C369,Product_Master!A:F,6,FALSE)</f>
        <v>24</v>
      </c>
      <c r="Y369" s="24" t="str">
        <f>VLOOKUP(B369,Custumer_Master!A:D,3,FALSE)</f>
        <v>Silver</v>
      </c>
      <c r="Z369" s="30">
        <f>EDATE(E369,X369)</f>
        <v>46522</v>
      </c>
      <c r="AA369" s="29" t="str">
        <f>VLOOKUP(B369,Custumer_Master!A:K,11,)</f>
        <v>August</v>
      </c>
      <c r="AB369" s="24" t="s">
        <v>2108</v>
      </c>
      <c r="AC369" s="138" t="str">
        <f>PROPER(LEFT(TRIM(F369), 3)) &amp; RIGHT(TRIM(B369), 3) &amp; PROPER(LEFT(TRIM(I369), 2))</f>
        <v>Kav008Hy</v>
      </c>
      <c r="AD369" s="154">
        <f t="shared" ca="1" si="16"/>
        <v>49</v>
      </c>
      <c r="AE369" s="154">
        <f>IFERROR(IF(OR(E369="", D369="", LOWER(TRIM(E369))="pending", LOWER(TRIM(D369))="pending"), "Pending", E369 - D369), "Pending")</f>
        <v>12</v>
      </c>
      <c r="AF369" s="138" t="str">
        <f>IFERROR(IF(OR(E369="", D369="","Pending","Pending"), "Pending", IF((E369 - D369) &lt;= 5, "On Time", "Delayed")), "Pending")</f>
        <v>Delayed</v>
      </c>
      <c r="AG369" s="24" t="str">
        <f t="shared" si="17"/>
        <v>Completed</v>
      </c>
    </row>
    <row r="370" spans="1:33">
      <c r="A370" s="24" t="s">
        <v>1629</v>
      </c>
      <c r="B370" s="24" t="s">
        <v>53</v>
      </c>
      <c r="C370" s="24" t="s">
        <v>118</v>
      </c>
      <c r="D370" s="30">
        <v>46113</v>
      </c>
      <c r="E370" s="30" t="s">
        <v>1630</v>
      </c>
      <c r="F370" s="24" t="str">
        <f>VLOOKUP(B370,Custumer_Master!A:D,2,FALSE)</f>
        <v>Pooja Shah</v>
      </c>
      <c r="G370" s="24" t="str">
        <f>VLOOKUP($B370,Custumer_Master!$A:$J,6,FALSE)</f>
        <v>Female</v>
      </c>
      <c r="H370" s="30" t="str">
        <f>VLOOKUP($B370,Custumer_Master!$A:$J,7,FALSE)</f>
        <v>16/09/1994</v>
      </c>
      <c r="I370" s="24" t="str">
        <f>VLOOKUP($B370,Custumer_Master!$A:$J,9,FALSE)</f>
        <v>Bengaluru</v>
      </c>
      <c r="J370" s="24" t="str">
        <f>VLOOKUP($B370,Custumer_Master!$A:$J,10,FALSE)</f>
        <v>South</v>
      </c>
      <c r="K370" s="24" t="str">
        <f>VLOOKUP(B370,Custumer_Master!A:D,4,FALSE)</f>
        <v>WB</v>
      </c>
      <c r="L370" s="24" t="str">
        <f>PROPER(TRIM(VLOOKUP('Final Data'!C370,Product_Master!A:F,3,FALSE)))</f>
        <v>Stationery</v>
      </c>
      <c r="M370" s="24" t="s">
        <v>123</v>
      </c>
      <c r="N370" s="34">
        <v>19</v>
      </c>
      <c r="O370" s="192">
        <f>VLOOKUP(C370,Product_Master!A:F,5,FALSE)</f>
        <v>45</v>
      </c>
      <c r="P370" s="33">
        <v>0.15</v>
      </c>
      <c r="Q370" s="34">
        <f t="shared" si="15"/>
        <v>726.75</v>
      </c>
      <c r="R370" s="34">
        <v>4</v>
      </c>
      <c r="S370" s="24" t="s">
        <v>2148</v>
      </c>
      <c r="T370" s="24" t="s">
        <v>115</v>
      </c>
      <c r="U370" s="24" t="s">
        <v>62</v>
      </c>
      <c r="V370" s="34">
        <v>9435947486</v>
      </c>
      <c r="W370" s="24" t="str">
        <f>VLOOKUP(C370,Product_Master!A:F,4,FALSE)</f>
        <v>ABC Corp</v>
      </c>
      <c r="X370" s="34">
        <f>VLOOKUP(C370,Product_Master!A:F,6,FALSE)</f>
        <v>12</v>
      </c>
      <c r="Y370" s="24" t="str">
        <f>VLOOKUP(B370,Custumer_Master!A:D,3,FALSE)</f>
        <v>Silver</v>
      </c>
      <c r="Z370" s="30">
        <f>EDATE(E370,X370)</f>
        <v>46482</v>
      </c>
      <c r="AA370" s="29" t="str">
        <f>VLOOKUP(B370,Custumer_Master!A:K,11,)</f>
        <v>September</v>
      </c>
      <c r="AB370" s="24" t="s">
        <v>2108</v>
      </c>
      <c r="AC370" s="138" t="str">
        <f>PROPER(LEFT(TRIM(F370), 3)) &amp; RIGHT(TRIM(B370), 3) &amp; PROPER(LEFT(TRIM(I370), 2))</f>
        <v>Poo010Be</v>
      </c>
      <c r="AD370" s="154">
        <f t="shared" ca="1" si="16"/>
        <v>31</v>
      </c>
      <c r="AE370" s="154">
        <f>IFERROR(IF(OR(E370="", D370="", LOWER(TRIM(E370))="pending", LOWER(TRIM(D370))="pending"), "Pending", E370 - D370), "Pending")</f>
        <v>4</v>
      </c>
      <c r="AF370" s="138" t="str">
        <f>IFERROR(IF(OR(E370="", D370="","Pending","Pending"), "Pending", IF((E370 - D370) &lt;= 5, "On Time", "Delayed")), "Pending")</f>
        <v>On Time</v>
      </c>
      <c r="AG370" s="24" t="str">
        <f t="shared" si="17"/>
        <v>Completed</v>
      </c>
    </row>
    <row r="371" spans="1:33">
      <c r="A371" s="24" t="s">
        <v>1633</v>
      </c>
      <c r="B371" s="24" t="s">
        <v>327</v>
      </c>
      <c r="C371" s="24" t="s">
        <v>54</v>
      </c>
      <c r="D371" s="30"/>
      <c r="E371" s="30" t="s">
        <v>1634</v>
      </c>
      <c r="F371" s="24" t="str">
        <f>VLOOKUP(B371,Custumer_Master!A:D,2,FALSE)</f>
        <v>Amit Sharma</v>
      </c>
      <c r="G371" s="24" t="str">
        <f>VLOOKUP($B371,Custumer_Master!$A:$J,6,FALSE)</f>
        <v>Male</v>
      </c>
      <c r="H371" s="30" t="str">
        <f>VLOOKUP($B371,Custumer_Master!$A:$J,7,FALSE)</f>
        <v>09/08/1991</v>
      </c>
      <c r="I371" s="24" t="str">
        <f>VLOOKUP($B371,Custumer_Master!$A:$J,9,FALSE)</f>
        <v>Pune</v>
      </c>
      <c r="J371" s="24" t="str">
        <f>VLOOKUP($B371,Custumer_Master!$A:$J,10,FALSE)</f>
        <v>West</v>
      </c>
      <c r="K371" s="24" t="str">
        <f>VLOOKUP(B371,Custumer_Master!A:D,4,FALSE)</f>
        <v>RJ</v>
      </c>
      <c r="L371" s="24" t="str">
        <f>PROPER(TRIM(VLOOKUP('Final Data'!C371,Product_Master!A:F,3,FALSE)))</f>
        <v>Electronics</v>
      </c>
      <c r="M371" s="24" t="s">
        <v>60</v>
      </c>
      <c r="N371" s="34">
        <v>15</v>
      </c>
      <c r="O371" s="192">
        <f>VLOOKUP(C371,Product_Master!A:F,5,FALSE)</f>
        <v>41250</v>
      </c>
      <c r="P371" s="33">
        <v>0</v>
      </c>
      <c r="Q371" s="34">
        <f t="shared" si="15"/>
        <v>618750</v>
      </c>
      <c r="R371" s="34">
        <v>5</v>
      </c>
      <c r="S371" s="24" t="s">
        <v>79</v>
      </c>
      <c r="T371" s="24" t="s">
        <v>115</v>
      </c>
      <c r="U371" s="24" t="s">
        <v>332</v>
      </c>
      <c r="V371" s="34">
        <v>9411668831</v>
      </c>
      <c r="W371" s="24" t="str">
        <f>VLOOKUP(C371,Product_Master!A:F,4,FALSE)</f>
        <v>TechHub</v>
      </c>
      <c r="X371" s="34">
        <f>VLOOKUP(C371,Product_Master!A:F,6,FALSE)</f>
        <v>12</v>
      </c>
      <c r="Y371" s="24" t="str">
        <f>VLOOKUP(B371,Custumer_Master!A:D,3,FALSE)</f>
        <v>Silver</v>
      </c>
      <c r="Z371" s="30">
        <f>EDATE(E371,X371)</f>
        <v>46055</v>
      </c>
      <c r="AA371" s="29" t="str">
        <f>VLOOKUP(B371,Custumer_Master!A:K,11,)</f>
        <v>August</v>
      </c>
      <c r="AB371" s="24" t="s">
        <v>2110</v>
      </c>
      <c r="AC371" s="138" t="str">
        <f>PROPER(LEFT(TRIM(F371), 3)) &amp; RIGHT(TRIM(B371), 3) &amp; PROPER(LEFT(TRIM(I371), 2))</f>
        <v>Ami001Pu</v>
      </c>
      <c r="AD371" s="154">
        <f t="shared" ca="1" si="16"/>
        <v>34</v>
      </c>
      <c r="AE371" s="154" t="str">
        <f>IFERROR(IF(OR(E371="", D371="", LOWER(TRIM(E371))="pending", LOWER(TRIM(D371))="pending"), "Pending", E371 - D371), "Pending")</f>
        <v>Pending</v>
      </c>
      <c r="AF371" s="138" t="str">
        <f>IFERROR(IF(OR(E371="", D371="","Pending","Pending"), "Pending", IF((E371 - D371) &lt;= 5, "On Time", "Delayed")), "Pending")</f>
        <v>Pending</v>
      </c>
      <c r="AG371" s="24" t="str">
        <f t="shared" si="17"/>
        <v>Pending</v>
      </c>
    </row>
    <row r="372" spans="1:33">
      <c r="A372" s="24" t="s">
        <v>1637</v>
      </c>
      <c r="B372" s="24" t="s">
        <v>71</v>
      </c>
      <c r="C372" s="24" t="s">
        <v>259</v>
      </c>
      <c r="D372" s="30">
        <v>45936</v>
      </c>
      <c r="E372" s="30" t="s">
        <v>1638</v>
      </c>
      <c r="F372" s="24" t="str">
        <f>VLOOKUP(B372,Custumer_Master!A:D,2,FALSE)</f>
        <v>Mohit Verma</v>
      </c>
      <c r="G372" s="24" t="str">
        <f>VLOOKUP($B372,Custumer_Master!$A:$J,6,FALSE)</f>
        <v>Male</v>
      </c>
      <c r="H372" s="30" t="str">
        <f>VLOOKUP($B372,Custumer_Master!$A:$J,7,FALSE)</f>
        <v>13/04/1976</v>
      </c>
      <c r="I372" s="24" t="str">
        <f>VLOOKUP($B372,Custumer_Master!$A:$J,9,FALSE)</f>
        <v>Delhi</v>
      </c>
      <c r="J372" s="24" t="str">
        <f>VLOOKUP($B372,Custumer_Master!$A:$J,10,FALSE)</f>
        <v>North</v>
      </c>
      <c r="K372" s="24" t="str">
        <f>VLOOKUP(B372,Custumer_Master!A:D,4,FALSE)</f>
        <v>KA</v>
      </c>
      <c r="L372" s="24" t="str">
        <f>PROPER(TRIM(VLOOKUP('Final Data'!C372,Product_Master!A:F,3,FALSE)))</f>
        <v>Stationery</v>
      </c>
      <c r="M372" s="24" t="s">
        <v>263</v>
      </c>
      <c r="N372" s="34">
        <v>11</v>
      </c>
      <c r="O372" s="192">
        <f>VLOOKUP(C372,Product_Master!A:F,5,FALSE)</f>
        <v>33.75</v>
      </c>
      <c r="P372" s="33">
        <v>0.05</v>
      </c>
      <c r="Q372" s="34">
        <f t="shared" si="15"/>
        <v>352.6875</v>
      </c>
      <c r="R372" s="34">
        <v>5</v>
      </c>
      <c r="S372" s="24" t="s">
        <v>2148</v>
      </c>
      <c r="T372" s="24" t="s">
        <v>151</v>
      </c>
      <c r="U372" s="24" t="s">
        <v>80</v>
      </c>
      <c r="V372" s="34">
        <v>9523682403</v>
      </c>
      <c r="W372" s="24" t="str">
        <f>VLOOKUP(C372,Product_Master!A:F,4,FALSE)</f>
        <v>TechHub</v>
      </c>
      <c r="X372" s="34">
        <f>VLOOKUP(C372,Product_Master!A:F,6,FALSE)</f>
        <v>12</v>
      </c>
      <c r="Y372" s="24" t="str">
        <f>VLOOKUP(B372,Custumer_Master!A:D,3,FALSE)</f>
        <v>Platinum</v>
      </c>
      <c r="Z372" s="30">
        <f>EDATE(E372,X372)</f>
        <v>46303</v>
      </c>
      <c r="AA372" s="29" t="str">
        <f>VLOOKUP(B372,Custumer_Master!A:K,11,)</f>
        <v>April</v>
      </c>
      <c r="AB372" s="24" t="s">
        <v>2108</v>
      </c>
      <c r="AC372" s="138" t="str">
        <f>PROPER(LEFT(TRIM(F372), 3)) &amp; RIGHT(TRIM(B372), 3) &amp; PROPER(LEFT(TRIM(I372), 2))</f>
        <v>Moh009De</v>
      </c>
      <c r="AD372" s="154">
        <f t="shared" ca="1" si="16"/>
        <v>50</v>
      </c>
      <c r="AE372" s="154">
        <f>IFERROR(IF(OR(E372="", D372="", LOWER(TRIM(E372))="pending", LOWER(TRIM(D372))="pending"), "Pending", E372 - D372), "Pending")</f>
        <v>2</v>
      </c>
      <c r="AF372" s="138" t="str">
        <f>IFERROR(IF(OR(E372="", D372="","Pending","Pending"), "Pending", IF((E372 - D372) &lt;= 5, "On Time", "Delayed")), "Pending")</f>
        <v>On Time</v>
      </c>
      <c r="AG372" s="24" t="str">
        <f t="shared" si="17"/>
        <v>Completed</v>
      </c>
    </row>
    <row r="373" spans="1:33">
      <c r="A373" s="24" t="s">
        <v>1641</v>
      </c>
      <c r="B373" s="24" t="s">
        <v>251</v>
      </c>
      <c r="C373" s="24" t="s">
        <v>222</v>
      </c>
      <c r="D373" s="30">
        <v>45820</v>
      </c>
      <c r="E373" s="30" t="s">
        <v>1643</v>
      </c>
      <c r="F373" s="24" t="str">
        <f>VLOOKUP(B373,Custumer_Master!A:D,2,FALSE)</f>
        <v>Sneha Joshi</v>
      </c>
      <c r="G373" s="24" t="str">
        <f>VLOOKUP($B373,Custumer_Master!$A:$J,6,FALSE)</f>
        <v>Female</v>
      </c>
      <c r="H373" s="30" t="str">
        <f>VLOOKUP($B373,Custumer_Master!$A:$J,7,FALSE)</f>
        <v>04/04/1981</v>
      </c>
      <c r="I373" s="24" t="str">
        <f>VLOOKUP($B373,Custumer_Master!$A:$J,9,FALSE)</f>
        <v>Pune</v>
      </c>
      <c r="J373" s="24" t="str">
        <f>VLOOKUP($B373,Custumer_Master!$A:$J,10,FALSE)</f>
        <v>West</v>
      </c>
      <c r="K373" s="24" t="str">
        <f>VLOOKUP(B373,Custumer_Master!A:D,4,FALSE)</f>
        <v>WB</v>
      </c>
      <c r="L373" s="24" t="str">
        <f>PROPER(TRIM(VLOOKUP('Final Data'!C373,Product_Master!A:F,3,FALSE)))</f>
        <v>Stationery</v>
      </c>
      <c r="M373" s="24" t="s">
        <v>227</v>
      </c>
      <c r="N373" s="34">
        <v>9</v>
      </c>
      <c r="O373" s="192">
        <f>VLOOKUP(C373,Product_Master!A:F,5,FALSE)</f>
        <v>15</v>
      </c>
      <c r="P373" s="33">
        <v>0.1</v>
      </c>
      <c r="Q373" s="34">
        <f t="shared" si="15"/>
        <v>121.5</v>
      </c>
      <c r="R373" s="34">
        <v>1</v>
      </c>
      <c r="S373" s="24" t="s">
        <v>79</v>
      </c>
      <c r="T373" s="24" t="s">
        <v>49</v>
      </c>
      <c r="U373" s="24" t="s">
        <v>256</v>
      </c>
      <c r="V373" s="34">
        <v>9652936744</v>
      </c>
      <c r="W373" s="24" t="str">
        <f>VLOOKUP(C373,Product_Master!A:F,4,FALSE)</f>
        <v>Prime Supplies</v>
      </c>
      <c r="X373" s="34">
        <f>VLOOKUP(C373,Product_Master!A:F,6,FALSE)</f>
        <v>12</v>
      </c>
      <c r="Y373" s="24" t="str">
        <f>VLOOKUP(B373,Custumer_Master!A:D,3,FALSE)</f>
        <v>Gold</v>
      </c>
      <c r="Z373" s="30">
        <f>EDATE(E373,X373)</f>
        <v>46190</v>
      </c>
      <c r="AA373" s="29" t="str">
        <f>VLOOKUP(B373,Custumer_Master!A:K,11,)</f>
        <v>April</v>
      </c>
      <c r="AB373" s="24" t="s">
        <v>2160</v>
      </c>
      <c r="AC373" s="138" t="str">
        <f>PROPER(LEFT(TRIM(F373), 3)) &amp; RIGHT(TRIM(B373), 3) &amp; PROPER(LEFT(TRIM(I373), 2))</f>
        <v>Sne006Pu</v>
      </c>
      <c r="AD373" s="154">
        <f t="shared" ca="1" si="16"/>
        <v>45</v>
      </c>
      <c r="AE373" s="154">
        <f>IFERROR(IF(OR(E373="", D373="", LOWER(TRIM(E373))="pending", LOWER(TRIM(D373))="pending"), "Pending", E373 - D373), "Pending")</f>
        <v>5</v>
      </c>
      <c r="AF373" s="138" t="str">
        <f>IFERROR(IF(OR(E373="", D373="","Pending","Pending"), "Pending", IF((E373 - D373) &lt;= 5, "On Time", "Delayed")), "Pending")</f>
        <v>On Time</v>
      </c>
      <c r="AG373" s="24" t="str">
        <f t="shared" si="17"/>
        <v>Completed</v>
      </c>
    </row>
    <row r="374" spans="1:33">
      <c r="A374" s="24" t="s">
        <v>1646</v>
      </c>
      <c r="B374" s="24" t="s">
        <v>168</v>
      </c>
      <c r="C374" s="24" t="s">
        <v>259</v>
      </c>
      <c r="D374" s="30">
        <v>45979</v>
      </c>
      <c r="E374" s="30" t="s">
        <v>980</v>
      </c>
      <c r="F374" s="24" t="str">
        <f>VLOOKUP(B374,Custumer_Master!A:D,2,FALSE)</f>
        <v>Anita Gupta</v>
      </c>
      <c r="G374" s="24" t="str">
        <f>VLOOKUP($B374,Custumer_Master!$A:$J,6,FALSE)</f>
        <v>Female</v>
      </c>
      <c r="H374" s="30" t="str">
        <f>VLOOKUP($B374,Custumer_Master!$A:$J,7,FALSE)</f>
        <v>16/01/2002</v>
      </c>
      <c r="I374" s="24" t="str">
        <f>VLOOKUP($B374,Custumer_Master!$A:$J,9,FALSE)</f>
        <v>Pune</v>
      </c>
      <c r="J374" s="24" t="str">
        <f>VLOOKUP($B374,Custumer_Master!$A:$J,10,FALSE)</f>
        <v>West</v>
      </c>
      <c r="K374" s="24" t="str">
        <f>VLOOKUP(B374,Custumer_Master!A:D,4,FALSE)</f>
        <v>WB</v>
      </c>
      <c r="L374" s="24" t="str">
        <f>PROPER(TRIM(VLOOKUP('Final Data'!C374,Product_Master!A:F,3,FALSE)))</f>
        <v>Stationery</v>
      </c>
      <c r="M374" s="24" t="s">
        <v>263</v>
      </c>
      <c r="N374" s="34">
        <v>5</v>
      </c>
      <c r="O374" s="192">
        <f>VLOOKUP(C374,Product_Master!A:F,5,FALSE)</f>
        <v>33.75</v>
      </c>
      <c r="P374" s="33">
        <v>0.05</v>
      </c>
      <c r="Q374" s="34">
        <f t="shared" si="15"/>
        <v>160.3125</v>
      </c>
      <c r="R374" s="34">
        <v>3</v>
      </c>
      <c r="S374" s="24" t="s">
        <v>79</v>
      </c>
      <c r="T374" s="24" t="s">
        <v>115</v>
      </c>
      <c r="U374" s="24" t="s">
        <v>175</v>
      </c>
      <c r="V374" s="34">
        <v>9726464733</v>
      </c>
      <c r="W374" s="24" t="str">
        <f>VLOOKUP(C374,Product_Master!A:F,4,FALSE)</f>
        <v>TechHub</v>
      </c>
      <c r="X374" s="34">
        <f>VLOOKUP(C374,Product_Master!A:F,6,FALSE)</f>
        <v>12</v>
      </c>
      <c r="Y374" s="24" t="str">
        <f>VLOOKUP(B374,Custumer_Master!A:D,3,FALSE)</f>
        <v>Gold</v>
      </c>
      <c r="Z374" s="30">
        <f>EDATE(E374,X374)</f>
        <v>46346</v>
      </c>
      <c r="AA374" s="29" t="str">
        <f>VLOOKUP(B374,Custumer_Master!A:K,11,)</f>
        <v>January</v>
      </c>
      <c r="AB374" s="24" t="s">
        <v>2108</v>
      </c>
      <c r="AC374" s="138" t="str">
        <f>PROPER(LEFT(TRIM(F374), 3)) &amp; RIGHT(TRIM(B374), 3) &amp; PROPER(LEFT(TRIM(I374), 2))</f>
        <v>Ani004Pu</v>
      </c>
      <c r="AD374" s="154">
        <f t="shared" ca="1" si="16"/>
        <v>24</v>
      </c>
      <c r="AE374" s="154">
        <f>IFERROR(IF(OR(E374="", D374="", LOWER(TRIM(E374))="pending", LOWER(TRIM(D374))="pending"), "Pending", E374 - D374), "Pending")</f>
        <v>2</v>
      </c>
      <c r="AF374" s="138" t="str">
        <f>IFERROR(IF(OR(E374="", D374="","Pending","Pending"), "Pending", IF((E374 - D374) &lt;= 5, "On Time", "Delayed")), "Pending")</f>
        <v>On Time</v>
      </c>
      <c r="AG374" s="24" t="str">
        <f t="shared" si="17"/>
        <v>Completed</v>
      </c>
    </row>
    <row r="375" spans="1:33">
      <c r="A375" s="24" t="s">
        <v>1649</v>
      </c>
      <c r="B375" s="24" t="s">
        <v>83</v>
      </c>
      <c r="C375" s="24" t="s">
        <v>184</v>
      </c>
      <c r="D375" s="30">
        <v>45962</v>
      </c>
      <c r="E375" s="30" t="s">
        <v>1102</v>
      </c>
      <c r="F375" s="24" t="str">
        <f>VLOOKUP(B375,Custumer_Master!A:D,2,FALSE)</f>
        <v>Arjun Rao</v>
      </c>
      <c r="G375" s="24" t="str">
        <f>VLOOKUP($B375,Custumer_Master!$A:$J,6,FALSE)</f>
        <v>Male</v>
      </c>
      <c r="H375" s="30" t="str">
        <f>VLOOKUP($B375,Custumer_Master!$A:$J,7,FALSE)</f>
        <v>07/02/1988</v>
      </c>
      <c r="I375" s="24" t="str">
        <f>VLOOKUP($B375,Custumer_Master!$A:$J,9,FALSE)</f>
        <v>Hyderabad</v>
      </c>
      <c r="J375" s="24" t="str">
        <f>VLOOKUP($B375,Custumer_Master!$A:$J,10,FALSE)</f>
        <v>South</v>
      </c>
      <c r="K375" s="24" t="str">
        <f>VLOOKUP(B375,Custumer_Master!A:D,4,FALSE)</f>
        <v>RJ</v>
      </c>
      <c r="L375" s="24" t="str">
        <f>PROPER(TRIM(VLOOKUP('Final Data'!C375,Product_Master!A:F,3,FALSE)))</f>
        <v>Electronics</v>
      </c>
      <c r="M375" s="24" t="s">
        <v>189</v>
      </c>
      <c r="N375" s="34">
        <v>5</v>
      </c>
      <c r="O375" s="192">
        <f>VLOOKUP(C375,Product_Master!A:F,5,FALSE)</f>
        <v>525</v>
      </c>
      <c r="P375" s="33">
        <v>0.1</v>
      </c>
      <c r="Q375" s="34">
        <f t="shared" si="15"/>
        <v>2362.5</v>
      </c>
      <c r="R375" s="34">
        <v>2</v>
      </c>
      <c r="S375" s="24" t="s">
        <v>2149</v>
      </c>
      <c r="T375" s="24" t="s">
        <v>49</v>
      </c>
      <c r="U375" s="24" t="s">
        <v>89</v>
      </c>
      <c r="V375" s="34">
        <v>9273520544</v>
      </c>
      <c r="W375" s="24" t="str">
        <f>VLOOKUP(C375,Product_Master!A:F,4,FALSE)</f>
        <v>TechHub</v>
      </c>
      <c r="X375" s="34">
        <f>VLOOKUP(C375,Product_Master!A:F,6,FALSE)</f>
        <v>24</v>
      </c>
      <c r="Y375" s="24" t="str">
        <f>VLOOKUP(B375,Custumer_Master!A:D,3,FALSE)</f>
        <v>Silver</v>
      </c>
      <c r="Z375" s="30">
        <f>EDATE(E375,X375)</f>
        <v>46693</v>
      </c>
      <c r="AA375" s="29" t="str">
        <f>VLOOKUP(B375,Custumer_Master!A:K,11,)</f>
        <v>February</v>
      </c>
      <c r="AB375" s="24" t="s">
        <v>2160</v>
      </c>
      <c r="AC375" s="138" t="str">
        <f>PROPER(LEFT(TRIM(F375), 3)) &amp; RIGHT(TRIM(B375), 3) &amp; PROPER(LEFT(TRIM(I375), 2))</f>
        <v>Arj007Hy</v>
      </c>
      <c r="AD375" s="154">
        <f t="shared" ca="1" si="16"/>
        <v>38</v>
      </c>
      <c r="AE375" s="154">
        <f>IFERROR(IF(OR(E375="", D375="", LOWER(TRIM(E375))="pending", LOWER(TRIM(D375))="pending"), "Pending", E375 - D375), "Pending")</f>
        <v>1</v>
      </c>
      <c r="AF375" s="138" t="str">
        <f>IFERROR(IF(OR(E375="", D375="","Pending","Pending"), "Pending", IF((E375 - D375) &lt;= 5, "On Time", "Delayed")), "Pending")</f>
        <v>On Time</v>
      </c>
      <c r="AG375" s="24" t="str">
        <f t="shared" si="17"/>
        <v>Completed</v>
      </c>
    </row>
    <row r="376" spans="1:33">
      <c r="A376" s="24" t="s">
        <v>1653</v>
      </c>
      <c r="B376" s="24" t="s">
        <v>221</v>
      </c>
      <c r="C376" s="24" t="s">
        <v>184</v>
      </c>
      <c r="D376" s="30">
        <v>45681</v>
      </c>
      <c r="E376" s="30" t="s">
        <v>1654</v>
      </c>
      <c r="F376" s="24" t="str">
        <f>VLOOKUP(B376,Custumer_Master!A:D,2,FALSE)</f>
        <v>Vikas Mehta</v>
      </c>
      <c r="G376" s="24" t="str">
        <f>VLOOKUP($B376,Custumer_Master!$A:$J,6,FALSE)</f>
        <v>Male</v>
      </c>
      <c r="H376" s="30" t="str">
        <f>VLOOKUP($B376,Custumer_Master!$A:$J,7,FALSE)</f>
        <v>03/08/1991</v>
      </c>
      <c r="I376" s="24" t="str">
        <f>VLOOKUP($B376,Custumer_Master!$A:$J,9,FALSE)</f>
        <v>Mumbai</v>
      </c>
      <c r="J376" s="24" t="str">
        <f>VLOOKUP($B376,Custumer_Master!$A:$J,10,FALSE)</f>
        <v>West</v>
      </c>
      <c r="K376" s="24" t="str">
        <f>VLOOKUP(B376,Custumer_Master!A:D,4,FALSE)</f>
        <v>DL</v>
      </c>
      <c r="L376" s="24" t="str">
        <f>PROPER(TRIM(VLOOKUP('Final Data'!C376,Product_Master!A:F,3,FALSE)))</f>
        <v>Electronics</v>
      </c>
      <c r="M376" s="24" t="s">
        <v>189</v>
      </c>
      <c r="N376" s="34">
        <v>1</v>
      </c>
      <c r="O376" s="192">
        <f>VLOOKUP(C376,Product_Master!A:F,5,FALSE)</f>
        <v>525</v>
      </c>
      <c r="P376" s="33">
        <v>0</v>
      </c>
      <c r="Q376" s="34">
        <f t="shared" si="15"/>
        <v>525</v>
      </c>
      <c r="R376" s="34">
        <v>1</v>
      </c>
      <c r="S376" s="24" t="s">
        <v>2149</v>
      </c>
      <c r="T376" s="24" t="s">
        <v>151</v>
      </c>
      <c r="U376" s="24" t="s">
        <v>228</v>
      </c>
      <c r="V376" s="34">
        <v>9374259988</v>
      </c>
      <c r="W376" s="24" t="str">
        <f>VLOOKUP(C376,Product_Master!A:F,4,FALSE)</f>
        <v>TechHub</v>
      </c>
      <c r="X376" s="34">
        <f>VLOOKUP(C376,Product_Master!A:F,6,FALSE)</f>
        <v>24</v>
      </c>
      <c r="Y376" s="24" t="str">
        <f>VLOOKUP(B376,Custumer_Master!A:D,3,FALSE)</f>
        <v>Gold</v>
      </c>
      <c r="Z376" s="30">
        <f>EDATE(E376,X376)</f>
        <v>46418</v>
      </c>
      <c r="AA376" s="29" t="str">
        <f>VLOOKUP(B376,Custumer_Master!A:K,11,)</f>
        <v>August</v>
      </c>
      <c r="AB376" s="24" t="s">
        <v>2160</v>
      </c>
      <c r="AC376" s="138" t="str">
        <f>PROPER(LEFT(TRIM(F376), 3)) &amp; RIGHT(TRIM(B376), 3) &amp; PROPER(LEFT(TRIM(I376), 2))</f>
        <v>Vik005Mu</v>
      </c>
      <c r="AD376" s="154">
        <f t="shared" ca="1" si="16"/>
        <v>34</v>
      </c>
      <c r="AE376" s="154">
        <f>IFERROR(IF(OR(E376="", D376="", LOWER(TRIM(E376))="pending", LOWER(TRIM(D376))="pending"), "Pending", E376 - D376), "Pending")</f>
        <v>7</v>
      </c>
      <c r="AF376" s="138" t="str">
        <f>IFERROR(IF(OR(E376="", D376="","Pending","Pending"), "Pending", IF((E376 - D376) &lt;= 5, "On Time", "Delayed")), "Pending")</f>
        <v>Delayed</v>
      </c>
      <c r="AG376" s="24" t="str">
        <f t="shared" si="17"/>
        <v>Completed</v>
      </c>
    </row>
    <row r="377" spans="1:33">
      <c r="A377" s="24" t="s">
        <v>1657</v>
      </c>
      <c r="B377" s="24" t="s">
        <v>23</v>
      </c>
      <c r="C377" s="24" t="s">
        <v>184</v>
      </c>
      <c r="D377" s="30">
        <v>46066</v>
      </c>
      <c r="E377" s="30" t="s">
        <v>923</v>
      </c>
      <c r="F377" s="24" t="str">
        <f>VLOOKUP(B377,Custumer_Master!A:D,2,FALSE)</f>
        <v>Kavya Nair</v>
      </c>
      <c r="G377" s="24" t="str">
        <f>VLOOKUP($B377,Custumer_Master!$A:$J,6,FALSE)</f>
        <v>Female</v>
      </c>
      <c r="H377" s="30" t="str">
        <f>VLOOKUP($B377,Custumer_Master!$A:$J,7,FALSE)</f>
        <v>01/08/1976</v>
      </c>
      <c r="I377" s="24" t="str">
        <f>VLOOKUP($B377,Custumer_Master!$A:$J,9,FALSE)</f>
        <v>Hyderabad</v>
      </c>
      <c r="J377" s="24" t="str">
        <f>VLOOKUP($B377,Custumer_Master!$A:$J,10,FALSE)</f>
        <v>South</v>
      </c>
      <c r="K377" s="24" t="str">
        <f>VLOOKUP(B377,Custumer_Master!A:D,4,FALSE)</f>
        <v>WB</v>
      </c>
      <c r="L377" s="24" t="str">
        <f>PROPER(TRIM(VLOOKUP('Final Data'!C377,Product_Master!A:F,3,FALSE)))</f>
        <v>Electronics</v>
      </c>
      <c r="M377" s="24" t="s">
        <v>189</v>
      </c>
      <c r="N377" s="34">
        <v>13</v>
      </c>
      <c r="O377" s="192">
        <f>VLOOKUP(C377,Product_Master!A:F,5,FALSE)</f>
        <v>525</v>
      </c>
      <c r="P377" s="33">
        <v>0.2</v>
      </c>
      <c r="Q377" s="34">
        <f t="shared" si="15"/>
        <v>5460</v>
      </c>
      <c r="R377" s="34">
        <v>2</v>
      </c>
      <c r="S377" s="24" t="s">
        <v>79</v>
      </c>
      <c r="T377" s="24" t="s">
        <v>35</v>
      </c>
      <c r="U377" s="24" t="s">
        <v>50</v>
      </c>
      <c r="V377" s="34">
        <v>9538129419</v>
      </c>
      <c r="W377" s="24" t="str">
        <f>VLOOKUP(C377,Product_Master!A:F,4,FALSE)</f>
        <v>TechHub</v>
      </c>
      <c r="X377" s="34">
        <f>VLOOKUP(C377,Product_Master!A:F,6,FALSE)</f>
        <v>24</v>
      </c>
      <c r="Y377" s="24" t="str">
        <f>VLOOKUP(B377,Custumer_Master!A:D,3,FALSE)</f>
        <v>Silver</v>
      </c>
      <c r="Z377" s="30">
        <f>EDATE(E377,X377)</f>
        <v>46804</v>
      </c>
      <c r="AA377" s="29" t="str">
        <f>VLOOKUP(B377,Custumer_Master!A:K,11,)</f>
        <v>August</v>
      </c>
      <c r="AB377" s="24" t="s">
        <v>2160</v>
      </c>
      <c r="AC377" s="138" t="str">
        <f>PROPER(LEFT(TRIM(F377), 3)) &amp; RIGHT(TRIM(B377), 3) &amp; PROPER(LEFT(TRIM(I377), 2))</f>
        <v>Kav008Hy</v>
      </c>
      <c r="AD377" s="154">
        <f t="shared" ca="1" si="16"/>
        <v>49</v>
      </c>
      <c r="AE377" s="154">
        <f>IFERROR(IF(OR(E377="", D377="", LOWER(TRIM(E377))="pending", LOWER(TRIM(D377))="pending"), "Pending", E377 - D377), "Pending")</f>
        <v>8</v>
      </c>
      <c r="AF377" s="138" t="str">
        <f>IFERROR(IF(OR(E377="", D377="","Pending","Pending"), "Pending", IF((E377 - D377) &lt;= 5, "On Time", "Delayed")), "Pending")</f>
        <v>Delayed</v>
      </c>
      <c r="AG377" s="24" t="str">
        <f t="shared" si="17"/>
        <v>Completed</v>
      </c>
    </row>
    <row r="378" spans="1:33">
      <c r="A378" s="24" t="s">
        <v>1660</v>
      </c>
      <c r="B378" s="24" t="s">
        <v>71</v>
      </c>
      <c r="C378" s="24" t="s">
        <v>40</v>
      </c>
      <c r="D378" s="30">
        <v>45696</v>
      </c>
      <c r="E378" s="30" t="s">
        <v>303</v>
      </c>
      <c r="F378" s="24" t="str">
        <f>VLOOKUP(B378,Custumer_Master!A:D,2,FALSE)</f>
        <v>Mohit Verma</v>
      </c>
      <c r="G378" s="24" t="str">
        <f>VLOOKUP($B378,Custumer_Master!$A:$J,6,FALSE)</f>
        <v>Male</v>
      </c>
      <c r="H378" s="30" t="str">
        <f>VLOOKUP($B378,Custumer_Master!$A:$J,7,FALSE)</f>
        <v>13/04/1976</v>
      </c>
      <c r="I378" s="24" t="str">
        <f>VLOOKUP($B378,Custumer_Master!$A:$J,9,FALSE)</f>
        <v>Delhi</v>
      </c>
      <c r="J378" s="24" t="str">
        <f>VLOOKUP($B378,Custumer_Master!$A:$J,10,FALSE)</f>
        <v>North</v>
      </c>
      <c r="K378" s="24" t="str">
        <f>VLOOKUP(B378,Custumer_Master!A:D,4,FALSE)</f>
        <v>KA</v>
      </c>
      <c r="L378" s="24" t="str">
        <f>PROPER(TRIM(VLOOKUP('Final Data'!C378,Product_Master!A:F,3,FALSE)))</f>
        <v>Electronics</v>
      </c>
      <c r="M378" s="24" t="s">
        <v>47</v>
      </c>
      <c r="N378" s="34">
        <v>20</v>
      </c>
      <c r="O378" s="192">
        <f>VLOOKUP(C378,Product_Master!A:F,5,FALSE)</f>
        <v>9000</v>
      </c>
      <c r="P378" s="33">
        <v>0</v>
      </c>
      <c r="Q378" s="34">
        <f t="shared" si="15"/>
        <v>180000</v>
      </c>
      <c r="R378" s="34">
        <v>2</v>
      </c>
      <c r="S378" s="24" t="s">
        <v>79</v>
      </c>
      <c r="T378" s="24" t="s">
        <v>115</v>
      </c>
      <c r="U378" s="24" t="s">
        <v>80</v>
      </c>
      <c r="V378" s="34">
        <v>9382815686</v>
      </c>
      <c r="W378" s="24" t="str">
        <f>VLOOKUP(C378,Product_Master!A:F,4,FALSE)</f>
        <v>Global Trade</v>
      </c>
      <c r="X378" s="34">
        <f>VLOOKUP(C378,Product_Master!A:F,6,FALSE)</f>
        <v>24</v>
      </c>
      <c r="Y378" s="24" t="str">
        <f>VLOOKUP(B378,Custumer_Master!A:D,3,FALSE)</f>
        <v>Platinum</v>
      </c>
      <c r="Z378" s="30">
        <f>EDATE(E378,X378)</f>
        <v>46437</v>
      </c>
      <c r="AA378" s="29" t="str">
        <f>VLOOKUP(B378,Custumer_Master!A:K,11,)</f>
        <v>April</v>
      </c>
      <c r="AB378" s="24" t="s">
        <v>2160</v>
      </c>
      <c r="AC378" s="138" t="str">
        <f>PROPER(LEFT(TRIM(F378), 3)) &amp; RIGHT(TRIM(B378), 3) &amp; PROPER(LEFT(TRIM(I378), 2))</f>
        <v>Moh009De</v>
      </c>
      <c r="AD378" s="154">
        <f t="shared" ca="1" si="16"/>
        <v>50</v>
      </c>
      <c r="AE378" s="154">
        <f>IFERROR(IF(OR(E378="", D378="", LOWER(TRIM(E378))="pending", LOWER(TRIM(D378))="pending"), "Pending", E378 - D378), "Pending")</f>
        <v>11</v>
      </c>
      <c r="AF378" s="138" t="str">
        <f>IFERROR(IF(OR(E378="", D378="","Pending","Pending"), "Pending", IF((E378 - D378) &lt;= 5, "On Time", "Delayed")), "Pending")</f>
        <v>Delayed</v>
      </c>
      <c r="AG378" s="24" t="str">
        <f t="shared" si="17"/>
        <v>Completed</v>
      </c>
    </row>
    <row r="379" spans="1:33">
      <c r="A379" s="24" t="s">
        <v>1663</v>
      </c>
      <c r="B379" s="24" t="s">
        <v>83</v>
      </c>
      <c r="C379" s="24" t="s">
        <v>72</v>
      </c>
      <c r="D379" s="30">
        <v>46019</v>
      </c>
      <c r="E379" s="30" t="s">
        <v>712</v>
      </c>
      <c r="F379" s="24" t="str">
        <f>VLOOKUP(B379,Custumer_Master!A:D,2,FALSE)</f>
        <v>Arjun Rao</v>
      </c>
      <c r="G379" s="24" t="str">
        <f>VLOOKUP($B379,Custumer_Master!$A:$J,6,FALSE)</f>
        <v>Male</v>
      </c>
      <c r="H379" s="30" t="str">
        <f>VLOOKUP($B379,Custumer_Master!$A:$J,7,FALSE)</f>
        <v>07/02/1988</v>
      </c>
      <c r="I379" s="24" t="str">
        <f>VLOOKUP($B379,Custumer_Master!$A:$J,9,FALSE)</f>
        <v>Hyderabad</v>
      </c>
      <c r="J379" s="24" t="str">
        <f>VLOOKUP($B379,Custumer_Master!$A:$J,10,FALSE)</f>
        <v>South</v>
      </c>
      <c r="K379" s="24" t="str">
        <f>VLOOKUP(B379,Custumer_Master!A:D,4,FALSE)</f>
        <v>RJ</v>
      </c>
      <c r="L379" s="24" t="str">
        <f>PROPER(TRIM(VLOOKUP('Final Data'!C379,Product_Master!A:F,3,FALSE)))</f>
        <v>Electronics</v>
      </c>
      <c r="M379" s="24" t="s">
        <v>78</v>
      </c>
      <c r="N379" s="34">
        <v>9</v>
      </c>
      <c r="O379" s="192">
        <f>VLOOKUP(C379,Product_Master!A:F,5,FALSE)</f>
        <v>900</v>
      </c>
      <c r="P379" s="33">
        <v>0.15</v>
      </c>
      <c r="Q379" s="34">
        <f t="shared" si="15"/>
        <v>6885</v>
      </c>
      <c r="R379" s="34">
        <v>1</v>
      </c>
      <c r="S379" s="24" t="s">
        <v>2149</v>
      </c>
      <c r="T379" s="24" t="s">
        <v>35</v>
      </c>
      <c r="U379" s="24" t="s">
        <v>89</v>
      </c>
      <c r="V379" s="34">
        <v>9450746157</v>
      </c>
      <c r="W379" s="24" t="str">
        <f>VLOOKUP(C379,Product_Master!A:F,4,FALSE)</f>
        <v>TechHub</v>
      </c>
      <c r="X379" s="34">
        <f>VLOOKUP(C379,Product_Master!A:F,6,FALSE)</f>
        <v>6</v>
      </c>
      <c r="Y379" s="24" t="str">
        <f>VLOOKUP(B379,Custumer_Master!A:D,3,FALSE)</f>
        <v>Silver</v>
      </c>
      <c r="Z379" s="30">
        <f>EDATE(E379,X379)</f>
        <v>46209</v>
      </c>
      <c r="AA379" s="29" t="str">
        <f>VLOOKUP(B379,Custumer_Master!A:K,11,)</f>
        <v>February</v>
      </c>
      <c r="AB379" s="24" t="s">
        <v>2160</v>
      </c>
      <c r="AC379" s="138" t="str">
        <f>PROPER(LEFT(TRIM(F379), 3)) &amp; RIGHT(TRIM(B379), 3) &amp; PROPER(LEFT(TRIM(I379), 2))</f>
        <v>Arj007Hy</v>
      </c>
      <c r="AD379" s="154">
        <f t="shared" ca="1" si="16"/>
        <v>38</v>
      </c>
      <c r="AE379" s="154">
        <f>IFERROR(IF(OR(E379="", D379="", LOWER(TRIM(E379))="pending", LOWER(TRIM(D379))="pending"), "Pending", E379 - D379), "Pending")</f>
        <v>9</v>
      </c>
      <c r="AF379" s="138" t="str">
        <f>IFERROR(IF(OR(E379="", D379="","Pending","Pending"), "Pending", IF((E379 - D379) &lt;= 5, "On Time", "Delayed")), "Pending")</f>
        <v>Delayed</v>
      </c>
      <c r="AG379" s="24" t="str">
        <f t="shared" si="17"/>
        <v>Completed</v>
      </c>
    </row>
    <row r="380" spans="1:33">
      <c r="A380" s="24" t="s">
        <v>1666</v>
      </c>
      <c r="B380" s="24" t="s">
        <v>83</v>
      </c>
      <c r="C380" s="24" t="s">
        <v>222</v>
      </c>
      <c r="D380" s="30">
        <v>45931</v>
      </c>
      <c r="E380" s="30" t="s">
        <v>1667</v>
      </c>
      <c r="F380" s="24" t="str">
        <f>VLOOKUP(B380,Custumer_Master!A:D,2,FALSE)</f>
        <v>Arjun Rao</v>
      </c>
      <c r="G380" s="24" t="str">
        <f>VLOOKUP($B380,Custumer_Master!$A:$J,6,FALSE)</f>
        <v>Male</v>
      </c>
      <c r="H380" s="30" t="str">
        <f>VLOOKUP($B380,Custumer_Master!$A:$J,7,FALSE)</f>
        <v>07/02/1988</v>
      </c>
      <c r="I380" s="24" t="str">
        <f>VLOOKUP($B380,Custumer_Master!$A:$J,9,FALSE)</f>
        <v>Hyderabad</v>
      </c>
      <c r="J380" s="24" t="str">
        <f>VLOOKUP($B380,Custumer_Master!$A:$J,10,FALSE)</f>
        <v>South</v>
      </c>
      <c r="K380" s="24" t="str">
        <f>VLOOKUP(B380,Custumer_Master!A:D,4,FALSE)</f>
        <v>RJ</v>
      </c>
      <c r="L380" s="24" t="str">
        <f>PROPER(TRIM(VLOOKUP('Final Data'!C380,Product_Master!A:F,3,FALSE)))</f>
        <v>Stationery</v>
      </c>
      <c r="M380" s="24" t="s">
        <v>227</v>
      </c>
      <c r="N380" s="34">
        <v>3</v>
      </c>
      <c r="O380" s="192">
        <f>VLOOKUP(C380,Product_Master!A:F,5,FALSE)</f>
        <v>15</v>
      </c>
      <c r="P380" s="33">
        <v>0.15</v>
      </c>
      <c r="Q380" s="34">
        <f t="shared" si="15"/>
        <v>38.25</v>
      </c>
      <c r="R380" s="34">
        <v>3</v>
      </c>
      <c r="S380" s="24" t="s">
        <v>34</v>
      </c>
      <c r="T380" s="24" t="s">
        <v>115</v>
      </c>
      <c r="U380" s="24" t="s">
        <v>89</v>
      </c>
      <c r="V380" s="34">
        <v>9349012570</v>
      </c>
      <c r="W380" s="24" t="str">
        <f>VLOOKUP(C380,Product_Master!A:F,4,FALSE)</f>
        <v>Prime Supplies</v>
      </c>
      <c r="X380" s="34">
        <f>VLOOKUP(C380,Product_Master!A:F,6,FALSE)</f>
        <v>12</v>
      </c>
      <c r="Y380" s="24" t="str">
        <f>VLOOKUP(B380,Custumer_Master!A:D,3,FALSE)</f>
        <v>Silver</v>
      </c>
      <c r="Z380" s="30">
        <f>EDATE(E380,X380)</f>
        <v>46298</v>
      </c>
      <c r="AA380" s="29" t="str">
        <f>VLOOKUP(B380,Custumer_Master!A:K,11,)</f>
        <v>February</v>
      </c>
      <c r="AB380" s="24" t="s">
        <v>2108</v>
      </c>
      <c r="AC380" s="138" t="str">
        <f>PROPER(LEFT(TRIM(F380), 3)) &amp; RIGHT(TRIM(B380), 3) &amp; PROPER(LEFT(TRIM(I380), 2))</f>
        <v>Arj007Hy</v>
      </c>
      <c r="AD380" s="154">
        <f t="shared" ca="1" si="16"/>
        <v>38</v>
      </c>
      <c r="AE380" s="154">
        <f>IFERROR(IF(OR(E380="", D380="", LOWER(TRIM(E380))="pending", LOWER(TRIM(D380))="pending"), "Pending", E380 - D380), "Pending")</f>
        <v>2</v>
      </c>
      <c r="AF380" s="138" t="str">
        <f>IFERROR(IF(OR(E380="", D380="","Pending","Pending"), "Pending", IF((E380 - D380) &lt;= 5, "On Time", "Delayed")), "Pending")</f>
        <v>On Time</v>
      </c>
      <c r="AG380" s="24" t="str">
        <f t="shared" si="17"/>
        <v>Completed</v>
      </c>
    </row>
    <row r="381" spans="1:33">
      <c r="A381" s="24" t="s">
        <v>1670</v>
      </c>
      <c r="B381" s="24" t="s">
        <v>251</v>
      </c>
      <c r="C381" s="24" t="s">
        <v>54</v>
      </c>
      <c r="D381" s="30">
        <v>46009</v>
      </c>
      <c r="E381" s="30" t="s">
        <v>455</v>
      </c>
      <c r="F381" s="24" t="str">
        <f>VLOOKUP(B381,Custumer_Master!A:D,2,FALSE)</f>
        <v>Sneha Joshi</v>
      </c>
      <c r="G381" s="24" t="str">
        <f>VLOOKUP($B381,Custumer_Master!$A:$J,6,FALSE)</f>
        <v>Female</v>
      </c>
      <c r="H381" s="30" t="str">
        <f>VLOOKUP($B381,Custumer_Master!$A:$J,7,FALSE)</f>
        <v>04/04/1981</v>
      </c>
      <c r="I381" s="24" t="str">
        <f>VLOOKUP($B381,Custumer_Master!$A:$J,9,FALSE)</f>
        <v>Pune</v>
      </c>
      <c r="J381" s="24" t="str">
        <f>VLOOKUP($B381,Custumer_Master!$A:$J,10,FALSE)</f>
        <v>West</v>
      </c>
      <c r="K381" s="24" t="str">
        <f>VLOOKUP(B381,Custumer_Master!A:D,4,FALSE)</f>
        <v>WB</v>
      </c>
      <c r="L381" s="24" t="str">
        <f>PROPER(TRIM(VLOOKUP('Final Data'!C381,Product_Master!A:F,3,FALSE)))</f>
        <v>Electronics</v>
      </c>
      <c r="M381" s="24" t="s">
        <v>60</v>
      </c>
      <c r="N381" s="34">
        <v>8</v>
      </c>
      <c r="O381" s="192">
        <f>VLOOKUP(C381,Product_Master!A:F,5,FALSE)</f>
        <v>41250</v>
      </c>
      <c r="P381" s="33">
        <v>0.2</v>
      </c>
      <c r="Q381" s="34">
        <f t="shared" si="15"/>
        <v>264000</v>
      </c>
      <c r="R381" s="34">
        <v>5</v>
      </c>
      <c r="S381" s="24" t="s">
        <v>79</v>
      </c>
      <c r="T381" s="24" t="s">
        <v>151</v>
      </c>
      <c r="U381" s="24" t="s">
        <v>256</v>
      </c>
      <c r="V381" s="34">
        <v>9442163790</v>
      </c>
      <c r="W381" s="24" t="str">
        <f>VLOOKUP(C381,Product_Master!A:F,4,FALSE)</f>
        <v>TechHub</v>
      </c>
      <c r="X381" s="34">
        <f>VLOOKUP(C381,Product_Master!A:F,6,FALSE)</f>
        <v>12</v>
      </c>
      <c r="Y381" s="24" t="str">
        <f>VLOOKUP(B381,Custumer_Master!A:D,3,FALSE)</f>
        <v>Gold</v>
      </c>
      <c r="Z381" s="30">
        <f>EDATE(E381,X381)</f>
        <v>46375</v>
      </c>
      <c r="AA381" s="29" t="str">
        <f>VLOOKUP(B381,Custumer_Master!A:K,11,)</f>
        <v>April</v>
      </c>
      <c r="AB381" s="24" t="s">
        <v>2112</v>
      </c>
      <c r="AC381" s="138" t="str">
        <f>PROPER(LEFT(TRIM(F381), 3)) &amp; RIGHT(TRIM(B381), 3) &amp; PROPER(LEFT(TRIM(I381), 2))</f>
        <v>Sne006Pu</v>
      </c>
      <c r="AD381" s="154">
        <f t="shared" ca="1" si="16"/>
        <v>45</v>
      </c>
      <c r="AE381" s="154">
        <f>IFERROR(IF(OR(E381="", D381="", LOWER(TRIM(E381))="pending", LOWER(TRIM(D381))="pending"), "Pending", E381 - D381), "Pending")</f>
        <v>1</v>
      </c>
      <c r="AF381" s="138" t="str">
        <f>IFERROR(IF(OR(E381="", D381="","Pending","Pending"), "Pending", IF((E381 - D381) &lt;= 5, "On Time", "Delayed")), "Pending")</f>
        <v>On Time</v>
      </c>
      <c r="AG381" s="24" t="str">
        <f t="shared" si="17"/>
        <v>Completed</v>
      </c>
    </row>
    <row r="382" spans="1:33">
      <c r="A382" s="24" t="s">
        <v>1673</v>
      </c>
      <c r="B382" s="24" t="s">
        <v>251</v>
      </c>
      <c r="C382" s="24" t="s">
        <v>118</v>
      </c>
      <c r="D382" s="30">
        <v>45929</v>
      </c>
      <c r="E382" s="30" t="s">
        <v>74</v>
      </c>
      <c r="F382" s="24" t="str">
        <f>VLOOKUP(B382,Custumer_Master!A:D,2,FALSE)</f>
        <v>Sneha Joshi</v>
      </c>
      <c r="G382" s="24" t="str">
        <f>VLOOKUP($B382,Custumer_Master!$A:$J,6,FALSE)</f>
        <v>Female</v>
      </c>
      <c r="H382" s="30" t="str">
        <f>VLOOKUP($B382,Custumer_Master!$A:$J,7,FALSE)</f>
        <v>04/04/1981</v>
      </c>
      <c r="I382" s="24" t="str">
        <f>VLOOKUP($B382,Custumer_Master!$A:$J,9,FALSE)</f>
        <v>Pune</v>
      </c>
      <c r="J382" s="24" t="str">
        <f>VLOOKUP($B382,Custumer_Master!$A:$J,10,FALSE)</f>
        <v>West</v>
      </c>
      <c r="K382" s="24" t="str">
        <f>VLOOKUP(B382,Custumer_Master!A:D,4,FALSE)</f>
        <v>WB</v>
      </c>
      <c r="L382" s="24" t="str">
        <f>PROPER(TRIM(VLOOKUP('Final Data'!C382,Product_Master!A:F,3,FALSE)))</f>
        <v>Stationery</v>
      </c>
      <c r="M382" s="24" t="s">
        <v>123</v>
      </c>
      <c r="N382" s="34">
        <v>17</v>
      </c>
      <c r="O382" s="192">
        <f>VLOOKUP(C382,Product_Master!A:F,5,FALSE)</f>
        <v>45</v>
      </c>
      <c r="P382" s="33">
        <v>0.2</v>
      </c>
      <c r="Q382" s="34">
        <f t="shared" si="15"/>
        <v>612</v>
      </c>
      <c r="R382" s="34">
        <v>1</v>
      </c>
      <c r="S382" s="24" t="s">
        <v>2149</v>
      </c>
      <c r="T382" s="24" t="s">
        <v>35</v>
      </c>
      <c r="U382" s="24" t="s">
        <v>256</v>
      </c>
      <c r="V382" s="34">
        <v>9953329223</v>
      </c>
      <c r="W382" s="24" t="str">
        <f>VLOOKUP(C382,Product_Master!A:F,4,FALSE)</f>
        <v>ABC Corp</v>
      </c>
      <c r="X382" s="34">
        <f>VLOOKUP(C382,Product_Master!A:F,6,FALSE)</f>
        <v>12</v>
      </c>
      <c r="Y382" s="24" t="str">
        <f>VLOOKUP(B382,Custumer_Master!A:D,3,FALSE)</f>
        <v>Gold</v>
      </c>
      <c r="Z382" s="30">
        <f>EDATE(E382,X382)</f>
        <v>46302</v>
      </c>
      <c r="AA382" s="29" t="str">
        <f>VLOOKUP(B382,Custumer_Master!A:K,11,)</f>
        <v>April</v>
      </c>
      <c r="AB382" s="24" t="s">
        <v>2160</v>
      </c>
      <c r="AC382" s="138" t="str">
        <f>PROPER(LEFT(TRIM(F382), 3)) &amp; RIGHT(TRIM(B382), 3) &amp; PROPER(LEFT(TRIM(I382), 2))</f>
        <v>Sne006Pu</v>
      </c>
      <c r="AD382" s="154">
        <f t="shared" ca="1" si="16"/>
        <v>45</v>
      </c>
      <c r="AE382" s="154">
        <f>IFERROR(IF(OR(E382="", D382="", LOWER(TRIM(E382))="pending", LOWER(TRIM(D382))="pending"), "Pending", E382 - D382), "Pending")</f>
        <v>8</v>
      </c>
      <c r="AF382" s="138" t="str">
        <f>IFERROR(IF(OR(E382="", D382="","Pending","Pending"), "Pending", IF((E382 - D382) &lt;= 5, "On Time", "Delayed")), "Pending")</f>
        <v>Delayed</v>
      </c>
      <c r="AG382" s="24" t="str">
        <f t="shared" si="17"/>
        <v>Completed</v>
      </c>
    </row>
    <row r="383" spans="1:33">
      <c r="A383" s="24" t="s">
        <v>1676</v>
      </c>
      <c r="B383" s="24" t="s">
        <v>127</v>
      </c>
      <c r="C383" s="24" t="s">
        <v>222</v>
      </c>
      <c r="D383" s="30">
        <v>45791</v>
      </c>
      <c r="E383" s="30" t="s">
        <v>236</v>
      </c>
      <c r="F383" s="24" t="str">
        <f>VLOOKUP(B383,Custumer_Master!A:D,2,FALSE)</f>
        <v>Rohit Singh</v>
      </c>
      <c r="G383" s="24" t="str">
        <f>VLOOKUP($B383,Custumer_Master!$A:$J,6,FALSE)</f>
        <v>Male</v>
      </c>
      <c r="H383" s="30" t="str">
        <f>VLOOKUP($B383,Custumer_Master!$A:$J,7,FALSE)</f>
        <v>10/05/1982</v>
      </c>
      <c r="I383" s="24" t="str">
        <f>VLOOKUP($B383,Custumer_Master!$A:$J,9,FALSE)</f>
        <v>Delhi</v>
      </c>
      <c r="J383" s="24" t="str">
        <f>VLOOKUP($B383,Custumer_Master!$A:$J,10,FALSE)</f>
        <v>North</v>
      </c>
      <c r="K383" s="24" t="str">
        <f>VLOOKUP(B383,Custumer_Master!A:D,4,FALSE)</f>
        <v>DL</v>
      </c>
      <c r="L383" s="24" t="str">
        <f>PROPER(TRIM(VLOOKUP('Final Data'!C383,Product_Master!A:F,3,FALSE)))</f>
        <v>Stationery</v>
      </c>
      <c r="M383" s="24" t="s">
        <v>227</v>
      </c>
      <c r="N383" s="34">
        <v>4</v>
      </c>
      <c r="O383" s="192">
        <f>VLOOKUP(C383,Product_Master!A:F,5,FALSE)</f>
        <v>15</v>
      </c>
      <c r="P383" s="33">
        <v>0.15</v>
      </c>
      <c r="Q383" s="34">
        <f t="shared" si="15"/>
        <v>51</v>
      </c>
      <c r="R383" s="34">
        <v>3</v>
      </c>
      <c r="S383" s="24" t="s">
        <v>2148</v>
      </c>
      <c r="T383" s="24" t="s">
        <v>61</v>
      </c>
      <c r="U383" s="24" t="s">
        <v>132</v>
      </c>
      <c r="V383" s="34">
        <v>9202321359</v>
      </c>
      <c r="W383" s="24" t="str">
        <f>VLOOKUP(C383,Product_Master!A:F,4,FALSE)</f>
        <v>Prime Supplies</v>
      </c>
      <c r="X383" s="34">
        <f>VLOOKUP(C383,Product_Master!A:F,6,FALSE)</f>
        <v>12</v>
      </c>
      <c r="Y383" s="24" t="str">
        <f>VLOOKUP(B383,Custumer_Master!A:D,3,FALSE)</f>
        <v>Gold</v>
      </c>
      <c r="Z383" s="30">
        <f>EDATE(E383,X383)</f>
        <v>46164</v>
      </c>
      <c r="AA383" s="29" t="str">
        <f>VLOOKUP(B383,Custumer_Master!A:K,11,)</f>
        <v>May</v>
      </c>
      <c r="AB383" s="24" t="s">
        <v>2108</v>
      </c>
      <c r="AC383" s="138" t="str">
        <f>PROPER(LEFT(TRIM(F383), 3)) &amp; RIGHT(TRIM(B383), 3) &amp; PROPER(LEFT(TRIM(I383), 2))</f>
        <v>Roh003De</v>
      </c>
      <c r="AD383" s="154">
        <f t="shared" ca="1" si="16"/>
        <v>44</v>
      </c>
      <c r="AE383" s="154">
        <f>IFERROR(IF(OR(E383="", D383="", LOWER(TRIM(E383))="pending", LOWER(TRIM(D383))="pending"), "Pending", E383 - D383), "Pending")</f>
        <v>8</v>
      </c>
      <c r="AF383" s="138" t="str">
        <f>IFERROR(IF(OR(E383="", D383="","Pending","Pending"), "Pending", IF((E383 - D383) &lt;= 5, "On Time", "Delayed")), "Pending")</f>
        <v>Delayed</v>
      </c>
      <c r="AG383" s="24" t="str">
        <f t="shared" si="17"/>
        <v>Completed</v>
      </c>
    </row>
    <row r="384" spans="1:33">
      <c r="A384" s="24" t="s">
        <v>1680</v>
      </c>
      <c r="B384" s="24" t="s">
        <v>127</v>
      </c>
      <c r="C384" s="24" t="s">
        <v>24</v>
      </c>
      <c r="D384" s="30">
        <v>45748</v>
      </c>
      <c r="E384" s="30" t="s">
        <v>775</v>
      </c>
      <c r="F384" s="24" t="str">
        <f>VLOOKUP(B384,Custumer_Master!A:D,2,FALSE)</f>
        <v>Rohit Singh</v>
      </c>
      <c r="G384" s="24" t="str">
        <f>VLOOKUP($B384,Custumer_Master!$A:$J,6,FALSE)</f>
        <v>Male</v>
      </c>
      <c r="H384" s="30" t="str">
        <f>VLOOKUP($B384,Custumer_Master!$A:$J,7,FALSE)</f>
        <v>10/05/1982</v>
      </c>
      <c r="I384" s="24" t="str">
        <f>VLOOKUP($B384,Custumer_Master!$A:$J,9,FALSE)</f>
        <v>Delhi</v>
      </c>
      <c r="J384" s="24" t="str">
        <f>VLOOKUP($B384,Custumer_Master!$A:$J,10,FALSE)</f>
        <v>North</v>
      </c>
      <c r="K384" s="24" t="str">
        <f>VLOOKUP(B384,Custumer_Master!A:D,4,FALSE)</f>
        <v>DL</v>
      </c>
      <c r="L384" s="24" t="str">
        <f>PROPER(TRIM(VLOOKUP('Final Data'!C384,Product_Master!A:F,3,FALSE)))</f>
        <v>Home Appliances</v>
      </c>
      <c r="M384" s="24" t="s">
        <v>33</v>
      </c>
      <c r="N384" s="34">
        <v>2</v>
      </c>
      <c r="O384" s="192">
        <f>VLOOKUP(C384,Product_Master!A:F,5,FALSE)</f>
        <v>1650</v>
      </c>
      <c r="P384" s="33">
        <v>0.1</v>
      </c>
      <c r="Q384" s="34">
        <f t="shared" si="15"/>
        <v>2970</v>
      </c>
      <c r="R384" s="34">
        <v>2</v>
      </c>
      <c r="S384" s="24" t="s">
        <v>2149</v>
      </c>
      <c r="T384" s="24" t="s">
        <v>49</v>
      </c>
      <c r="U384" s="24" t="s">
        <v>132</v>
      </c>
      <c r="V384" s="34">
        <v>9812564160</v>
      </c>
      <c r="W384" s="24" t="str">
        <f>VLOOKUP(C384,Product_Master!A:F,4,FALSE)</f>
        <v>Global Trade</v>
      </c>
      <c r="X384" s="34">
        <f>VLOOKUP(C384,Product_Master!A:F,6,FALSE)</f>
        <v>24</v>
      </c>
      <c r="Y384" s="24" t="str">
        <f>VLOOKUP(B384,Custumer_Master!A:D,3,FALSE)</f>
        <v>Gold</v>
      </c>
      <c r="Z384" s="30">
        <f>EDATE(E384,X384)</f>
        <v>46488</v>
      </c>
      <c r="AA384" s="29" t="str">
        <f>VLOOKUP(B384,Custumer_Master!A:K,11,)</f>
        <v>May</v>
      </c>
      <c r="AB384" s="24" t="s">
        <v>2160</v>
      </c>
      <c r="AC384" s="138" t="str">
        <f>PROPER(LEFT(TRIM(F384), 3)) &amp; RIGHT(TRIM(B384), 3) &amp; PROPER(LEFT(TRIM(I384), 2))</f>
        <v>Roh003De</v>
      </c>
      <c r="AD384" s="154">
        <f t="shared" ca="1" si="16"/>
        <v>44</v>
      </c>
      <c r="AE384" s="154">
        <f>IFERROR(IF(OR(E384="", D384="", LOWER(TRIM(E384))="pending", LOWER(TRIM(D384))="pending"), "Pending", E384 - D384), "Pending")</f>
        <v>10</v>
      </c>
      <c r="AF384" s="138" t="str">
        <f>IFERROR(IF(OR(E384="", D384="","Pending","Pending"), "Pending", IF((E384 - D384) &lt;= 5, "On Time", "Delayed")), "Pending")</f>
        <v>Delayed</v>
      </c>
      <c r="AG384" s="24" t="str">
        <f t="shared" si="17"/>
        <v>Completed</v>
      </c>
    </row>
    <row r="385" spans="1:33">
      <c r="A385" s="24" t="s">
        <v>1684</v>
      </c>
      <c r="B385" s="24" t="s">
        <v>221</v>
      </c>
      <c r="C385" s="24" t="s">
        <v>118</v>
      </c>
      <c r="D385" s="30">
        <v>45754</v>
      </c>
      <c r="E385" s="30" t="s">
        <v>539</v>
      </c>
      <c r="F385" s="24" t="str">
        <f>VLOOKUP(B385,Custumer_Master!A:D,2,FALSE)</f>
        <v>Vikas Mehta</v>
      </c>
      <c r="G385" s="24" t="str">
        <f>VLOOKUP($B385,Custumer_Master!$A:$J,6,FALSE)</f>
        <v>Male</v>
      </c>
      <c r="H385" s="30" t="str">
        <f>VLOOKUP($B385,Custumer_Master!$A:$J,7,FALSE)</f>
        <v>03/08/1991</v>
      </c>
      <c r="I385" s="24" t="str">
        <f>VLOOKUP($B385,Custumer_Master!$A:$J,9,FALSE)</f>
        <v>Mumbai</v>
      </c>
      <c r="J385" s="24" t="str">
        <f>VLOOKUP($B385,Custumer_Master!$A:$J,10,FALSE)</f>
        <v>West</v>
      </c>
      <c r="K385" s="24" t="str">
        <f>VLOOKUP(B385,Custumer_Master!A:D,4,FALSE)</f>
        <v>DL</v>
      </c>
      <c r="L385" s="24" t="str">
        <f>PROPER(TRIM(VLOOKUP('Final Data'!C385,Product_Master!A:F,3,FALSE)))</f>
        <v>Stationery</v>
      </c>
      <c r="M385" s="24" t="s">
        <v>123</v>
      </c>
      <c r="N385" s="34">
        <v>5</v>
      </c>
      <c r="O385" s="192">
        <f>VLOOKUP(C385,Product_Master!A:F,5,FALSE)</f>
        <v>45</v>
      </c>
      <c r="P385" s="33">
        <v>0.05</v>
      </c>
      <c r="Q385" s="34">
        <f t="shared" si="15"/>
        <v>213.75</v>
      </c>
      <c r="R385" s="34">
        <v>1</v>
      </c>
      <c r="S385" s="24" t="s">
        <v>2149</v>
      </c>
      <c r="T385" s="24" t="s">
        <v>35</v>
      </c>
      <c r="U385" s="24" t="s">
        <v>228</v>
      </c>
      <c r="V385" s="34">
        <v>9688458222</v>
      </c>
      <c r="W385" s="24" t="str">
        <f>VLOOKUP(C385,Product_Master!A:F,4,FALSE)</f>
        <v>ABC Corp</v>
      </c>
      <c r="X385" s="34">
        <f>VLOOKUP(C385,Product_Master!A:F,6,FALSE)</f>
        <v>12</v>
      </c>
      <c r="Y385" s="24" t="str">
        <f>VLOOKUP(B385,Custumer_Master!A:D,3,FALSE)</f>
        <v>Gold</v>
      </c>
      <c r="Z385" s="30">
        <f>EDATE(E385,X385)</f>
        <v>46130</v>
      </c>
      <c r="AA385" s="29" t="str">
        <f>VLOOKUP(B385,Custumer_Master!A:K,11,)</f>
        <v>August</v>
      </c>
      <c r="AB385" s="24" t="s">
        <v>2160</v>
      </c>
      <c r="AC385" s="138" t="str">
        <f>PROPER(LEFT(TRIM(F385), 3)) &amp; RIGHT(TRIM(B385), 3) &amp; PROPER(LEFT(TRIM(I385), 2))</f>
        <v>Vik005Mu</v>
      </c>
      <c r="AD385" s="154">
        <f t="shared" ca="1" si="16"/>
        <v>34</v>
      </c>
      <c r="AE385" s="154">
        <f>IFERROR(IF(OR(E385="", D385="", LOWER(TRIM(E385))="pending", LOWER(TRIM(D385))="pending"), "Pending", E385 - D385), "Pending")</f>
        <v>11</v>
      </c>
      <c r="AF385" s="138" t="str">
        <f>IFERROR(IF(OR(E385="", D385="","Pending","Pending"), "Pending", IF((E385 - D385) &lt;= 5, "On Time", "Delayed")), "Pending")</f>
        <v>Delayed</v>
      </c>
      <c r="AG385" s="24" t="str">
        <f t="shared" si="17"/>
        <v>Completed</v>
      </c>
    </row>
    <row r="386" spans="1:33">
      <c r="A386" s="24" t="s">
        <v>1687</v>
      </c>
      <c r="B386" s="24" t="s">
        <v>127</v>
      </c>
      <c r="C386" s="24" t="s">
        <v>24</v>
      </c>
      <c r="D386" s="30">
        <v>46072</v>
      </c>
      <c r="E386" s="30" t="s">
        <v>1689</v>
      </c>
      <c r="F386" s="24" t="str">
        <f>VLOOKUP(B386,Custumer_Master!A:D,2,FALSE)</f>
        <v>Rohit Singh</v>
      </c>
      <c r="G386" s="24" t="str">
        <f>VLOOKUP($B386,Custumer_Master!$A:$J,6,FALSE)</f>
        <v>Male</v>
      </c>
      <c r="H386" s="30" t="str">
        <f>VLOOKUP($B386,Custumer_Master!$A:$J,7,FALSE)</f>
        <v>10/05/1982</v>
      </c>
      <c r="I386" s="24" t="str">
        <f>VLOOKUP($B386,Custumer_Master!$A:$J,9,FALSE)</f>
        <v>Delhi</v>
      </c>
      <c r="J386" s="24" t="str">
        <f>VLOOKUP($B386,Custumer_Master!$A:$J,10,FALSE)</f>
        <v>North</v>
      </c>
      <c r="K386" s="24" t="str">
        <f>VLOOKUP(B386,Custumer_Master!A:D,4,FALSE)</f>
        <v>DL</v>
      </c>
      <c r="L386" s="24" t="str">
        <f>PROPER(TRIM(VLOOKUP('Final Data'!C386,Product_Master!A:F,3,FALSE)))</f>
        <v>Home Appliances</v>
      </c>
      <c r="M386" s="24" t="s">
        <v>33</v>
      </c>
      <c r="N386" s="34">
        <v>17</v>
      </c>
      <c r="O386" s="192">
        <f>VLOOKUP(C386,Product_Master!A:F,5,FALSE)</f>
        <v>1650</v>
      </c>
      <c r="P386" s="33">
        <v>0</v>
      </c>
      <c r="Q386" s="34">
        <f t="shared" si="15"/>
        <v>28050</v>
      </c>
      <c r="R386" s="34">
        <v>2</v>
      </c>
      <c r="S386" s="24" t="s">
        <v>2149</v>
      </c>
      <c r="T386" s="24" t="s">
        <v>151</v>
      </c>
      <c r="U386" s="24" t="s">
        <v>132</v>
      </c>
      <c r="V386" s="34">
        <v>9634473337</v>
      </c>
      <c r="W386" s="24" t="str">
        <f>VLOOKUP(C386,Product_Master!A:F,4,FALSE)</f>
        <v>Global Trade</v>
      </c>
      <c r="X386" s="34">
        <f>VLOOKUP(C386,Product_Master!A:F,6,FALSE)</f>
        <v>24</v>
      </c>
      <c r="Y386" s="24" t="str">
        <f>VLOOKUP(B386,Custumer_Master!A:D,3,FALSE)</f>
        <v>Gold</v>
      </c>
      <c r="Z386" s="30">
        <f>EDATE(E386,X386)</f>
        <v>46806</v>
      </c>
      <c r="AA386" s="29" t="str">
        <f>VLOOKUP(B386,Custumer_Master!A:K,11,)</f>
        <v>May</v>
      </c>
      <c r="AB386" s="24" t="s">
        <v>2160</v>
      </c>
      <c r="AC386" s="138" t="str">
        <f>PROPER(LEFT(TRIM(F386), 3)) &amp; RIGHT(TRIM(B386), 3) &amp; PROPER(LEFT(TRIM(I386), 2))</f>
        <v>Roh003De</v>
      </c>
      <c r="AD386" s="154">
        <f t="shared" ca="1" si="16"/>
        <v>44</v>
      </c>
      <c r="AE386" s="154">
        <f>IFERROR(IF(OR(E386="", D386="", LOWER(TRIM(E386))="pending", LOWER(TRIM(D386))="pending"), "Pending", E386 - D386), "Pending")</f>
        <v>4</v>
      </c>
      <c r="AF386" s="138" t="str">
        <f>IFERROR(IF(OR(E386="", D386="","Pending","Pending"), "Pending", IF((E386 - D386) &lt;= 5, "On Time", "Delayed")), "Pending")</f>
        <v>On Time</v>
      </c>
      <c r="AG386" s="24" t="str">
        <f t="shared" si="17"/>
        <v>Completed</v>
      </c>
    </row>
    <row r="387" spans="1:33">
      <c r="A387" s="24" t="s">
        <v>1692</v>
      </c>
      <c r="B387" s="24" t="s">
        <v>168</v>
      </c>
      <c r="C387" s="24" t="s">
        <v>118</v>
      </c>
      <c r="D387" s="30">
        <v>45995</v>
      </c>
      <c r="E387" s="30" t="s">
        <v>610</v>
      </c>
      <c r="F387" s="24" t="str">
        <f>VLOOKUP(B387,Custumer_Master!A:D,2,FALSE)</f>
        <v>Anita Gupta</v>
      </c>
      <c r="G387" s="24" t="str">
        <f>VLOOKUP($B387,Custumer_Master!$A:$J,6,FALSE)</f>
        <v>Female</v>
      </c>
      <c r="H387" s="30" t="str">
        <f>VLOOKUP($B387,Custumer_Master!$A:$J,7,FALSE)</f>
        <v>16/01/2002</v>
      </c>
      <c r="I387" s="24" t="str">
        <f>VLOOKUP($B387,Custumer_Master!$A:$J,9,FALSE)</f>
        <v>Pune</v>
      </c>
      <c r="J387" s="24" t="str">
        <f>VLOOKUP($B387,Custumer_Master!$A:$J,10,FALSE)</f>
        <v>West</v>
      </c>
      <c r="K387" s="24" t="str">
        <f>VLOOKUP(B387,Custumer_Master!A:D,4,FALSE)</f>
        <v>WB</v>
      </c>
      <c r="L387" s="24" t="str">
        <f>PROPER(TRIM(VLOOKUP('Final Data'!C387,Product_Master!A:F,3,FALSE)))</f>
        <v>Stationery</v>
      </c>
      <c r="M387" s="24" t="s">
        <v>123</v>
      </c>
      <c r="N387" s="34">
        <v>7</v>
      </c>
      <c r="O387" s="192">
        <f>VLOOKUP(C387,Product_Master!A:F,5,FALSE)</f>
        <v>45</v>
      </c>
      <c r="P387" s="33">
        <v>0</v>
      </c>
      <c r="Q387" s="34">
        <f t="shared" ref="Q387:Q450" si="18">(N387*O387)-(N387*O387)*P387</f>
        <v>315</v>
      </c>
      <c r="R387" s="34">
        <v>2</v>
      </c>
      <c r="S387" s="24" t="s">
        <v>2149</v>
      </c>
      <c r="T387" s="24" t="s">
        <v>61</v>
      </c>
      <c r="U387" s="24" t="s">
        <v>175</v>
      </c>
      <c r="V387" s="34">
        <v>9608737026</v>
      </c>
      <c r="W387" s="24" t="str">
        <f>VLOOKUP(C387,Product_Master!A:F,4,FALSE)</f>
        <v>ABC Corp</v>
      </c>
      <c r="X387" s="34">
        <f>VLOOKUP(C387,Product_Master!A:F,6,FALSE)</f>
        <v>12</v>
      </c>
      <c r="Y387" s="24" t="str">
        <f>VLOOKUP(B387,Custumer_Master!A:D,3,FALSE)</f>
        <v>Gold</v>
      </c>
      <c r="Z387" s="30">
        <f>EDATE(E387,X387)</f>
        <v>46367</v>
      </c>
      <c r="AA387" s="29" t="str">
        <f>VLOOKUP(B387,Custumer_Master!A:K,11,)</f>
        <v>January</v>
      </c>
      <c r="AB387" s="24" t="s">
        <v>2160</v>
      </c>
      <c r="AC387" s="138" t="str">
        <f>PROPER(LEFT(TRIM(F387), 3)) &amp; RIGHT(TRIM(B387), 3) &amp; PROPER(LEFT(TRIM(I387), 2))</f>
        <v>Ani004Pu</v>
      </c>
      <c r="AD387" s="154">
        <f t="shared" ref="AD387:AD450" ca="1" si="19">DATEDIF(H387, TODAY(), "Y")</f>
        <v>24</v>
      </c>
      <c r="AE387" s="154">
        <f>IFERROR(IF(OR(E387="", D387="", LOWER(TRIM(E387))="pending", LOWER(TRIM(D387))="pending"), "Pending", E387 - D387), "Pending")</f>
        <v>7</v>
      </c>
      <c r="AF387" s="138" t="str">
        <f>IFERROR(IF(OR(E387="", D387="","Pending","Pending"), "Pending", IF((E387 - D387) &lt;= 5, "On Time", "Delayed")), "Pending")</f>
        <v>Delayed</v>
      </c>
      <c r="AG387" s="24" t="str">
        <f t="shared" ref="AG387:AG450" si="20">IF(AF387="Pending","Pending","Completed")</f>
        <v>Completed</v>
      </c>
    </row>
    <row r="388" spans="1:33">
      <c r="A388" s="24" t="s">
        <v>1695</v>
      </c>
      <c r="B388" s="24" t="s">
        <v>221</v>
      </c>
      <c r="C388" s="24" t="s">
        <v>54</v>
      </c>
      <c r="D388" s="30">
        <v>45950</v>
      </c>
      <c r="E388" s="30" t="s">
        <v>1696</v>
      </c>
      <c r="F388" s="24" t="str">
        <f>VLOOKUP(B388,Custumer_Master!A:D,2,FALSE)</f>
        <v>Vikas Mehta</v>
      </c>
      <c r="G388" s="24" t="str">
        <f>VLOOKUP($B388,Custumer_Master!$A:$J,6,FALSE)</f>
        <v>Male</v>
      </c>
      <c r="H388" s="30" t="str">
        <f>VLOOKUP($B388,Custumer_Master!$A:$J,7,FALSE)</f>
        <v>03/08/1991</v>
      </c>
      <c r="I388" s="24" t="str">
        <f>VLOOKUP($B388,Custumer_Master!$A:$J,9,FALSE)</f>
        <v>Mumbai</v>
      </c>
      <c r="J388" s="24" t="str">
        <f>VLOOKUP($B388,Custumer_Master!$A:$J,10,FALSE)</f>
        <v>West</v>
      </c>
      <c r="K388" s="24" t="str">
        <f>VLOOKUP(B388,Custumer_Master!A:D,4,FALSE)</f>
        <v>DL</v>
      </c>
      <c r="L388" s="24" t="str">
        <f>PROPER(TRIM(VLOOKUP('Final Data'!C388,Product_Master!A:F,3,FALSE)))</f>
        <v>Electronics</v>
      </c>
      <c r="M388" s="24" t="s">
        <v>60</v>
      </c>
      <c r="N388" s="34">
        <v>6</v>
      </c>
      <c r="O388" s="192">
        <f>VLOOKUP(C388,Product_Master!A:F,5,FALSE)</f>
        <v>41250</v>
      </c>
      <c r="P388" s="33">
        <v>0.05</v>
      </c>
      <c r="Q388" s="34">
        <f t="shared" si="18"/>
        <v>235125</v>
      </c>
      <c r="R388" s="34">
        <v>4</v>
      </c>
      <c r="S388" s="24" t="s">
        <v>79</v>
      </c>
      <c r="T388" s="24" t="s">
        <v>61</v>
      </c>
      <c r="U388" s="24" t="s">
        <v>228</v>
      </c>
      <c r="V388" s="34">
        <v>9804498139</v>
      </c>
      <c r="W388" s="24" t="str">
        <f>VLOOKUP(C388,Product_Master!A:F,4,FALSE)</f>
        <v>TechHub</v>
      </c>
      <c r="X388" s="34">
        <f>VLOOKUP(C388,Product_Master!A:F,6,FALSE)</f>
        <v>12</v>
      </c>
      <c r="Y388" s="24" t="str">
        <f>VLOOKUP(B388,Custumer_Master!A:D,3,FALSE)</f>
        <v>Gold</v>
      </c>
      <c r="Z388" s="30">
        <f>EDATE(E388,X388)</f>
        <v>46319</v>
      </c>
      <c r="AA388" s="29" t="str">
        <f>VLOOKUP(B388,Custumer_Master!A:K,11,)</f>
        <v>August</v>
      </c>
      <c r="AB388" s="24" t="s">
        <v>2110</v>
      </c>
      <c r="AC388" s="138" t="str">
        <f>PROPER(LEFT(TRIM(F388), 3)) &amp; RIGHT(TRIM(B388), 3) &amp; PROPER(LEFT(TRIM(I388), 2))</f>
        <v>Vik005Mu</v>
      </c>
      <c r="AD388" s="154">
        <f t="shared" ca="1" si="19"/>
        <v>34</v>
      </c>
      <c r="AE388" s="154">
        <f>IFERROR(IF(OR(E388="", D388="", LOWER(TRIM(E388))="pending", LOWER(TRIM(D388))="pending"), "Pending", E388 - D388), "Pending")</f>
        <v>4</v>
      </c>
      <c r="AF388" s="138" t="str">
        <f>IFERROR(IF(OR(E388="", D388="","Pending","Pending"), "Pending", IF((E388 - D388) &lt;= 5, "On Time", "Delayed")), "Pending")</f>
        <v>On Time</v>
      </c>
      <c r="AG388" s="24" t="str">
        <f t="shared" si="20"/>
        <v>Completed</v>
      </c>
    </row>
    <row r="389" spans="1:33">
      <c r="A389" s="24" t="s">
        <v>1699</v>
      </c>
      <c r="B389" s="24" t="s">
        <v>71</v>
      </c>
      <c r="C389" s="24" t="s">
        <v>222</v>
      </c>
      <c r="D389" s="30">
        <v>46043</v>
      </c>
      <c r="E389" s="30" t="s">
        <v>1700</v>
      </c>
      <c r="F389" s="24" t="str">
        <f>VLOOKUP(B389,Custumer_Master!A:D,2,FALSE)</f>
        <v>Mohit Verma</v>
      </c>
      <c r="G389" s="24" t="str">
        <f>VLOOKUP($B389,Custumer_Master!$A:$J,6,FALSE)</f>
        <v>Male</v>
      </c>
      <c r="H389" s="30" t="str">
        <f>VLOOKUP($B389,Custumer_Master!$A:$J,7,FALSE)</f>
        <v>13/04/1976</v>
      </c>
      <c r="I389" s="24" t="str">
        <f>VLOOKUP($B389,Custumer_Master!$A:$J,9,FALSE)</f>
        <v>Delhi</v>
      </c>
      <c r="J389" s="24" t="str">
        <f>VLOOKUP($B389,Custumer_Master!$A:$J,10,FALSE)</f>
        <v>North</v>
      </c>
      <c r="K389" s="24" t="str">
        <f>VLOOKUP(B389,Custumer_Master!A:D,4,FALSE)</f>
        <v>KA</v>
      </c>
      <c r="L389" s="24" t="str">
        <f>PROPER(TRIM(VLOOKUP('Final Data'!C389,Product_Master!A:F,3,FALSE)))</f>
        <v>Stationery</v>
      </c>
      <c r="M389" s="24" t="s">
        <v>227</v>
      </c>
      <c r="N389" s="34">
        <v>16</v>
      </c>
      <c r="O389" s="192">
        <f>VLOOKUP(C389,Product_Master!A:F,5,FALSE)</f>
        <v>15</v>
      </c>
      <c r="P389" s="33">
        <v>0.05</v>
      </c>
      <c r="Q389" s="34">
        <f t="shared" si="18"/>
        <v>228</v>
      </c>
      <c r="R389" s="34">
        <v>1</v>
      </c>
      <c r="S389" s="24" t="s">
        <v>79</v>
      </c>
      <c r="T389" s="24" t="s">
        <v>49</v>
      </c>
      <c r="U389" s="24" t="s">
        <v>80</v>
      </c>
      <c r="V389" s="34">
        <v>9798643580</v>
      </c>
      <c r="W389" s="24" t="str">
        <f>VLOOKUP(C389,Product_Master!A:F,4,FALSE)</f>
        <v>Prime Supplies</v>
      </c>
      <c r="X389" s="34">
        <f>VLOOKUP(C389,Product_Master!A:F,6,FALSE)</f>
        <v>12</v>
      </c>
      <c r="Y389" s="24" t="str">
        <f>VLOOKUP(B389,Custumer_Master!A:D,3,FALSE)</f>
        <v>Platinum</v>
      </c>
      <c r="Z389" s="30">
        <f>EDATE(E389,X389)</f>
        <v>46412</v>
      </c>
      <c r="AA389" s="29" t="str">
        <f>VLOOKUP(B389,Custumer_Master!A:K,11,)</f>
        <v>April</v>
      </c>
      <c r="AB389" s="24" t="s">
        <v>2160</v>
      </c>
      <c r="AC389" s="138" t="str">
        <f>PROPER(LEFT(TRIM(F389), 3)) &amp; RIGHT(TRIM(B389), 3) &amp; PROPER(LEFT(TRIM(I389), 2))</f>
        <v>Moh009De</v>
      </c>
      <c r="AD389" s="154">
        <f t="shared" ca="1" si="19"/>
        <v>50</v>
      </c>
      <c r="AE389" s="154">
        <f>IFERROR(IF(OR(E389="", D389="", LOWER(TRIM(E389))="pending", LOWER(TRIM(D389))="pending"), "Pending", E389 - D389), "Pending")</f>
        <v>4</v>
      </c>
      <c r="AF389" s="138" t="str">
        <f>IFERROR(IF(OR(E389="", D389="","Pending","Pending"), "Pending", IF((E389 - D389) &lt;= 5, "On Time", "Delayed")), "Pending")</f>
        <v>On Time</v>
      </c>
      <c r="AG389" s="24" t="str">
        <f t="shared" si="20"/>
        <v>Completed</v>
      </c>
    </row>
    <row r="390" spans="1:33">
      <c r="A390" s="24" t="s">
        <v>1703</v>
      </c>
      <c r="B390" s="24" t="s">
        <v>23</v>
      </c>
      <c r="C390" s="24" t="s">
        <v>24</v>
      </c>
      <c r="D390" s="30">
        <v>45682</v>
      </c>
      <c r="E390" s="30" t="s">
        <v>1705</v>
      </c>
      <c r="F390" s="24" t="str">
        <f>VLOOKUP(B390,Custumer_Master!A:D,2,FALSE)</f>
        <v>Kavya Nair</v>
      </c>
      <c r="G390" s="24" t="str">
        <f>VLOOKUP($B390,Custumer_Master!$A:$J,6,FALSE)</f>
        <v>Female</v>
      </c>
      <c r="H390" s="30" t="str">
        <f>VLOOKUP($B390,Custumer_Master!$A:$J,7,FALSE)</f>
        <v>01/08/1976</v>
      </c>
      <c r="I390" s="24" t="str">
        <f>VLOOKUP($B390,Custumer_Master!$A:$J,9,FALSE)</f>
        <v>Hyderabad</v>
      </c>
      <c r="J390" s="24" t="str">
        <f>VLOOKUP($B390,Custumer_Master!$A:$J,10,FALSE)</f>
        <v>South</v>
      </c>
      <c r="K390" s="24" t="str">
        <f>VLOOKUP(B390,Custumer_Master!A:D,4,FALSE)</f>
        <v>WB</v>
      </c>
      <c r="L390" s="24" t="str">
        <f>PROPER(TRIM(VLOOKUP('Final Data'!C390,Product_Master!A:F,3,FALSE)))</f>
        <v>Home Appliances</v>
      </c>
      <c r="M390" s="24" t="s">
        <v>33</v>
      </c>
      <c r="N390" s="34">
        <v>11</v>
      </c>
      <c r="O390" s="192">
        <f>VLOOKUP(C390,Product_Master!A:F,5,FALSE)</f>
        <v>1650</v>
      </c>
      <c r="P390" s="33">
        <v>0.15</v>
      </c>
      <c r="Q390" s="34">
        <f t="shared" si="18"/>
        <v>15427.5</v>
      </c>
      <c r="R390" s="34">
        <v>1</v>
      </c>
      <c r="S390" s="24" t="s">
        <v>2148</v>
      </c>
      <c r="T390" s="24" t="s">
        <v>115</v>
      </c>
      <c r="U390" s="24" t="s">
        <v>50</v>
      </c>
      <c r="V390" s="34">
        <v>9809823278</v>
      </c>
      <c r="W390" s="24" t="str">
        <f>VLOOKUP(C390,Product_Master!A:F,4,FALSE)</f>
        <v>Global Trade</v>
      </c>
      <c r="X390" s="34">
        <f>VLOOKUP(C390,Product_Master!A:F,6,FALSE)</f>
        <v>24</v>
      </c>
      <c r="Y390" s="24" t="str">
        <f>VLOOKUP(B390,Custumer_Master!A:D,3,FALSE)</f>
        <v>Silver</v>
      </c>
      <c r="Z390" s="30">
        <f>EDATE(E390,X390)</f>
        <v>46415</v>
      </c>
      <c r="AA390" s="29" t="str">
        <f>VLOOKUP(B390,Custumer_Master!A:K,11,)</f>
        <v>August</v>
      </c>
      <c r="AB390" s="24" t="s">
        <v>2160</v>
      </c>
      <c r="AC390" s="138" t="str">
        <f>PROPER(LEFT(TRIM(F390), 3)) &amp; RIGHT(TRIM(B390), 3) &amp; PROPER(LEFT(TRIM(I390), 2))</f>
        <v>Kav008Hy</v>
      </c>
      <c r="AD390" s="154">
        <f t="shared" ca="1" si="19"/>
        <v>49</v>
      </c>
      <c r="AE390" s="154">
        <f>IFERROR(IF(OR(E390="", D390="", LOWER(TRIM(E390))="pending", LOWER(TRIM(D390))="pending"), "Pending", E390 - D390), "Pending")</f>
        <v>3</v>
      </c>
      <c r="AF390" s="138" t="str">
        <f>IFERROR(IF(OR(E390="", D390="","Pending","Pending"), "Pending", IF((E390 - D390) &lt;= 5, "On Time", "Delayed")), "Pending")</f>
        <v>On Time</v>
      </c>
      <c r="AG390" s="24" t="str">
        <f t="shared" si="20"/>
        <v>Completed</v>
      </c>
    </row>
    <row r="391" spans="1:33">
      <c r="A391" s="24" t="s">
        <v>1708</v>
      </c>
      <c r="B391" s="24" t="s">
        <v>100</v>
      </c>
      <c r="C391" s="24" t="s">
        <v>222</v>
      </c>
      <c r="D391" s="30">
        <v>45716</v>
      </c>
      <c r="E391" s="30" t="s">
        <v>1409</v>
      </c>
      <c r="F391" s="24" t="str">
        <f>VLOOKUP(B391,Custumer_Master!A:D,2,FALSE)</f>
        <v>Priya Patel</v>
      </c>
      <c r="G391" s="24" t="str">
        <f>VLOOKUP($B391,Custumer_Master!$A:$J,6,FALSE)</f>
        <v>Female</v>
      </c>
      <c r="H391" s="30" t="str">
        <f>VLOOKUP($B391,Custumer_Master!$A:$J,7,FALSE)</f>
        <v>07/03/1995</v>
      </c>
      <c r="I391" s="24" t="str">
        <f>VLOOKUP($B391,Custumer_Master!$A:$J,9,FALSE)</f>
        <v>Mumbai</v>
      </c>
      <c r="J391" s="24" t="str">
        <f>VLOOKUP($B391,Custumer_Master!$A:$J,10,FALSE)</f>
        <v>West</v>
      </c>
      <c r="K391" s="24" t="str">
        <f>VLOOKUP(B391,Custumer_Master!A:D,4,FALSE)</f>
        <v>WB</v>
      </c>
      <c r="L391" s="24" t="str">
        <f>PROPER(TRIM(VLOOKUP('Final Data'!C391,Product_Master!A:F,3,FALSE)))</f>
        <v>Stationery</v>
      </c>
      <c r="M391" s="24" t="s">
        <v>227</v>
      </c>
      <c r="N391" s="34">
        <v>19</v>
      </c>
      <c r="O391" s="192">
        <f>VLOOKUP(C391,Product_Master!A:F,5,FALSE)</f>
        <v>15</v>
      </c>
      <c r="P391" s="33">
        <v>0.05</v>
      </c>
      <c r="Q391" s="34">
        <f t="shared" si="18"/>
        <v>270.75</v>
      </c>
      <c r="R391" s="34">
        <v>4</v>
      </c>
      <c r="S391" s="24" t="s">
        <v>2149</v>
      </c>
      <c r="T391" s="24" t="s">
        <v>35</v>
      </c>
      <c r="U391" s="24" t="s">
        <v>144</v>
      </c>
      <c r="V391" s="34">
        <v>9177767854</v>
      </c>
      <c r="W391" s="24" t="str">
        <f>VLOOKUP(C391,Product_Master!A:F,4,FALSE)</f>
        <v>Prime Supplies</v>
      </c>
      <c r="X391" s="34">
        <f>VLOOKUP(C391,Product_Master!A:F,6,FALSE)</f>
        <v>12</v>
      </c>
      <c r="Y391" s="24" t="str">
        <f>VLOOKUP(B391,Custumer_Master!A:D,3,FALSE)</f>
        <v>Platinum</v>
      </c>
      <c r="Z391" s="30">
        <f>EDATE(E391,X391)</f>
        <v>46083</v>
      </c>
      <c r="AA391" s="29" t="str">
        <f>VLOOKUP(B391,Custumer_Master!A:K,11,)</f>
        <v>March</v>
      </c>
      <c r="AB391" s="24" t="s">
        <v>2108</v>
      </c>
      <c r="AC391" s="138" t="str">
        <f>PROPER(LEFT(TRIM(F391), 3)) &amp; RIGHT(TRIM(B391), 3) &amp; PROPER(LEFT(TRIM(I391), 2))</f>
        <v>Pri002Mu</v>
      </c>
      <c r="AD391" s="154">
        <f t="shared" ca="1" si="19"/>
        <v>31</v>
      </c>
      <c r="AE391" s="154">
        <f>IFERROR(IF(OR(E391="", D391="", LOWER(TRIM(E391))="pending", LOWER(TRIM(D391))="pending"), "Pending", E391 - D391), "Pending")</f>
        <v>2</v>
      </c>
      <c r="AF391" s="138" t="str">
        <f>IFERROR(IF(OR(E391="", D391="","Pending","Pending"), "Pending", IF((E391 - D391) &lt;= 5, "On Time", "Delayed")), "Pending")</f>
        <v>On Time</v>
      </c>
      <c r="AG391" s="24" t="str">
        <f t="shared" si="20"/>
        <v>Completed</v>
      </c>
    </row>
    <row r="392" spans="1:33">
      <c r="A392" s="24" t="s">
        <v>1711</v>
      </c>
      <c r="B392" s="24" t="s">
        <v>100</v>
      </c>
      <c r="C392" s="24" t="s">
        <v>72</v>
      </c>
      <c r="D392" s="30">
        <v>45828</v>
      </c>
      <c r="E392" s="30" t="s">
        <v>1713</v>
      </c>
      <c r="F392" s="24" t="str">
        <f>VLOOKUP(B392,Custumer_Master!A:D,2,FALSE)</f>
        <v>Priya Patel</v>
      </c>
      <c r="G392" s="24" t="str">
        <f>VLOOKUP($B392,Custumer_Master!$A:$J,6,FALSE)</f>
        <v>Female</v>
      </c>
      <c r="H392" s="30" t="str">
        <f>VLOOKUP($B392,Custumer_Master!$A:$J,7,FALSE)</f>
        <v>07/03/1995</v>
      </c>
      <c r="I392" s="24" t="str">
        <f>VLOOKUP($B392,Custumer_Master!$A:$J,9,FALSE)</f>
        <v>Mumbai</v>
      </c>
      <c r="J392" s="24" t="str">
        <f>VLOOKUP($B392,Custumer_Master!$A:$J,10,FALSE)</f>
        <v>West</v>
      </c>
      <c r="K392" s="24" t="str">
        <f>VLOOKUP(B392,Custumer_Master!A:D,4,FALSE)</f>
        <v>WB</v>
      </c>
      <c r="L392" s="24" t="str">
        <f>PROPER(TRIM(VLOOKUP('Final Data'!C392,Product_Master!A:F,3,FALSE)))</f>
        <v>Electronics</v>
      </c>
      <c r="M392" s="24" t="s">
        <v>78</v>
      </c>
      <c r="N392" s="34">
        <v>20</v>
      </c>
      <c r="O392" s="192">
        <f>VLOOKUP(C392,Product_Master!A:F,5,FALSE)</f>
        <v>900</v>
      </c>
      <c r="P392" s="33">
        <v>0.15</v>
      </c>
      <c r="Q392" s="34">
        <f t="shared" si="18"/>
        <v>15300</v>
      </c>
      <c r="R392" s="34">
        <v>4</v>
      </c>
      <c r="S392" s="24" t="s">
        <v>79</v>
      </c>
      <c r="T392" s="24" t="s">
        <v>35</v>
      </c>
      <c r="U392" s="24" t="s">
        <v>144</v>
      </c>
      <c r="V392" s="34">
        <v>9643440006</v>
      </c>
      <c r="W392" s="24" t="str">
        <f>VLOOKUP(C392,Product_Master!A:F,4,FALSE)</f>
        <v>TechHub</v>
      </c>
      <c r="X392" s="34">
        <f>VLOOKUP(C392,Product_Master!A:F,6,FALSE)</f>
        <v>6</v>
      </c>
      <c r="Y392" s="24" t="str">
        <f>VLOOKUP(B392,Custumer_Master!A:D,3,FALSE)</f>
        <v>Platinum</v>
      </c>
      <c r="Z392" s="30">
        <f>EDATE(E392,X392)</f>
        <v>46012</v>
      </c>
      <c r="AA392" s="29" t="str">
        <f>VLOOKUP(B392,Custumer_Master!A:K,11,)</f>
        <v>March</v>
      </c>
      <c r="AB392" s="24" t="s">
        <v>2108</v>
      </c>
      <c r="AC392" s="138" t="str">
        <f>PROPER(LEFT(TRIM(F392), 3)) &amp; RIGHT(TRIM(B392), 3) &amp; PROPER(LEFT(TRIM(I392), 2))</f>
        <v>Pri002Mu</v>
      </c>
      <c r="AD392" s="154">
        <f t="shared" ca="1" si="19"/>
        <v>31</v>
      </c>
      <c r="AE392" s="154">
        <f>IFERROR(IF(OR(E392="", D392="", LOWER(TRIM(E392))="pending", LOWER(TRIM(D392))="pending"), "Pending", E392 - D392), "Pending")</f>
        <v>1</v>
      </c>
      <c r="AF392" s="138" t="str">
        <f>IFERROR(IF(OR(E392="", D392="","Pending","Pending"), "Pending", IF((E392 - D392) &lt;= 5, "On Time", "Delayed")), "Pending")</f>
        <v>On Time</v>
      </c>
      <c r="AG392" s="24" t="str">
        <f t="shared" si="20"/>
        <v>Completed</v>
      </c>
    </row>
    <row r="393" spans="1:33">
      <c r="A393" s="24" t="s">
        <v>1716</v>
      </c>
      <c r="B393" s="24" t="s">
        <v>53</v>
      </c>
      <c r="C393" s="24" t="s">
        <v>222</v>
      </c>
      <c r="D393" s="30">
        <v>45805</v>
      </c>
      <c r="E393" s="30" t="s">
        <v>1718</v>
      </c>
      <c r="F393" s="24" t="str">
        <f>VLOOKUP(B393,Custumer_Master!A:D,2,FALSE)</f>
        <v>Pooja Shah</v>
      </c>
      <c r="G393" s="24" t="str">
        <f>VLOOKUP($B393,Custumer_Master!$A:$J,6,FALSE)</f>
        <v>Female</v>
      </c>
      <c r="H393" s="30" t="str">
        <f>VLOOKUP($B393,Custumer_Master!$A:$J,7,FALSE)</f>
        <v>16/09/1994</v>
      </c>
      <c r="I393" s="24" t="str">
        <f>VLOOKUP($B393,Custumer_Master!$A:$J,9,FALSE)</f>
        <v>Bengaluru</v>
      </c>
      <c r="J393" s="24" t="str">
        <f>VLOOKUP($B393,Custumer_Master!$A:$J,10,FALSE)</f>
        <v>South</v>
      </c>
      <c r="K393" s="24" t="str">
        <f>VLOOKUP(B393,Custumer_Master!A:D,4,FALSE)</f>
        <v>WB</v>
      </c>
      <c r="L393" s="24" t="str">
        <f>PROPER(TRIM(VLOOKUP('Final Data'!C393,Product_Master!A:F,3,FALSE)))</f>
        <v>Stationery</v>
      </c>
      <c r="M393" s="24" t="s">
        <v>227</v>
      </c>
      <c r="N393" s="34">
        <v>13</v>
      </c>
      <c r="O393" s="192">
        <f>VLOOKUP(C393,Product_Master!A:F,5,FALSE)</f>
        <v>15</v>
      </c>
      <c r="P393" s="33">
        <v>0.15</v>
      </c>
      <c r="Q393" s="34">
        <f t="shared" si="18"/>
        <v>165.75</v>
      </c>
      <c r="R393" s="34">
        <v>4</v>
      </c>
      <c r="S393" s="24" t="s">
        <v>34</v>
      </c>
      <c r="T393" s="24" t="s">
        <v>35</v>
      </c>
      <c r="U393" s="24" t="s">
        <v>62</v>
      </c>
      <c r="V393" s="34">
        <v>9673698825</v>
      </c>
      <c r="W393" s="24" t="str">
        <f>VLOOKUP(C393,Product_Master!A:F,4,FALSE)</f>
        <v>Prime Supplies</v>
      </c>
      <c r="X393" s="34">
        <f>VLOOKUP(C393,Product_Master!A:F,6,FALSE)</f>
        <v>12</v>
      </c>
      <c r="Y393" s="24" t="str">
        <f>VLOOKUP(B393,Custumer_Master!A:D,3,FALSE)</f>
        <v>Silver</v>
      </c>
      <c r="Z393" s="30">
        <f>EDATE(E393,X393)</f>
        <v>46179</v>
      </c>
      <c r="AA393" s="29" t="str">
        <f>VLOOKUP(B393,Custumer_Master!A:K,11,)</f>
        <v>September</v>
      </c>
      <c r="AB393" s="24" t="s">
        <v>2108</v>
      </c>
      <c r="AC393" s="138" t="str">
        <f>PROPER(LEFT(TRIM(F393), 3)) &amp; RIGHT(TRIM(B393), 3) &amp; PROPER(LEFT(TRIM(I393), 2))</f>
        <v>Poo010Be</v>
      </c>
      <c r="AD393" s="154">
        <f t="shared" ca="1" si="19"/>
        <v>31</v>
      </c>
      <c r="AE393" s="154">
        <f>IFERROR(IF(OR(E393="", D393="", LOWER(TRIM(E393))="pending", LOWER(TRIM(D393))="pending"), "Pending", E393 - D393), "Pending")</f>
        <v>9</v>
      </c>
      <c r="AF393" s="138" t="str">
        <f>IFERROR(IF(OR(E393="", D393="","Pending","Pending"), "Pending", IF((E393 - D393) &lt;= 5, "On Time", "Delayed")), "Pending")</f>
        <v>Delayed</v>
      </c>
      <c r="AG393" s="24" t="str">
        <f t="shared" si="20"/>
        <v>Completed</v>
      </c>
    </row>
    <row r="394" spans="1:33">
      <c r="A394" s="24" t="s">
        <v>1721</v>
      </c>
      <c r="B394" s="24" t="s">
        <v>251</v>
      </c>
      <c r="C394" s="24" t="s">
        <v>72</v>
      </c>
      <c r="D394" s="30">
        <v>45660</v>
      </c>
      <c r="E394" s="30" t="s">
        <v>206</v>
      </c>
      <c r="F394" s="24" t="str">
        <f>VLOOKUP(B394,Custumer_Master!A:D,2,FALSE)</f>
        <v>Sneha Joshi</v>
      </c>
      <c r="G394" s="24" t="str">
        <f>VLOOKUP($B394,Custumer_Master!$A:$J,6,FALSE)</f>
        <v>Female</v>
      </c>
      <c r="H394" s="30" t="str">
        <f>VLOOKUP($B394,Custumer_Master!$A:$J,7,FALSE)</f>
        <v>04/04/1981</v>
      </c>
      <c r="I394" s="24" t="str">
        <f>VLOOKUP($B394,Custumer_Master!$A:$J,9,FALSE)</f>
        <v>Pune</v>
      </c>
      <c r="J394" s="24" t="str">
        <f>VLOOKUP($B394,Custumer_Master!$A:$J,10,FALSE)</f>
        <v>West</v>
      </c>
      <c r="K394" s="24" t="str">
        <f>VLOOKUP(B394,Custumer_Master!A:D,4,FALSE)</f>
        <v>WB</v>
      </c>
      <c r="L394" s="24" t="str">
        <f>PROPER(TRIM(VLOOKUP('Final Data'!C394,Product_Master!A:F,3,FALSE)))</f>
        <v>Electronics</v>
      </c>
      <c r="M394" s="24" t="s">
        <v>78</v>
      </c>
      <c r="N394" s="34">
        <v>12</v>
      </c>
      <c r="O394" s="192">
        <f>VLOOKUP(C394,Product_Master!A:F,5,FALSE)</f>
        <v>900</v>
      </c>
      <c r="P394" s="33">
        <v>0.1</v>
      </c>
      <c r="Q394" s="34">
        <f t="shared" si="18"/>
        <v>9720</v>
      </c>
      <c r="R394" s="34">
        <v>3</v>
      </c>
      <c r="S394" s="24" t="s">
        <v>2148</v>
      </c>
      <c r="T394" s="24" t="s">
        <v>35</v>
      </c>
      <c r="U394" s="24" t="s">
        <v>256</v>
      </c>
      <c r="V394" s="34">
        <v>9706238784</v>
      </c>
      <c r="W394" s="24" t="str">
        <f>VLOOKUP(C394,Product_Master!A:F,4,FALSE)</f>
        <v>TechHub</v>
      </c>
      <c r="X394" s="34">
        <f>VLOOKUP(C394,Product_Master!A:F,6,FALSE)</f>
        <v>6</v>
      </c>
      <c r="Y394" s="24" t="str">
        <f>VLOOKUP(B394,Custumer_Master!A:D,3,FALSE)</f>
        <v>Gold</v>
      </c>
      <c r="Z394" s="30">
        <f>EDATE(E394,X394)</f>
        <v>45846</v>
      </c>
      <c r="AA394" s="29" t="str">
        <f>VLOOKUP(B394,Custumer_Master!A:K,11,)</f>
        <v>April</v>
      </c>
      <c r="AB394" s="24" t="s">
        <v>2108</v>
      </c>
      <c r="AC394" s="138" t="str">
        <f>PROPER(LEFT(TRIM(F394), 3)) &amp; RIGHT(TRIM(B394), 3) &amp; PROPER(LEFT(TRIM(I394), 2))</f>
        <v>Sne006Pu</v>
      </c>
      <c r="AD394" s="154">
        <f t="shared" ca="1" si="19"/>
        <v>45</v>
      </c>
      <c r="AE394" s="154">
        <f>IFERROR(IF(OR(E394="", D394="", LOWER(TRIM(E394))="pending", LOWER(TRIM(D394))="pending"), "Pending", E394 - D394), "Pending")</f>
        <v>5</v>
      </c>
      <c r="AF394" s="138" t="str">
        <f>IFERROR(IF(OR(E394="", D394="","Pending","Pending"), "Pending", IF((E394 - D394) &lt;= 5, "On Time", "Delayed")), "Pending")</f>
        <v>On Time</v>
      </c>
      <c r="AG394" s="24" t="str">
        <f t="shared" si="20"/>
        <v>Completed</v>
      </c>
    </row>
    <row r="395" spans="1:33">
      <c r="A395" s="24" t="s">
        <v>1724</v>
      </c>
      <c r="B395" s="24" t="s">
        <v>100</v>
      </c>
      <c r="C395" s="24" t="s">
        <v>169</v>
      </c>
      <c r="D395" s="30">
        <v>45685</v>
      </c>
      <c r="E395" s="30" t="s">
        <v>783</v>
      </c>
      <c r="F395" s="24" t="str">
        <f>VLOOKUP(B395,Custumer_Master!A:D,2,FALSE)</f>
        <v>Priya Patel</v>
      </c>
      <c r="G395" s="24" t="str">
        <f>VLOOKUP($B395,Custumer_Master!$A:$J,6,FALSE)</f>
        <v>Female</v>
      </c>
      <c r="H395" s="30" t="str">
        <f>VLOOKUP($B395,Custumer_Master!$A:$J,7,FALSE)</f>
        <v>07/03/1995</v>
      </c>
      <c r="I395" s="24" t="str">
        <f>VLOOKUP($B395,Custumer_Master!$A:$J,9,FALSE)</f>
        <v>Mumbai</v>
      </c>
      <c r="J395" s="24" t="str">
        <f>VLOOKUP($B395,Custumer_Master!$A:$J,10,FALSE)</f>
        <v>West</v>
      </c>
      <c r="K395" s="24" t="str">
        <f>VLOOKUP(B395,Custumer_Master!A:D,4,FALSE)</f>
        <v>WB</v>
      </c>
      <c r="L395" s="24" t="str">
        <f>PROPER(TRIM(VLOOKUP('Final Data'!C395,Product_Master!A:F,3,FALSE)))</f>
        <v>Home Appliances</v>
      </c>
      <c r="M395" s="24" t="s">
        <v>174</v>
      </c>
      <c r="N395" s="34">
        <v>6</v>
      </c>
      <c r="O395" s="192">
        <f>VLOOKUP(C395,Product_Master!A:F,5,FALSE)</f>
        <v>6375</v>
      </c>
      <c r="P395" s="33">
        <v>0.05</v>
      </c>
      <c r="Q395" s="34">
        <f t="shared" si="18"/>
        <v>36337.5</v>
      </c>
      <c r="R395" s="34">
        <v>5</v>
      </c>
      <c r="S395" s="24" t="s">
        <v>34</v>
      </c>
      <c r="T395" s="24" t="s">
        <v>115</v>
      </c>
      <c r="U395" s="24" t="s">
        <v>144</v>
      </c>
      <c r="V395" s="34">
        <v>9132959877</v>
      </c>
      <c r="W395" s="24" t="str">
        <f>VLOOKUP(C395,Product_Master!A:F,4,FALSE)</f>
        <v>TechHub</v>
      </c>
      <c r="X395" s="34">
        <f>VLOOKUP(C395,Product_Master!A:F,6,FALSE)</f>
        <v>24</v>
      </c>
      <c r="Y395" s="24" t="str">
        <f>VLOOKUP(B395,Custumer_Master!A:D,3,FALSE)</f>
        <v>Platinum</v>
      </c>
      <c r="Z395" s="30">
        <f>EDATE(E395,X395)</f>
        <v>46416</v>
      </c>
      <c r="AA395" s="29" t="str">
        <f>VLOOKUP(B395,Custumer_Master!A:K,11,)</f>
        <v>March</v>
      </c>
      <c r="AB395" s="24" t="s">
        <v>2108</v>
      </c>
      <c r="AC395" s="138" t="str">
        <f>PROPER(LEFT(TRIM(F395), 3)) &amp; RIGHT(TRIM(B395), 3) &amp; PROPER(LEFT(TRIM(I395), 2))</f>
        <v>Pri002Mu</v>
      </c>
      <c r="AD395" s="154">
        <f t="shared" ca="1" si="19"/>
        <v>31</v>
      </c>
      <c r="AE395" s="154">
        <f>IFERROR(IF(OR(E395="", D395="", LOWER(TRIM(E395))="pending", LOWER(TRIM(D395))="pending"), "Pending", E395 - D395), "Pending")</f>
        <v>1</v>
      </c>
      <c r="AF395" s="138" t="str">
        <f>IFERROR(IF(OR(E395="", D395="","Pending","Pending"), "Pending", IF((E395 - D395) &lt;= 5, "On Time", "Delayed")), "Pending")</f>
        <v>On Time</v>
      </c>
      <c r="AG395" s="24" t="str">
        <f t="shared" si="20"/>
        <v>Completed</v>
      </c>
    </row>
    <row r="396" spans="1:33">
      <c r="A396" s="24" t="s">
        <v>1727</v>
      </c>
      <c r="B396" s="24" t="s">
        <v>23</v>
      </c>
      <c r="C396" s="24" t="s">
        <v>169</v>
      </c>
      <c r="D396" s="30">
        <v>46071</v>
      </c>
      <c r="E396" s="30" t="s">
        <v>1728</v>
      </c>
      <c r="F396" s="24" t="str">
        <f>VLOOKUP(B396,Custumer_Master!A:D,2,FALSE)</f>
        <v>Kavya Nair</v>
      </c>
      <c r="G396" s="24" t="str">
        <f>VLOOKUP($B396,Custumer_Master!$A:$J,6,FALSE)</f>
        <v>Female</v>
      </c>
      <c r="H396" s="30" t="str">
        <f>VLOOKUP($B396,Custumer_Master!$A:$J,7,FALSE)</f>
        <v>01/08/1976</v>
      </c>
      <c r="I396" s="24" t="str">
        <f>VLOOKUP($B396,Custumer_Master!$A:$J,9,FALSE)</f>
        <v>Hyderabad</v>
      </c>
      <c r="J396" s="24" t="str">
        <f>VLOOKUP($B396,Custumer_Master!$A:$J,10,FALSE)</f>
        <v>South</v>
      </c>
      <c r="K396" s="24" t="str">
        <f>VLOOKUP(B396,Custumer_Master!A:D,4,FALSE)</f>
        <v>WB</v>
      </c>
      <c r="L396" s="24" t="str">
        <f>PROPER(TRIM(VLOOKUP('Final Data'!C396,Product_Master!A:F,3,FALSE)))</f>
        <v>Home Appliances</v>
      </c>
      <c r="M396" s="24" t="s">
        <v>174</v>
      </c>
      <c r="N396" s="34">
        <v>15</v>
      </c>
      <c r="O396" s="192">
        <f>VLOOKUP(C396,Product_Master!A:F,5,FALSE)</f>
        <v>6375</v>
      </c>
      <c r="P396" s="33">
        <v>0.1</v>
      </c>
      <c r="Q396" s="34">
        <f t="shared" si="18"/>
        <v>86062.5</v>
      </c>
      <c r="R396" s="34">
        <v>1</v>
      </c>
      <c r="S396" s="24" t="s">
        <v>34</v>
      </c>
      <c r="T396" s="24" t="s">
        <v>115</v>
      </c>
      <c r="U396" s="24" t="s">
        <v>50</v>
      </c>
      <c r="V396" s="34">
        <v>9295011645</v>
      </c>
      <c r="W396" s="24" t="str">
        <f>VLOOKUP(C396,Product_Master!A:F,4,FALSE)</f>
        <v>TechHub</v>
      </c>
      <c r="X396" s="34">
        <f>VLOOKUP(C396,Product_Master!A:F,6,FALSE)</f>
        <v>24</v>
      </c>
      <c r="Y396" s="24" t="str">
        <f>VLOOKUP(B396,Custumer_Master!A:D,3,FALSE)</f>
        <v>Silver</v>
      </c>
      <c r="Z396" s="30">
        <f>EDATE(E396,X396)</f>
        <v>46809</v>
      </c>
      <c r="AA396" s="29" t="str">
        <f>VLOOKUP(B396,Custumer_Master!A:K,11,)</f>
        <v>August</v>
      </c>
      <c r="AB396" s="24" t="s">
        <v>2160</v>
      </c>
      <c r="AC396" s="138" t="str">
        <f>PROPER(LEFT(TRIM(F396), 3)) &amp; RIGHT(TRIM(B396), 3) &amp; PROPER(LEFT(TRIM(I396), 2))</f>
        <v>Kav008Hy</v>
      </c>
      <c r="AD396" s="154">
        <f t="shared" ca="1" si="19"/>
        <v>49</v>
      </c>
      <c r="AE396" s="154">
        <f>IFERROR(IF(OR(E396="", D396="", LOWER(TRIM(E396))="pending", LOWER(TRIM(D396))="pending"), "Pending", E396 - D396), "Pending")</f>
        <v>8</v>
      </c>
      <c r="AF396" s="138" t="str">
        <f>IFERROR(IF(OR(E396="", D396="","Pending","Pending"), "Pending", IF((E396 - D396) &lt;= 5, "On Time", "Delayed")), "Pending")</f>
        <v>Delayed</v>
      </c>
      <c r="AG396" s="24" t="str">
        <f t="shared" si="20"/>
        <v>Completed</v>
      </c>
    </row>
    <row r="397" spans="1:33">
      <c r="A397" s="24" t="s">
        <v>1731</v>
      </c>
      <c r="B397" s="24" t="s">
        <v>127</v>
      </c>
      <c r="C397" s="24" t="s">
        <v>40</v>
      </c>
      <c r="D397" s="30">
        <v>45872</v>
      </c>
      <c r="E397" s="30" t="s">
        <v>1733</v>
      </c>
      <c r="F397" s="24" t="str">
        <f>VLOOKUP(B397,Custumer_Master!A:D,2,FALSE)</f>
        <v>Rohit Singh</v>
      </c>
      <c r="G397" s="24" t="str">
        <f>VLOOKUP($B397,Custumer_Master!$A:$J,6,FALSE)</f>
        <v>Male</v>
      </c>
      <c r="H397" s="30" t="str">
        <f>VLOOKUP($B397,Custumer_Master!$A:$J,7,FALSE)</f>
        <v>10/05/1982</v>
      </c>
      <c r="I397" s="24" t="str">
        <f>VLOOKUP($B397,Custumer_Master!$A:$J,9,FALSE)</f>
        <v>Delhi</v>
      </c>
      <c r="J397" s="24" t="str">
        <f>VLOOKUP($B397,Custumer_Master!$A:$J,10,FALSE)</f>
        <v>North</v>
      </c>
      <c r="K397" s="24" t="str">
        <f>VLOOKUP(B397,Custumer_Master!A:D,4,FALSE)</f>
        <v>DL</v>
      </c>
      <c r="L397" s="24" t="str">
        <f>PROPER(TRIM(VLOOKUP('Final Data'!C397,Product_Master!A:F,3,FALSE)))</f>
        <v>Electronics</v>
      </c>
      <c r="M397" s="24" t="s">
        <v>47</v>
      </c>
      <c r="N397" s="34">
        <v>19</v>
      </c>
      <c r="O397" s="192">
        <f>VLOOKUP(C397,Product_Master!A:F,5,FALSE)</f>
        <v>9000</v>
      </c>
      <c r="P397" s="33">
        <v>0.2</v>
      </c>
      <c r="Q397" s="34">
        <f t="shared" si="18"/>
        <v>136800</v>
      </c>
      <c r="R397" s="34">
        <v>5</v>
      </c>
      <c r="S397" s="24" t="s">
        <v>34</v>
      </c>
      <c r="T397" s="24" t="s">
        <v>115</v>
      </c>
      <c r="U397" s="24" t="s">
        <v>132</v>
      </c>
      <c r="V397" s="34">
        <v>9677606427</v>
      </c>
      <c r="W397" s="24" t="str">
        <f>VLOOKUP(C397,Product_Master!A:F,4,FALSE)</f>
        <v>Global Trade</v>
      </c>
      <c r="X397" s="34">
        <f>VLOOKUP(C397,Product_Master!A:F,6,FALSE)</f>
        <v>24</v>
      </c>
      <c r="Y397" s="24" t="str">
        <f>VLOOKUP(B397,Custumer_Master!A:D,3,FALSE)</f>
        <v>Gold</v>
      </c>
      <c r="Z397" s="30">
        <f>EDATE(E397,X397)</f>
        <v>46614</v>
      </c>
      <c r="AA397" s="29" t="str">
        <f>VLOOKUP(B397,Custumer_Master!A:K,11,)</f>
        <v>May</v>
      </c>
      <c r="AB397" s="24" t="s">
        <v>2112</v>
      </c>
      <c r="AC397" s="138" t="str">
        <f>PROPER(LEFT(TRIM(F397), 3)) &amp; RIGHT(TRIM(B397), 3) &amp; PROPER(LEFT(TRIM(I397), 2))</f>
        <v>Roh003De</v>
      </c>
      <c r="AD397" s="154">
        <f t="shared" ca="1" si="19"/>
        <v>44</v>
      </c>
      <c r="AE397" s="154">
        <f>IFERROR(IF(OR(E397="", D397="", LOWER(TRIM(E397))="pending", LOWER(TRIM(D397))="pending"), "Pending", E397 - D397), "Pending")</f>
        <v>12</v>
      </c>
      <c r="AF397" s="138" t="str">
        <f>IFERROR(IF(OR(E397="", D397="","Pending","Pending"), "Pending", IF((E397 - D397) &lt;= 5, "On Time", "Delayed")), "Pending")</f>
        <v>Delayed</v>
      </c>
      <c r="AG397" s="24" t="str">
        <f t="shared" si="20"/>
        <v>Completed</v>
      </c>
    </row>
    <row r="398" spans="1:33">
      <c r="A398" s="24" t="s">
        <v>1736</v>
      </c>
      <c r="B398" s="24" t="s">
        <v>83</v>
      </c>
      <c r="C398" s="24" t="s">
        <v>184</v>
      </c>
      <c r="D398" s="30">
        <v>45672</v>
      </c>
      <c r="E398" s="30" t="s">
        <v>1737</v>
      </c>
      <c r="F398" s="24" t="str">
        <f>VLOOKUP(B398,Custumer_Master!A:D,2,FALSE)</f>
        <v>Arjun Rao</v>
      </c>
      <c r="G398" s="24" t="str">
        <f>VLOOKUP($B398,Custumer_Master!$A:$J,6,FALSE)</f>
        <v>Male</v>
      </c>
      <c r="H398" s="30" t="str">
        <f>VLOOKUP($B398,Custumer_Master!$A:$J,7,FALSE)</f>
        <v>07/02/1988</v>
      </c>
      <c r="I398" s="24" t="str">
        <f>VLOOKUP($B398,Custumer_Master!$A:$J,9,FALSE)</f>
        <v>Hyderabad</v>
      </c>
      <c r="J398" s="24" t="str">
        <f>VLOOKUP($B398,Custumer_Master!$A:$J,10,FALSE)</f>
        <v>South</v>
      </c>
      <c r="K398" s="24" t="str">
        <f>VLOOKUP(B398,Custumer_Master!A:D,4,FALSE)</f>
        <v>RJ</v>
      </c>
      <c r="L398" s="24" t="str">
        <f>PROPER(TRIM(VLOOKUP('Final Data'!C398,Product_Master!A:F,3,FALSE)))</f>
        <v>Electronics</v>
      </c>
      <c r="M398" s="24" t="s">
        <v>189</v>
      </c>
      <c r="N398" s="34">
        <v>5</v>
      </c>
      <c r="O398" s="192">
        <f>VLOOKUP(C398,Product_Master!A:F,5,FALSE)</f>
        <v>525</v>
      </c>
      <c r="P398" s="33">
        <v>0</v>
      </c>
      <c r="Q398" s="34">
        <f t="shared" si="18"/>
        <v>2625</v>
      </c>
      <c r="R398" s="34">
        <v>2</v>
      </c>
      <c r="S398" s="24" t="s">
        <v>79</v>
      </c>
      <c r="T398" s="24" t="s">
        <v>61</v>
      </c>
      <c r="U398" s="24" t="s">
        <v>89</v>
      </c>
      <c r="V398" s="34">
        <v>9161631566</v>
      </c>
      <c r="W398" s="24" t="str">
        <f>VLOOKUP(C398,Product_Master!A:F,4,FALSE)</f>
        <v>TechHub</v>
      </c>
      <c r="X398" s="34">
        <f>VLOOKUP(C398,Product_Master!A:F,6,FALSE)</f>
        <v>24</v>
      </c>
      <c r="Y398" s="24" t="str">
        <f>VLOOKUP(B398,Custumer_Master!A:D,3,FALSE)</f>
        <v>Silver</v>
      </c>
      <c r="Z398" s="30">
        <f>EDATE(E398,X398)</f>
        <v>46405</v>
      </c>
      <c r="AA398" s="29" t="str">
        <f>VLOOKUP(B398,Custumer_Master!A:K,11,)</f>
        <v>February</v>
      </c>
      <c r="AB398" s="24" t="s">
        <v>2160</v>
      </c>
      <c r="AC398" s="138" t="str">
        <f>PROPER(LEFT(TRIM(F398), 3)) &amp; RIGHT(TRIM(B398), 3) &amp; PROPER(LEFT(TRIM(I398), 2))</f>
        <v>Arj007Hy</v>
      </c>
      <c r="AD398" s="154">
        <f t="shared" ca="1" si="19"/>
        <v>38</v>
      </c>
      <c r="AE398" s="154">
        <f>IFERROR(IF(OR(E398="", D398="", LOWER(TRIM(E398))="pending", LOWER(TRIM(D398))="pending"), "Pending", E398 - D398), "Pending")</f>
        <v>3</v>
      </c>
      <c r="AF398" s="138" t="str">
        <f>IFERROR(IF(OR(E398="", D398="","Pending","Pending"), "Pending", IF((E398 - D398) &lt;= 5, "On Time", "Delayed")), "Pending")</f>
        <v>On Time</v>
      </c>
      <c r="AG398" s="24" t="str">
        <f t="shared" si="20"/>
        <v>Completed</v>
      </c>
    </row>
    <row r="399" spans="1:33">
      <c r="A399" s="24" t="s">
        <v>1740</v>
      </c>
      <c r="B399" s="24" t="s">
        <v>83</v>
      </c>
      <c r="C399" s="24" t="s">
        <v>40</v>
      </c>
      <c r="D399" s="30">
        <v>45688</v>
      </c>
      <c r="E399" s="30" t="s">
        <v>765</v>
      </c>
      <c r="F399" s="24" t="str">
        <f>VLOOKUP(B399,Custumer_Master!A:D,2,FALSE)</f>
        <v>Arjun Rao</v>
      </c>
      <c r="G399" s="24" t="str">
        <f>VLOOKUP($B399,Custumer_Master!$A:$J,6,FALSE)</f>
        <v>Male</v>
      </c>
      <c r="H399" s="30" t="str">
        <f>VLOOKUP($B399,Custumer_Master!$A:$J,7,FALSE)</f>
        <v>07/02/1988</v>
      </c>
      <c r="I399" s="24" t="str">
        <f>VLOOKUP($B399,Custumer_Master!$A:$J,9,FALSE)</f>
        <v>Hyderabad</v>
      </c>
      <c r="J399" s="24" t="str">
        <f>VLOOKUP($B399,Custumer_Master!$A:$J,10,FALSE)</f>
        <v>South</v>
      </c>
      <c r="K399" s="24" t="str">
        <f>VLOOKUP(B399,Custumer_Master!A:D,4,FALSE)</f>
        <v>RJ</v>
      </c>
      <c r="L399" s="24" t="str">
        <f>PROPER(TRIM(VLOOKUP('Final Data'!C399,Product_Master!A:F,3,FALSE)))</f>
        <v>Electronics</v>
      </c>
      <c r="M399" s="24" t="s">
        <v>47</v>
      </c>
      <c r="N399" s="34">
        <v>19</v>
      </c>
      <c r="O399" s="192">
        <f>VLOOKUP(C399,Product_Master!A:F,5,FALSE)</f>
        <v>9000</v>
      </c>
      <c r="P399" s="33">
        <v>0</v>
      </c>
      <c r="Q399" s="34">
        <f t="shared" si="18"/>
        <v>171000</v>
      </c>
      <c r="R399" s="34">
        <v>4</v>
      </c>
      <c r="S399" s="24" t="s">
        <v>2149</v>
      </c>
      <c r="T399" s="24" t="s">
        <v>61</v>
      </c>
      <c r="U399" s="24" t="s">
        <v>89</v>
      </c>
      <c r="V399" s="34">
        <v>9136906750</v>
      </c>
      <c r="W399" s="24" t="str">
        <f>VLOOKUP(C399,Product_Master!A:F,4,FALSE)</f>
        <v>Global Trade</v>
      </c>
      <c r="X399" s="34">
        <f>VLOOKUP(C399,Product_Master!A:F,6,FALSE)</f>
        <v>24</v>
      </c>
      <c r="Y399" s="24" t="str">
        <f>VLOOKUP(B399,Custumer_Master!A:D,3,FALSE)</f>
        <v>Silver</v>
      </c>
      <c r="Z399" s="30">
        <f>EDATE(E399,X399)</f>
        <v>46422</v>
      </c>
      <c r="AA399" s="29" t="str">
        <f>VLOOKUP(B399,Custumer_Master!A:K,11,)</f>
        <v>February</v>
      </c>
      <c r="AB399" s="24" t="s">
        <v>2110</v>
      </c>
      <c r="AC399" s="138" t="str">
        <f>PROPER(LEFT(TRIM(F399), 3)) &amp; RIGHT(TRIM(B399), 3) &amp; PROPER(LEFT(TRIM(I399), 2))</f>
        <v>Arj007Hy</v>
      </c>
      <c r="AD399" s="154">
        <f t="shared" ca="1" si="19"/>
        <v>38</v>
      </c>
      <c r="AE399" s="154">
        <f>IFERROR(IF(OR(E399="", D399="", LOWER(TRIM(E399))="pending", LOWER(TRIM(D399))="pending"), "Pending", E399 - D399), "Pending")</f>
        <v>4</v>
      </c>
      <c r="AF399" s="138" t="str">
        <f>IFERROR(IF(OR(E399="", D399="","Pending","Pending"), "Pending", IF((E399 - D399) &lt;= 5, "On Time", "Delayed")), "Pending")</f>
        <v>On Time</v>
      </c>
      <c r="AG399" s="24" t="str">
        <f t="shared" si="20"/>
        <v>Completed</v>
      </c>
    </row>
    <row r="400" spans="1:33">
      <c r="A400" s="24" t="s">
        <v>1743</v>
      </c>
      <c r="B400" s="24" t="s">
        <v>327</v>
      </c>
      <c r="C400" s="24" t="s">
        <v>184</v>
      </c>
      <c r="D400" s="30"/>
      <c r="E400" s="30" t="s">
        <v>1225</v>
      </c>
      <c r="F400" s="24" t="str">
        <f>VLOOKUP(B400,Custumer_Master!A:D,2,FALSE)</f>
        <v>Amit Sharma</v>
      </c>
      <c r="G400" s="24" t="str">
        <f>VLOOKUP($B400,Custumer_Master!$A:$J,6,FALSE)</f>
        <v>Male</v>
      </c>
      <c r="H400" s="30" t="str">
        <f>VLOOKUP($B400,Custumer_Master!$A:$J,7,FALSE)</f>
        <v>09/08/1991</v>
      </c>
      <c r="I400" s="24" t="str">
        <f>VLOOKUP($B400,Custumer_Master!$A:$J,9,FALSE)</f>
        <v>Pune</v>
      </c>
      <c r="J400" s="24" t="str">
        <f>VLOOKUP($B400,Custumer_Master!$A:$J,10,FALSE)</f>
        <v>West</v>
      </c>
      <c r="K400" s="24" t="str">
        <f>VLOOKUP(B400,Custumer_Master!A:D,4,FALSE)</f>
        <v>RJ</v>
      </c>
      <c r="L400" s="24" t="str">
        <f>PROPER(TRIM(VLOOKUP('Final Data'!C400,Product_Master!A:F,3,FALSE)))</f>
        <v>Electronics</v>
      </c>
      <c r="M400" s="24" t="s">
        <v>189</v>
      </c>
      <c r="N400" s="34">
        <v>12</v>
      </c>
      <c r="O400" s="192">
        <f>VLOOKUP(C400,Product_Master!A:F,5,FALSE)</f>
        <v>525</v>
      </c>
      <c r="P400" s="33">
        <v>0.15</v>
      </c>
      <c r="Q400" s="34">
        <f t="shared" si="18"/>
        <v>5355</v>
      </c>
      <c r="R400" s="34">
        <v>3</v>
      </c>
      <c r="S400" s="24" t="s">
        <v>79</v>
      </c>
      <c r="T400" s="24" t="s">
        <v>35</v>
      </c>
      <c r="U400" s="24" t="s">
        <v>332</v>
      </c>
      <c r="V400" s="34">
        <v>9485286324</v>
      </c>
      <c r="W400" s="24" t="str">
        <f>VLOOKUP(C400,Product_Master!A:F,4,FALSE)</f>
        <v>TechHub</v>
      </c>
      <c r="X400" s="34">
        <f>VLOOKUP(C400,Product_Master!A:F,6,FALSE)</f>
        <v>24</v>
      </c>
      <c r="Y400" s="24" t="str">
        <f>VLOOKUP(B400,Custumer_Master!A:D,3,FALSE)</f>
        <v>Silver</v>
      </c>
      <c r="Z400" s="30">
        <f>EDATE(E400,X400)</f>
        <v>46694</v>
      </c>
      <c r="AA400" s="29" t="str">
        <f>VLOOKUP(B400,Custumer_Master!A:K,11,)</f>
        <v>August</v>
      </c>
      <c r="AB400" s="24" t="s">
        <v>2108</v>
      </c>
      <c r="AC400" s="138" t="str">
        <f>PROPER(LEFT(TRIM(F400), 3)) &amp; RIGHT(TRIM(B400), 3) &amp; PROPER(LEFT(TRIM(I400), 2))</f>
        <v>Ami001Pu</v>
      </c>
      <c r="AD400" s="154">
        <f t="shared" ca="1" si="19"/>
        <v>34</v>
      </c>
      <c r="AE400" s="154" t="str">
        <f>IFERROR(IF(OR(E400="", D400="", LOWER(TRIM(E400))="pending", LOWER(TRIM(D400))="pending"), "Pending", E400 - D400), "Pending")</f>
        <v>Pending</v>
      </c>
      <c r="AF400" s="138" t="str">
        <f>IFERROR(IF(OR(E400="", D400="","Pending","Pending"), "Pending", IF((E400 - D400) &lt;= 5, "On Time", "Delayed")), "Pending")</f>
        <v>Pending</v>
      </c>
      <c r="AG400" s="24" t="str">
        <f t="shared" si="20"/>
        <v>Pending</v>
      </c>
    </row>
    <row r="401" spans="1:33">
      <c r="A401" s="24" t="s">
        <v>1746</v>
      </c>
      <c r="B401" s="24" t="s">
        <v>23</v>
      </c>
      <c r="C401" s="24" t="s">
        <v>72</v>
      </c>
      <c r="D401" s="30">
        <v>45790</v>
      </c>
      <c r="E401" s="30" t="s">
        <v>707</v>
      </c>
      <c r="F401" s="24" t="str">
        <f>VLOOKUP(B401,Custumer_Master!A:D,2,FALSE)</f>
        <v>Kavya Nair</v>
      </c>
      <c r="G401" s="24" t="str">
        <f>VLOOKUP($B401,Custumer_Master!$A:$J,6,FALSE)</f>
        <v>Female</v>
      </c>
      <c r="H401" s="30" t="str">
        <f>VLOOKUP($B401,Custumer_Master!$A:$J,7,FALSE)</f>
        <v>01/08/1976</v>
      </c>
      <c r="I401" s="24" t="str">
        <f>VLOOKUP($B401,Custumer_Master!$A:$J,9,FALSE)</f>
        <v>Hyderabad</v>
      </c>
      <c r="J401" s="24" t="str">
        <f>VLOOKUP($B401,Custumer_Master!$A:$J,10,FALSE)</f>
        <v>South</v>
      </c>
      <c r="K401" s="24" t="str">
        <f>VLOOKUP(B401,Custumer_Master!A:D,4,FALSE)</f>
        <v>WB</v>
      </c>
      <c r="L401" s="24" t="str">
        <f>PROPER(TRIM(VLOOKUP('Final Data'!C401,Product_Master!A:F,3,FALSE)))</f>
        <v>Electronics</v>
      </c>
      <c r="M401" s="24" t="s">
        <v>78</v>
      </c>
      <c r="N401" s="34">
        <v>16</v>
      </c>
      <c r="O401" s="192">
        <f>VLOOKUP(C401,Product_Master!A:F,5,FALSE)</f>
        <v>900</v>
      </c>
      <c r="P401" s="33">
        <v>0.2</v>
      </c>
      <c r="Q401" s="34">
        <f t="shared" si="18"/>
        <v>11520</v>
      </c>
      <c r="R401" s="34">
        <v>1</v>
      </c>
      <c r="S401" s="24" t="s">
        <v>34</v>
      </c>
      <c r="T401" s="24" t="s">
        <v>49</v>
      </c>
      <c r="U401" s="24" t="s">
        <v>50</v>
      </c>
      <c r="V401" s="34">
        <v>9414633966</v>
      </c>
      <c r="W401" s="24" t="str">
        <f>VLOOKUP(C401,Product_Master!A:F,4,FALSE)</f>
        <v>TechHub</v>
      </c>
      <c r="X401" s="34">
        <f>VLOOKUP(C401,Product_Master!A:F,6,FALSE)</f>
        <v>6</v>
      </c>
      <c r="Y401" s="24" t="str">
        <f>VLOOKUP(B401,Custumer_Master!A:D,3,FALSE)</f>
        <v>Silver</v>
      </c>
      <c r="Z401" s="30">
        <f>EDATE(E401,X401)</f>
        <v>45982</v>
      </c>
      <c r="AA401" s="29" t="str">
        <f>VLOOKUP(B401,Custumer_Master!A:K,11,)</f>
        <v>August</v>
      </c>
      <c r="AB401" s="24" t="s">
        <v>2160</v>
      </c>
      <c r="AC401" s="138" t="str">
        <f>PROPER(LEFT(TRIM(F401), 3)) &amp; RIGHT(TRIM(B401), 3) &amp; PROPER(LEFT(TRIM(I401), 2))</f>
        <v>Kav008Hy</v>
      </c>
      <c r="AD401" s="154">
        <f t="shared" ca="1" si="19"/>
        <v>49</v>
      </c>
      <c r="AE401" s="154">
        <f>IFERROR(IF(OR(E401="", D401="", LOWER(TRIM(E401))="pending", LOWER(TRIM(D401))="pending"), "Pending", E401 - D401), "Pending")</f>
        <v>8</v>
      </c>
      <c r="AF401" s="138" t="str">
        <f>IFERROR(IF(OR(E401="", D401="","Pending","Pending"), "Pending", IF((E401 - D401) &lt;= 5, "On Time", "Delayed")), "Pending")</f>
        <v>Delayed</v>
      </c>
      <c r="AG401" s="24" t="str">
        <f t="shared" si="20"/>
        <v>Completed</v>
      </c>
    </row>
    <row r="402" spans="1:33">
      <c r="A402" s="24" t="s">
        <v>1750</v>
      </c>
      <c r="B402" s="24" t="s">
        <v>71</v>
      </c>
      <c r="C402" s="24" t="s">
        <v>169</v>
      </c>
      <c r="D402" s="30">
        <v>46018</v>
      </c>
      <c r="E402" s="30" t="s">
        <v>84</v>
      </c>
      <c r="F402" s="24" t="str">
        <f>VLOOKUP(B402,Custumer_Master!A:D,2,FALSE)</f>
        <v>Mohit Verma</v>
      </c>
      <c r="G402" s="24" t="str">
        <f>VLOOKUP($B402,Custumer_Master!$A:$J,6,FALSE)</f>
        <v>Male</v>
      </c>
      <c r="H402" s="30" t="str">
        <f>VLOOKUP($B402,Custumer_Master!$A:$J,7,FALSE)</f>
        <v>13/04/1976</v>
      </c>
      <c r="I402" s="24" t="str">
        <f>VLOOKUP($B402,Custumer_Master!$A:$J,9,FALSE)</f>
        <v>Delhi</v>
      </c>
      <c r="J402" s="24" t="str">
        <f>VLOOKUP($B402,Custumer_Master!$A:$J,10,FALSE)</f>
        <v>North</v>
      </c>
      <c r="K402" s="24" t="str">
        <f>VLOOKUP(B402,Custumer_Master!A:D,4,FALSE)</f>
        <v>KA</v>
      </c>
      <c r="L402" s="24" t="str">
        <f>PROPER(TRIM(VLOOKUP('Final Data'!C402,Product_Master!A:F,3,FALSE)))</f>
        <v>Home Appliances</v>
      </c>
      <c r="M402" s="24" t="s">
        <v>174</v>
      </c>
      <c r="N402" s="34">
        <v>10</v>
      </c>
      <c r="O402" s="192">
        <f>VLOOKUP(C402,Product_Master!A:F,5,FALSE)</f>
        <v>6375</v>
      </c>
      <c r="P402" s="33">
        <v>0.05</v>
      </c>
      <c r="Q402" s="34">
        <f t="shared" si="18"/>
        <v>60562.5</v>
      </c>
      <c r="R402" s="34">
        <v>5</v>
      </c>
      <c r="S402" s="24" t="s">
        <v>2148</v>
      </c>
      <c r="T402" s="24" t="s">
        <v>35</v>
      </c>
      <c r="U402" s="24" t="s">
        <v>80</v>
      </c>
      <c r="V402" s="34">
        <v>9833735234</v>
      </c>
      <c r="W402" s="24" t="str">
        <f>VLOOKUP(C402,Product_Master!A:F,4,FALSE)</f>
        <v>TechHub</v>
      </c>
      <c r="X402" s="34">
        <f>VLOOKUP(C402,Product_Master!A:F,6,FALSE)</f>
        <v>24</v>
      </c>
      <c r="Y402" s="24" t="str">
        <f>VLOOKUP(B402,Custumer_Master!A:D,3,FALSE)</f>
        <v>Platinum</v>
      </c>
      <c r="Z402" s="30">
        <f>EDATE(E402,X402)</f>
        <v>46756</v>
      </c>
      <c r="AA402" s="29" t="str">
        <f>VLOOKUP(B402,Custumer_Master!A:K,11,)</f>
        <v>April</v>
      </c>
      <c r="AB402" s="24" t="s">
        <v>2112</v>
      </c>
      <c r="AC402" s="138" t="str">
        <f>PROPER(LEFT(TRIM(F402), 3)) &amp; RIGHT(TRIM(B402), 3) &amp; PROPER(LEFT(TRIM(I402), 2))</f>
        <v>Moh009De</v>
      </c>
      <c r="AD402" s="154">
        <f t="shared" ca="1" si="19"/>
        <v>50</v>
      </c>
      <c r="AE402" s="154">
        <f>IFERROR(IF(OR(E402="", D402="", LOWER(TRIM(E402))="pending", LOWER(TRIM(D402))="pending"), "Pending", E402 - D402), "Pending")</f>
        <v>8</v>
      </c>
      <c r="AF402" s="138" t="str">
        <f>IFERROR(IF(OR(E402="", D402="","Pending","Pending"), "Pending", IF((E402 - D402) &lt;= 5, "On Time", "Delayed")), "Pending")</f>
        <v>Delayed</v>
      </c>
      <c r="AG402" s="24" t="str">
        <f t="shared" si="20"/>
        <v>Completed</v>
      </c>
    </row>
    <row r="403" spans="1:33">
      <c r="A403" s="24" t="s">
        <v>1753</v>
      </c>
      <c r="B403" s="24" t="s">
        <v>23</v>
      </c>
      <c r="C403" s="24" t="s">
        <v>222</v>
      </c>
      <c r="D403" s="30">
        <v>45699</v>
      </c>
      <c r="E403" s="30" t="s">
        <v>386</v>
      </c>
      <c r="F403" s="24" t="str">
        <f>VLOOKUP(B403,Custumer_Master!A:D,2,FALSE)</f>
        <v>Kavya Nair</v>
      </c>
      <c r="G403" s="24" t="str">
        <f>VLOOKUP($B403,Custumer_Master!$A:$J,6,FALSE)</f>
        <v>Female</v>
      </c>
      <c r="H403" s="30" t="str">
        <f>VLOOKUP($B403,Custumer_Master!$A:$J,7,FALSE)</f>
        <v>01/08/1976</v>
      </c>
      <c r="I403" s="24" t="str">
        <f>VLOOKUP($B403,Custumer_Master!$A:$J,9,FALSE)</f>
        <v>Hyderabad</v>
      </c>
      <c r="J403" s="24" t="str">
        <f>VLOOKUP($B403,Custumer_Master!$A:$J,10,FALSE)</f>
        <v>South</v>
      </c>
      <c r="K403" s="24" t="str">
        <f>VLOOKUP(B403,Custumer_Master!A:D,4,FALSE)</f>
        <v>WB</v>
      </c>
      <c r="L403" s="24" t="str">
        <f>PROPER(TRIM(VLOOKUP('Final Data'!C403,Product_Master!A:F,3,FALSE)))</f>
        <v>Stationery</v>
      </c>
      <c r="M403" s="24" t="s">
        <v>227</v>
      </c>
      <c r="N403" s="34">
        <v>18</v>
      </c>
      <c r="O403" s="192">
        <f>VLOOKUP(C403,Product_Master!A:F,5,FALSE)</f>
        <v>15</v>
      </c>
      <c r="P403" s="33">
        <v>0.2</v>
      </c>
      <c r="Q403" s="34">
        <f t="shared" si="18"/>
        <v>216</v>
      </c>
      <c r="R403" s="34">
        <v>1</v>
      </c>
      <c r="S403" s="24" t="s">
        <v>2149</v>
      </c>
      <c r="T403" s="24" t="s">
        <v>35</v>
      </c>
      <c r="U403" s="24" t="s">
        <v>50</v>
      </c>
      <c r="V403" s="34">
        <v>9523689108</v>
      </c>
      <c r="W403" s="24" t="str">
        <f>VLOOKUP(C403,Product_Master!A:F,4,FALSE)</f>
        <v>Prime Supplies</v>
      </c>
      <c r="X403" s="34">
        <f>VLOOKUP(C403,Product_Master!A:F,6,FALSE)</f>
        <v>12</v>
      </c>
      <c r="Y403" s="24" t="str">
        <f>VLOOKUP(B403,Custumer_Master!A:D,3,FALSE)</f>
        <v>Silver</v>
      </c>
      <c r="Z403" s="30">
        <f>EDATE(E403,X403)</f>
        <v>46074</v>
      </c>
      <c r="AA403" s="29" t="str">
        <f>VLOOKUP(B403,Custumer_Master!A:K,11,)</f>
        <v>August</v>
      </c>
      <c r="AB403" s="24" t="s">
        <v>2160</v>
      </c>
      <c r="AC403" s="138" t="str">
        <f>PROPER(LEFT(TRIM(F403), 3)) &amp; RIGHT(TRIM(B403), 3) &amp; PROPER(LEFT(TRIM(I403), 2))</f>
        <v>Kav008Hy</v>
      </c>
      <c r="AD403" s="154">
        <f t="shared" ca="1" si="19"/>
        <v>49</v>
      </c>
      <c r="AE403" s="154">
        <f>IFERROR(IF(OR(E403="", D403="", LOWER(TRIM(E403))="pending", LOWER(TRIM(D403))="pending"), "Pending", E403 - D403), "Pending")</f>
        <v>10</v>
      </c>
      <c r="AF403" s="138" t="str">
        <f>IFERROR(IF(OR(E403="", D403="","Pending","Pending"), "Pending", IF((E403 - D403) &lt;= 5, "On Time", "Delayed")), "Pending")</f>
        <v>Delayed</v>
      </c>
      <c r="AG403" s="24" t="str">
        <f t="shared" si="20"/>
        <v>Completed</v>
      </c>
    </row>
    <row r="404" spans="1:33">
      <c r="A404" s="24" t="s">
        <v>1756</v>
      </c>
      <c r="B404" s="24" t="s">
        <v>71</v>
      </c>
      <c r="C404" s="24" t="s">
        <v>169</v>
      </c>
      <c r="D404" s="30">
        <v>46094</v>
      </c>
      <c r="E404" s="30" t="s">
        <v>404</v>
      </c>
      <c r="F404" s="24" t="str">
        <f>VLOOKUP(B404,Custumer_Master!A:D,2,FALSE)</f>
        <v>Mohit Verma</v>
      </c>
      <c r="G404" s="24" t="str">
        <f>VLOOKUP($B404,Custumer_Master!$A:$J,6,FALSE)</f>
        <v>Male</v>
      </c>
      <c r="H404" s="30" t="str">
        <f>VLOOKUP($B404,Custumer_Master!$A:$J,7,FALSE)</f>
        <v>13/04/1976</v>
      </c>
      <c r="I404" s="24" t="str">
        <f>VLOOKUP($B404,Custumer_Master!$A:$J,9,FALSE)</f>
        <v>Delhi</v>
      </c>
      <c r="J404" s="24" t="str">
        <f>VLOOKUP($B404,Custumer_Master!$A:$J,10,FALSE)</f>
        <v>North</v>
      </c>
      <c r="K404" s="24" t="str">
        <f>VLOOKUP(B404,Custumer_Master!A:D,4,FALSE)</f>
        <v>KA</v>
      </c>
      <c r="L404" s="24" t="str">
        <f>PROPER(TRIM(VLOOKUP('Final Data'!C404,Product_Master!A:F,3,FALSE)))</f>
        <v>Home Appliances</v>
      </c>
      <c r="M404" s="24" t="s">
        <v>174</v>
      </c>
      <c r="N404" s="34">
        <v>9</v>
      </c>
      <c r="O404" s="192">
        <f>VLOOKUP(C404,Product_Master!A:F,5,FALSE)</f>
        <v>6375</v>
      </c>
      <c r="P404" s="33">
        <v>0</v>
      </c>
      <c r="Q404" s="34">
        <f t="shared" si="18"/>
        <v>57375</v>
      </c>
      <c r="R404" s="34">
        <v>2</v>
      </c>
      <c r="S404" s="24" t="s">
        <v>79</v>
      </c>
      <c r="T404" s="24" t="s">
        <v>35</v>
      </c>
      <c r="U404" s="24" t="s">
        <v>80</v>
      </c>
      <c r="V404" s="34">
        <v>9812909831</v>
      </c>
      <c r="W404" s="24" t="str">
        <f>VLOOKUP(C404,Product_Master!A:F,4,FALSE)</f>
        <v>TechHub</v>
      </c>
      <c r="X404" s="34">
        <f>VLOOKUP(C404,Product_Master!A:F,6,FALSE)</f>
        <v>24</v>
      </c>
      <c r="Y404" s="24" t="str">
        <f>VLOOKUP(B404,Custumer_Master!A:D,3,FALSE)</f>
        <v>Platinum</v>
      </c>
      <c r="Z404" s="30">
        <f>EDATE(E404,X404)</f>
        <v>46831</v>
      </c>
      <c r="AA404" s="29" t="str">
        <f>VLOOKUP(B404,Custumer_Master!A:K,11,)</f>
        <v>April</v>
      </c>
      <c r="AB404" s="24" t="s">
        <v>2160</v>
      </c>
      <c r="AC404" s="138" t="str">
        <f>PROPER(LEFT(TRIM(F404), 3)) &amp; RIGHT(TRIM(B404), 3) &amp; PROPER(LEFT(TRIM(I404), 2))</f>
        <v>Moh009De</v>
      </c>
      <c r="AD404" s="154">
        <f t="shared" ca="1" si="19"/>
        <v>50</v>
      </c>
      <c r="AE404" s="154">
        <f>IFERROR(IF(OR(E404="", D404="", LOWER(TRIM(E404))="pending", LOWER(TRIM(D404))="pending"), "Pending", E404 - D404), "Pending")</f>
        <v>6</v>
      </c>
      <c r="AF404" s="138" t="str">
        <f>IFERROR(IF(OR(E404="", D404="","Pending","Pending"), "Pending", IF((E404 - D404) &lt;= 5, "On Time", "Delayed")), "Pending")</f>
        <v>Delayed</v>
      </c>
      <c r="AG404" s="24" t="str">
        <f t="shared" si="20"/>
        <v>Completed</v>
      </c>
    </row>
    <row r="405" spans="1:33">
      <c r="A405" s="24" t="s">
        <v>1759</v>
      </c>
      <c r="B405" s="24" t="s">
        <v>23</v>
      </c>
      <c r="C405" s="24" t="s">
        <v>169</v>
      </c>
      <c r="D405" s="30">
        <v>45931</v>
      </c>
      <c r="E405" s="30" t="s">
        <v>1760</v>
      </c>
      <c r="F405" s="24" t="str">
        <f>VLOOKUP(B405,Custumer_Master!A:D,2,FALSE)</f>
        <v>Kavya Nair</v>
      </c>
      <c r="G405" s="24" t="str">
        <f>VLOOKUP($B405,Custumer_Master!$A:$J,6,FALSE)</f>
        <v>Female</v>
      </c>
      <c r="H405" s="30" t="str">
        <f>VLOOKUP($B405,Custumer_Master!$A:$J,7,FALSE)</f>
        <v>01/08/1976</v>
      </c>
      <c r="I405" s="24" t="str">
        <f>VLOOKUP($B405,Custumer_Master!$A:$J,9,FALSE)</f>
        <v>Hyderabad</v>
      </c>
      <c r="J405" s="24" t="str">
        <f>VLOOKUP($B405,Custumer_Master!$A:$J,10,FALSE)</f>
        <v>South</v>
      </c>
      <c r="K405" s="24" t="str">
        <f>VLOOKUP(B405,Custumer_Master!A:D,4,FALSE)</f>
        <v>WB</v>
      </c>
      <c r="L405" s="24" t="str">
        <f>PROPER(TRIM(VLOOKUP('Final Data'!C405,Product_Master!A:F,3,FALSE)))</f>
        <v>Home Appliances</v>
      </c>
      <c r="M405" s="24" t="s">
        <v>174</v>
      </c>
      <c r="N405" s="34">
        <v>8</v>
      </c>
      <c r="O405" s="192">
        <f>VLOOKUP(C405,Product_Master!A:F,5,FALSE)</f>
        <v>6375</v>
      </c>
      <c r="P405" s="33">
        <v>0.1</v>
      </c>
      <c r="Q405" s="34">
        <f t="shared" si="18"/>
        <v>45900</v>
      </c>
      <c r="R405" s="34">
        <v>4</v>
      </c>
      <c r="S405" s="24" t="s">
        <v>34</v>
      </c>
      <c r="T405" s="24" t="s">
        <v>115</v>
      </c>
      <c r="U405" s="24" t="s">
        <v>50</v>
      </c>
      <c r="V405" s="34">
        <v>9106290987</v>
      </c>
      <c r="W405" s="24" t="str">
        <f>VLOOKUP(C405,Product_Master!A:F,4,FALSE)</f>
        <v>TechHub</v>
      </c>
      <c r="X405" s="34">
        <f>VLOOKUP(C405,Product_Master!A:F,6,FALSE)</f>
        <v>24</v>
      </c>
      <c r="Y405" s="24" t="str">
        <f>VLOOKUP(B405,Custumer_Master!A:D,3,FALSE)</f>
        <v>Silver</v>
      </c>
      <c r="Z405" s="30">
        <f>EDATE(E405,X405)</f>
        <v>46672</v>
      </c>
      <c r="AA405" s="29" t="str">
        <f>VLOOKUP(B405,Custumer_Master!A:K,11,)</f>
        <v>August</v>
      </c>
      <c r="AB405" s="24" t="s">
        <v>2108</v>
      </c>
      <c r="AC405" s="138" t="str">
        <f>PROPER(LEFT(TRIM(F405), 3)) &amp; RIGHT(TRIM(B405), 3) &amp; PROPER(LEFT(TRIM(I405), 2))</f>
        <v>Kav008Hy</v>
      </c>
      <c r="AD405" s="154">
        <f t="shared" ca="1" si="19"/>
        <v>49</v>
      </c>
      <c r="AE405" s="154">
        <f>IFERROR(IF(OR(E405="", D405="", LOWER(TRIM(E405))="pending", LOWER(TRIM(D405))="pending"), "Pending", E405 - D405), "Pending")</f>
        <v>11</v>
      </c>
      <c r="AF405" s="138" t="str">
        <f>IFERROR(IF(OR(E405="", D405="","Pending","Pending"), "Pending", IF((E405 - D405) &lt;= 5, "On Time", "Delayed")), "Pending")</f>
        <v>Delayed</v>
      </c>
      <c r="AG405" s="24" t="str">
        <f t="shared" si="20"/>
        <v>Completed</v>
      </c>
    </row>
    <row r="406" spans="1:33">
      <c r="A406" s="24" t="s">
        <v>1763</v>
      </c>
      <c r="B406" s="24" t="s">
        <v>53</v>
      </c>
      <c r="C406" s="24" t="s">
        <v>222</v>
      </c>
      <c r="D406" s="30">
        <v>46048</v>
      </c>
      <c r="E406" s="30" t="s">
        <v>1764</v>
      </c>
      <c r="F406" s="24" t="str">
        <f>VLOOKUP(B406,Custumer_Master!A:D,2,FALSE)</f>
        <v>Pooja Shah</v>
      </c>
      <c r="G406" s="24" t="str">
        <f>VLOOKUP($B406,Custumer_Master!$A:$J,6,FALSE)</f>
        <v>Female</v>
      </c>
      <c r="H406" s="30" t="str">
        <f>VLOOKUP($B406,Custumer_Master!$A:$J,7,FALSE)</f>
        <v>16/09/1994</v>
      </c>
      <c r="I406" s="24" t="str">
        <f>VLOOKUP($B406,Custumer_Master!$A:$J,9,FALSE)</f>
        <v>Bengaluru</v>
      </c>
      <c r="J406" s="24" t="str">
        <f>VLOOKUP($B406,Custumer_Master!$A:$J,10,FALSE)</f>
        <v>South</v>
      </c>
      <c r="K406" s="24" t="str">
        <f>VLOOKUP(B406,Custumer_Master!A:D,4,FALSE)</f>
        <v>WB</v>
      </c>
      <c r="L406" s="24" t="str">
        <f>PROPER(TRIM(VLOOKUP('Final Data'!C406,Product_Master!A:F,3,FALSE)))</f>
        <v>Stationery</v>
      </c>
      <c r="M406" s="24" t="s">
        <v>227</v>
      </c>
      <c r="N406" s="34">
        <v>3</v>
      </c>
      <c r="O406" s="192">
        <f>VLOOKUP(C406,Product_Master!A:F,5,FALSE)</f>
        <v>15</v>
      </c>
      <c r="P406" s="33">
        <v>0.1</v>
      </c>
      <c r="Q406" s="34">
        <f t="shared" si="18"/>
        <v>40.5</v>
      </c>
      <c r="R406" s="34">
        <v>3</v>
      </c>
      <c r="S406" s="24" t="s">
        <v>79</v>
      </c>
      <c r="T406" s="24" t="s">
        <v>151</v>
      </c>
      <c r="U406" s="24" t="s">
        <v>62</v>
      </c>
      <c r="V406" s="34">
        <v>9767727724</v>
      </c>
      <c r="W406" s="24" t="str">
        <f>VLOOKUP(C406,Product_Master!A:F,4,FALSE)</f>
        <v>Prime Supplies</v>
      </c>
      <c r="X406" s="34">
        <f>VLOOKUP(C406,Product_Master!A:F,6,FALSE)</f>
        <v>12</v>
      </c>
      <c r="Y406" s="24" t="str">
        <f>VLOOKUP(B406,Custumer_Master!A:D,3,FALSE)</f>
        <v>Silver</v>
      </c>
      <c r="Z406" s="30">
        <f>EDATE(E406,X406)</f>
        <v>46419</v>
      </c>
      <c r="AA406" s="29" t="str">
        <f>VLOOKUP(B406,Custumer_Master!A:K,11,)</f>
        <v>September</v>
      </c>
      <c r="AB406" s="24" t="s">
        <v>2108</v>
      </c>
      <c r="AC406" s="138" t="str">
        <f>PROPER(LEFT(TRIM(F406), 3)) &amp; RIGHT(TRIM(B406), 3) &amp; PROPER(LEFT(TRIM(I406), 2))</f>
        <v>Poo010Be</v>
      </c>
      <c r="AD406" s="154">
        <f t="shared" ca="1" si="19"/>
        <v>31</v>
      </c>
      <c r="AE406" s="154">
        <f>IFERROR(IF(OR(E406="", D406="", LOWER(TRIM(E406))="pending", LOWER(TRIM(D406))="pending"), "Pending", E406 - D406), "Pending")</f>
        <v>6</v>
      </c>
      <c r="AF406" s="138" t="str">
        <f>IFERROR(IF(OR(E406="", D406="","Pending","Pending"), "Pending", IF((E406 - D406) &lt;= 5, "On Time", "Delayed")), "Pending")</f>
        <v>Delayed</v>
      </c>
      <c r="AG406" s="24" t="str">
        <f t="shared" si="20"/>
        <v>Completed</v>
      </c>
    </row>
    <row r="407" spans="1:33">
      <c r="A407" s="24" t="s">
        <v>1767</v>
      </c>
      <c r="B407" s="24" t="s">
        <v>168</v>
      </c>
      <c r="C407" s="24" t="s">
        <v>169</v>
      </c>
      <c r="D407" s="30">
        <v>45840</v>
      </c>
      <c r="E407" s="30" t="s">
        <v>641</v>
      </c>
      <c r="F407" s="24" t="str">
        <f>VLOOKUP(B407,Custumer_Master!A:D,2,FALSE)</f>
        <v>Anita Gupta</v>
      </c>
      <c r="G407" s="24" t="str">
        <f>VLOOKUP($B407,Custumer_Master!$A:$J,6,FALSE)</f>
        <v>Female</v>
      </c>
      <c r="H407" s="30" t="str">
        <f>VLOOKUP($B407,Custumer_Master!$A:$J,7,FALSE)</f>
        <v>16/01/2002</v>
      </c>
      <c r="I407" s="24" t="str">
        <f>VLOOKUP($B407,Custumer_Master!$A:$J,9,FALSE)</f>
        <v>Pune</v>
      </c>
      <c r="J407" s="24" t="str">
        <f>VLOOKUP($B407,Custumer_Master!$A:$J,10,FALSE)</f>
        <v>West</v>
      </c>
      <c r="K407" s="24" t="str">
        <f>VLOOKUP(B407,Custumer_Master!A:D,4,FALSE)</f>
        <v>WB</v>
      </c>
      <c r="L407" s="24" t="str">
        <f>PROPER(TRIM(VLOOKUP('Final Data'!C407,Product_Master!A:F,3,FALSE)))</f>
        <v>Home Appliances</v>
      </c>
      <c r="M407" s="24" t="s">
        <v>174</v>
      </c>
      <c r="N407" s="34">
        <v>18</v>
      </c>
      <c r="O407" s="192">
        <f>VLOOKUP(C407,Product_Master!A:F,5,FALSE)</f>
        <v>6375</v>
      </c>
      <c r="P407" s="33">
        <v>0.1</v>
      </c>
      <c r="Q407" s="34">
        <f t="shared" si="18"/>
        <v>103275</v>
      </c>
      <c r="R407" s="34">
        <v>4</v>
      </c>
      <c r="S407" s="24" t="s">
        <v>34</v>
      </c>
      <c r="T407" s="24" t="s">
        <v>49</v>
      </c>
      <c r="U407" s="24" t="s">
        <v>175</v>
      </c>
      <c r="V407" s="34">
        <v>9865401727</v>
      </c>
      <c r="W407" s="24" t="str">
        <f>VLOOKUP(C407,Product_Master!A:F,4,FALSE)</f>
        <v>TechHub</v>
      </c>
      <c r="X407" s="34">
        <f>VLOOKUP(C407,Product_Master!A:F,6,FALSE)</f>
        <v>24</v>
      </c>
      <c r="Y407" s="24" t="str">
        <f>VLOOKUP(B407,Custumer_Master!A:D,3,FALSE)</f>
        <v>Gold</v>
      </c>
      <c r="Z407" s="30">
        <f>EDATE(E407,X407)</f>
        <v>46580</v>
      </c>
      <c r="AA407" s="29" t="str">
        <f>VLOOKUP(B407,Custumer_Master!A:K,11,)</f>
        <v>January</v>
      </c>
      <c r="AB407" s="24" t="s">
        <v>2110</v>
      </c>
      <c r="AC407" s="138" t="str">
        <f>PROPER(LEFT(TRIM(F407), 3)) &amp; RIGHT(TRIM(B407), 3) &amp; PROPER(LEFT(TRIM(I407), 2))</f>
        <v>Ani004Pu</v>
      </c>
      <c r="AD407" s="154">
        <f t="shared" ca="1" si="19"/>
        <v>24</v>
      </c>
      <c r="AE407" s="154">
        <f>IFERROR(IF(OR(E407="", D407="", LOWER(TRIM(E407))="pending", LOWER(TRIM(D407))="pending"), "Pending", E407 - D407), "Pending")</f>
        <v>10</v>
      </c>
      <c r="AF407" s="138" t="str">
        <f>IFERROR(IF(OR(E407="", D407="","Pending","Pending"), "Pending", IF((E407 - D407) &lt;= 5, "On Time", "Delayed")), "Pending")</f>
        <v>Delayed</v>
      </c>
      <c r="AG407" s="24" t="str">
        <f t="shared" si="20"/>
        <v>Completed</v>
      </c>
    </row>
    <row r="408" spans="1:33">
      <c r="A408" s="24" t="s">
        <v>1770</v>
      </c>
      <c r="B408" s="24" t="s">
        <v>53</v>
      </c>
      <c r="C408" s="24" t="s">
        <v>259</v>
      </c>
      <c r="D408" s="30">
        <v>45935</v>
      </c>
      <c r="E408" s="30" t="s">
        <v>281</v>
      </c>
      <c r="F408" s="24" t="str">
        <f>VLOOKUP(B408,Custumer_Master!A:D,2,FALSE)</f>
        <v>Pooja Shah</v>
      </c>
      <c r="G408" s="24" t="str">
        <f>VLOOKUP($B408,Custumer_Master!$A:$J,6,FALSE)</f>
        <v>Female</v>
      </c>
      <c r="H408" s="30" t="str">
        <f>VLOOKUP($B408,Custumer_Master!$A:$J,7,FALSE)</f>
        <v>16/09/1994</v>
      </c>
      <c r="I408" s="24" t="str">
        <f>VLOOKUP($B408,Custumer_Master!$A:$J,9,FALSE)</f>
        <v>Bengaluru</v>
      </c>
      <c r="J408" s="24" t="str">
        <f>VLOOKUP($B408,Custumer_Master!$A:$J,10,FALSE)</f>
        <v>South</v>
      </c>
      <c r="K408" s="24" t="str">
        <f>VLOOKUP(B408,Custumer_Master!A:D,4,FALSE)</f>
        <v>WB</v>
      </c>
      <c r="L408" s="24" t="str">
        <f>PROPER(TRIM(VLOOKUP('Final Data'!C408,Product_Master!A:F,3,FALSE)))</f>
        <v>Stationery</v>
      </c>
      <c r="M408" s="24" t="s">
        <v>263</v>
      </c>
      <c r="N408" s="34">
        <v>5</v>
      </c>
      <c r="O408" s="192">
        <f>VLOOKUP(C408,Product_Master!A:F,5,FALSE)</f>
        <v>33.75</v>
      </c>
      <c r="P408" s="33">
        <v>0.1</v>
      </c>
      <c r="Q408" s="34">
        <f t="shared" si="18"/>
        <v>151.875</v>
      </c>
      <c r="R408" s="34">
        <v>3</v>
      </c>
      <c r="S408" s="24" t="s">
        <v>34</v>
      </c>
      <c r="T408" s="24" t="s">
        <v>115</v>
      </c>
      <c r="U408" s="24" t="s">
        <v>62</v>
      </c>
      <c r="V408" s="34">
        <v>9603848571</v>
      </c>
      <c r="W408" s="24" t="str">
        <f>VLOOKUP(C408,Product_Master!A:F,4,FALSE)</f>
        <v>TechHub</v>
      </c>
      <c r="X408" s="34">
        <f>VLOOKUP(C408,Product_Master!A:F,6,FALSE)</f>
        <v>12</v>
      </c>
      <c r="Y408" s="24" t="str">
        <f>VLOOKUP(B408,Custumer_Master!A:D,3,FALSE)</f>
        <v>Silver</v>
      </c>
      <c r="Z408" s="30">
        <f>EDATE(E408,X408)</f>
        <v>46304</v>
      </c>
      <c r="AA408" s="29" t="str">
        <f>VLOOKUP(B408,Custumer_Master!A:K,11,)</f>
        <v>September</v>
      </c>
      <c r="AB408" s="24" t="s">
        <v>2108</v>
      </c>
      <c r="AC408" s="138" t="str">
        <f>PROPER(LEFT(TRIM(F408), 3)) &amp; RIGHT(TRIM(B408), 3) &amp; PROPER(LEFT(TRIM(I408), 2))</f>
        <v>Poo010Be</v>
      </c>
      <c r="AD408" s="154">
        <f t="shared" ca="1" si="19"/>
        <v>31</v>
      </c>
      <c r="AE408" s="154">
        <f>IFERROR(IF(OR(E408="", D408="", LOWER(TRIM(E408))="pending", LOWER(TRIM(D408))="pending"), "Pending", E408 - D408), "Pending")</f>
        <v>4</v>
      </c>
      <c r="AF408" s="138" t="str">
        <f>IFERROR(IF(OR(E408="", D408="","Pending","Pending"), "Pending", IF((E408 - D408) &lt;= 5, "On Time", "Delayed")), "Pending")</f>
        <v>On Time</v>
      </c>
      <c r="AG408" s="24" t="str">
        <f t="shared" si="20"/>
        <v>Completed</v>
      </c>
    </row>
    <row r="409" spans="1:33">
      <c r="A409" s="24" t="s">
        <v>1773</v>
      </c>
      <c r="B409" s="24" t="s">
        <v>71</v>
      </c>
      <c r="C409" s="24" t="s">
        <v>259</v>
      </c>
      <c r="D409" s="30">
        <v>45807</v>
      </c>
      <c r="E409" s="30" t="s">
        <v>684</v>
      </c>
      <c r="F409" s="24" t="str">
        <f>VLOOKUP(B409,Custumer_Master!A:D,2,FALSE)</f>
        <v>Mohit Verma</v>
      </c>
      <c r="G409" s="24" t="str">
        <f>VLOOKUP($B409,Custumer_Master!$A:$J,6,FALSE)</f>
        <v>Male</v>
      </c>
      <c r="H409" s="30" t="str">
        <f>VLOOKUP($B409,Custumer_Master!$A:$J,7,FALSE)</f>
        <v>13/04/1976</v>
      </c>
      <c r="I409" s="24" t="str">
        <f>VLOOKUP($B409,Custumer_Master!$A:$J,9,FALSE)</f>
        <v>Delhi</v>
      </c>
      <c r="J409" s="24" t="str">
        <f>VLOOKUP($B409,Custumer_Master!$A:$J,10,FALSE)</f>
        <v>North</v>
      </c>
      <c r="K409" s="24" t="str">
        <f>VLOOKUP(B409,Custumer_Master!A:D,4,FALSE)</f>
        <v>KA</v>
      </c>
      <c r="L409" s="24" t="str">
        <f>PROPER(TRIM(VLOOKUP('Final Data'!C409,Product_Master!A:F,3,FALSE)))</f>
        <v>Stationery</v>
      </c>
      <c r="M409" s="24" t="s">
        <v>263</v>
      </c>
      <c r="N409" s="34">
        <v>2</v>
      </c>
      <c r="O409" s="192">
        <f>VLOOKUP(C409,Product_Master!A:F,5,FALSE)</f>
        <v>33.75</v>
      </c>
      <c r="P409" s="33">
        <v>0.2</v>
      </c>
      <c r="Q409" s="34">
        <f t="shared" si="18"/>
        <v>54</v>
      </c>
      <c r="R409" s="34">
        <v>5</v>
      </c>
      <c r="S409" s="24" t="s">
        <v>2149</v>
      </c>
      <c r="T409" s="24" t="s">
        <v>61</v>
      </c>
      <c r="U409" s="24" t="s">
        <v>80</v>
      </c>
      <c r="V409" s="34">
        <v>9101231789</v>
      </c>
      <c r="W409" s="24" t="str">
        <f>VLOOKUP(C409,Product_Master!A:F,4,FALSE)</f>
        <v>TechHub</v>
      </c>
      <c r="X409" s="34">
        <f>VLOOKUP(C409,Product_Master!A:F,6,FALSE)</f>
        <v>12</v>
      </c>
      <c r="Y409" s="24" t="str">
        <f>VLOOKUP(B409,Custumer_Master!A:D,3,FALSE)</f>
        <v>Platinum</v>
      </c>
      <c r="Z409" s="30">
        <f>EDATE(E409,X409)</f>
        <v>46175</v>
      </c>
      <c r="AA409" s="29" t="str">
        <f>VLOOKUP(B409,Custumer_Master!A:K,11,)</f>
        <v>April</v>
      </c>
      <c r="AB409" s="24" t="s">
        <v>2108</v>
      </c>
      <c r="AC409" s="138" t="str">
        <f>PROPER(LEFT(TRIM(F409), 3)) &amp; RIGHT(TRIM(B409), 3) &amp; PROPER(LEFT(TRIM(I409), 2))</f>
        <v>Moh009De</v>
      </c>
      <c r="AD409" s="154">
        <f t="shared" ca="1" si="19"/>
        <v>50</v>
      </c>
      <c r="AE409" s="154">
        <f>IFERROR(IF(OR(E409="", D409="", LOWER(TRIM(E409))="pending", LOWER(TRIM(D409))="pending"), "Pending", E409 - D409), "Pending")</f>
        <v>3</v>
      </c>
      <c r="AF409" s="138" t="str">
        <f>IFERROR(IF(OR(E409="", D409="","Pending","Pending"), "Pending", IF((E409 - D409) &lt;= 5, "On Time", "Delayed")), "Pending")</f>
        <v>On Time</v>
      </c>
      <c r="AG409" s="24" t="str">
        <f t="shared" si="20"/>
        <v>Completed</v>
      </c>
    </row>
    <row r="410" spans="1:33">
      <c r="A410" s="24" t="s">
        <v>1776</v>
      </c>
      <c r="B410" s="24" t="s">
        <v>100</v>
      </c>
      <c r="C410" s="24" t="s">
        <v>259</v>
      </c>
      <c r="D410" s="30">
        <v>45684</v>
      </c>
      <c r="E410" s="30" t="s">
        <v>900</v>
      </c>
      <c r="F410" s="24" t="str">
        <f>VLOOKUP(B410,Custumer_Master!A:D,2,FALSE)</f>
        <v>Priya Patel</v>
      </c>
      <c r="G410" s="24" t="str">
        <f>VLOOKUP($B410,Custumer_Master!$A:$J,6,FALSE)</f>
        <v>Female</v>
      </c>
      <c r="H410" s="30" t="str">
        <f>VLOOKUP($B410,Custumer_Master!$A:$J,7,FALSE)</f>
        <v>07/03/1995</v>
      </c>
      <c r="I410" s="24" t="str">
        <f>VLOOKUP($B410,Custumer_Master!$A:$J,9,FALSE)</f>
        <v>Mumbai</v>
      </c>
      <c r="J410" s="24" t="str">
        <f>VLOOKUP($B410,Custumer_Master!$A:$J,10,FALSE)</f>
        <v>West</v>
      </c>
      <c r="K410" s="24" t="str">
        <f>VLOOKUP(B410,Custumer_Master!A:D,4,FALSE)</f>
        <v>WB</v>
      </c>
      <c r="L410" s="24" t="str">
        <f>PROPER(TRIM(VLOOKUP('Final Data'!C410,Product_Master!A:F,3,FALSE)))</f>
        <v>Stationery</v>
      </c>
      <c r="M410" s="24" t="s">
        <v>263</v>
      </c>
      <c r="N410" s="34">
        <v>18</v>
      </c>
      <c r="O410" s="192">
        <f>VLOOKUP(C410,Product_Master!A:F,5,FALSE)</f>
        <v>33.75</v>
      </c>
      <c r="P410" s="33">
        <v>0.1</v>
      </c>
      <c r="Q410" s="34">
        <f t="shared" si="18"/>
        <v>546.75</v>
      </c>
      <c r="R410" s="34">
        <v>2</v>
      </c>
      <c r="S410" s="24" t="s">
        <v>2148</v>
      </c>
      <c r="T410" s="24" t="s">
        <v>115</v>
      </c>
      <c r="U410" s="24" t="s">
        <v>144</v>
      </c>
      <c r="V410" s="34">
        <v>9485017802</v>
      </c>
      <c r="W410" s="24" t="str">
        <f>VLOOKUP(C410,Product_Master!A:F,4,FALSE)</f>
        <v>TechHub</v>
      </c>
      <c r="X410" s="34">
        <f>VLOOKUP(C410,Product_Master!A:F,6,FALSE)</f>
        <v>12</v>
      </c>
      <c r="Y410" s="24" t="str">
        <f>VLOOKUP(B410,Custumer_Master!A:D,3,FALSE)</f>
        <v>Platinum</v>
      </c>
      <c r="Z410" s="30">
        <f>EDATE(E410,X410)</f>
        <v>46059</v>
      </c>
      <c r="AA410" s="29" t="str">
        <f>VLOOKUP(B410,Custumer_Master!A:K,11,)</f>
        <v>March</v>
      </c>
      <c r="AB410" s="24" t="s">
        <v>2160</v>
      </c>
      <c r="AC410" s="138" t="str">
        <f>PROPER(LEFT(TRIM(F410), 3)) &amp; RIGHT(TRIM(B410), 3) &amp; PROPER(LEFT(TRIM(I410), 2))</f>
        <v>Pri002Mu</v>
      </c>
      <c r="AD410" s="154">
        <f t="shared" ca="1" si="19"/>
        <v>31</v>
      </c>
      <c r="AE410" s="154">
        <f>IFERROR(IF(OR(E410="", D410="", LOWER(TRIM(E410))="pending", LOWER(TRIM(D410))="pending"), "Pending", E410 - D410), "Pending")</f>
        <v>10</v>
      </c>
      <c r="AF410" s="138" t="str">
        <f>IFERROR(IF(OR(E410="", D410="","Pending","Pending"), "Pending", IF((E410 - D410) &lt;= 5, "On Time", "Delayed")), "Pending")</f>
        <v>Delayed</v>
      </c>
      <c r="AG410" s="24" t="str">
        <f t="shared" si="20"/>
        <v>Completed</v>
      </c>
    </row>
    <row r="411" spans="1:33">
      <c r="A411" s="24" t="s">
        <v>1779</v>
      </c>
      <c r="B411" s="24" t="s">
        <v>127</v>
      </c>
      <c r="C411" s="24" t="s">
        <v>72</v>
      </c>
      <c r="D411" s="30">
        <v>46015</v>
      </c>
      <c r="E411" s="30" t="s">
        <v>216</v>
      </c>
      <c r="F411" s="24" t="str">
        <f>VLOOKUP(B411,Custumer_Master!A:D,2,FALSE)</f>
        <v>Rohit Singh</v>
      </c>
      <c r="G411" s="24" t="str">
        <f>VLOOKUP($B411,Custumer_Master!$A:$J,6,FALSE)</f>
        <v>Male</v>
      </c>
      <c r="H411" s="30" t="str">
        <f>VLOOKUP($B411,Custumer_Master!$A:$J,7,FALSE)</f>
        <v>10/05/1982</v>
      </c>
      <c r="I411" s="24" t="str">
        <f>VLOOKUP($B411,Custumer_Master!$A:$J,9,FALSE)</f>
        <v>Delhi</v>
      </c>
      <c r="J411" s="24" t="str">
        <f>VLOOKUP($B411,Custumer_Master!$A:$J,10,FALSE)</f>
        <v>North</v>
      </c>
      <c r="K411" s="24" t="str">
        <f>VLOOKUP(B411,Custumer_Master!A:D,4,FALSE)</f>
        <v>DL</v>
      </c>
      <c r="L411" s="24" t="str">
        <f>PROPER(TRIM(VLOOKUP('Final Data'!C411,Product_Master!A:F,3,FALSE)))</f>
        <v>Electronics</v>
      </c>
      <c r="M411" s="24" t="s">
        <v>78</v>
      </c>
      <c r="N411" s="34">
        <v>13</v>
      </c>
      <c r="O411" s="192">
        <f>VLOOKUP(C411,Product_Master!A:F,5,FALSE)</f>
        <v>900</v>
      </c>
      <c r="P411" s="33">
        <v>0.05</v>
      </c>
      <c r="Q411" s="34">
        <f t="shared" si="18"/>
        <v>11115</v>
      </c>
      <c r="R411" s="34">
        <v>4</v>
      </c>
      <c r="S411" s="24" t="s">
        <v>79</v>
      </c>
      <c r="T411" s="24" t="s">
        <v>115</v>
      </c>
      <c r="U411" s="24" t="s">
        <v>132</v>
      </c>
      <c r="V411" s="34">
        <v>9815464650</v>
      </c>
      <c r="W411" s="24" t="str">
        <f>VLOOKUP(C411,Product_Master!A:F,4,FALSE)</f>
        <v>TechHub</v>
      </c>
      <c r="X411" s="34">
        <f>VLOOKUP(C411,Product_Master!A:F,6,FALSE)</f>
        <v>6</v>
      </c>
      <c r="Y411" s="24" t="str">
        <f>VLOOKUP(B411,Custumer_Master!A:D,3,FALSE)</f>
        <v>Gold</v>
      </c>
      <c r="Z411" s="30">
        <f>EDATE(E411,X411)</f>
        <v>46204</v>
      </c>
      <c r="AA411" s="29" t="str">
        <f>VLOOKUP(B411,Custumer_Master!A:K,11,)</f>
        <v>May</v>
      </c>
      <c r="AB411" s="24" t="s">
        <v>2108</v>
      </c>
      <c r="AC411" s="138" t="str">
        <f>PROPER(LEFT(TRIM(F411), 3)) &amp; RIGHT(TRIM(B411), 3) &amp; PROPER(LEFT(TRIM(I411), 2))</f>
        <v>Roh003De</v>
      </c>
      <c r="AD411" s="154">
        <f t="shared" ca="1" si="19"/>
        <v>44</v>
      </c>
      <c r="AE411" s="154">
        <f>IFERROR(IF(OR(E411="", D411="", LOWER(TRIM(E411))="pending", LOWER(TRIM(D411))="pending"), "Pending", E411 - D411), "Pending")</f>
        <v>8</v>
      </c>
      <c r="AF411" s="138" t="str">
        <f>IFERROR(IF(OR(E411="", D411="","Pending","Pending"), "Pending", IF((E411 - D411) &lt;= 5, "On Time", "Delayed")), "Pending")</f>
        <v>Delayed</v>
      </c>
      <c r="AG411" s="24" t="str">
        <f t="shared" si="20"/>
        <v>Completed</v>
      </c>
    </row>
    <row r="412" spans="1:33">
      <c r="A412" s="24" t="s">
        <v>1782</v>
      </c>
      <c r="B412" s="24" t="s">
        <v>23</v>
      </c>
      <c r="C412" s="24" t="s">
        <v>222</v>
      </c>
      <c r="D412" s="30">
        <v>46153</v>
      </c>
      <c r="E412" s="30" t="s">
        <v>1783</v>
      </c>
      <c r="F412" s="24" t="str">
        <f>VLOOKUP(B412,Custumer_Master!A:D,2,FALSE)</f>
        <v>Kavya Nair</v>
      </c>
      <c r="G412" s="24" t="str">
        <f>VLOOKUP($B412,Custumer_Master!$A:$J,6,FALSE)</f>
        <v>Female</v>
      </c>
      <c r="H412" s="30" t="str">
        <f>VLOOKUP($B412,Custumer_Master!$A:$J,7,FALSE)</f>
        <v>01/08/1976</v>
      </c>
      <c r="I412" s="24" t="str">
        <f>VLOOKUP($B412,Custumer_Master!$A:$J,9,FALSE)</f>
        <v>Hyderabad</v>
      </c>
      <c r="J412" s="24" t="str">
        <f>VLOOKUP($B412,Custumer_Master!$A:$J,10,FALSE)</f>
        <v>South</v>
      </c>
      <c r="K412" s="24" t="str">
        <f>VLOOKUP(B412,Custumer_Master!A:D,4,FALSE)</f>
        <v>WB</v>
      </c>
      <c r="L412" s="24" t="str">
        <f>PROPER(TRIM(VLOOKUP('Final Data'!C412,Product_Master!A:F,3,FALSE)))</f>
        <v>Stationery</v>
      </c>
      <c r="M412" s="24" t="s">
        <v>227</v>
      </c>
      <c r="N412" s="34">
        <v>14</v>
      </c>
      <c r="O412" s="192">
        <f>VLOOKUP(C412,Product_Master!A:F,5,FALSE)</f>
        <v>15</v>
      </c>
      <c r="P412" s="33">
        <v>0.2</v>
      </c>
      <c r="Q412" s="34">
        <f t="shared" si="18"/>
        <v>168</v>
      </c>
      <c r="R412" s="34">
        <v>5</v>
      </c>
      <c r="S412" s="24" t="s">
        <v>2149</v>
      </c>
      <c r="T412" s="24" t="s">
        <v>49</v>
      </c>
      <c r="U412" s="24" t="s">
        <v>50</v>
      </c>
      <c r="V412" s="34">
        <v>9860715839</v>
      </c>
      <c r="W412" s="24" t="str">
        <f>VLOOKUP(C412,Product_Master!A:F,4,FALSE)</f>
        <v>Prime Supplies</v>
      </c>
      <c r="X412" s="34">
        <f>VLOOKUP(C412,Product_Master!A:F,6,FALSE)</f>
        <v>12</v>
      </c>
      <c r="Y412" s="24" t="str">
        <f>VLOOKUP(B412,Custumer_Master!A:D,3,FALSE)</f>
        <v>Silver</v>
      </c>
      <c r="Z412" s="30">
        <f>EDATE(E412,X412)</f>
        <v>46524</v>
      </c>
      <c r="AA412" s="29" t="str">
        <f>VLOOKUP(B412,Custumer_Master!A:K,11,)</f>
        <v>August</v>
      </c>
      <c r="AB412" s="24" t="s">
        <v>2108</v>
      </c>
      <c r="AC412" s="138" t="str">
        <f>PROPER(LEFT(TRIM(F412), 3)) &amp; RIGHT(TRIM(B412), 3) &amp; PROPER(LEFT(TRIM(I412), 2))</f>
        <v>Kav008Hy</v>
      </c>
      <c r="AD412" s="154">
        <f t="shared" ca="1" si="19"/>
        <v>49</v>
      </c>
      <c r="AE412" s="154">
        <f>IFERROR(IF(OR(E412="", D412="", LOWER(TRIM(E412))="pending", LOWER(TRIM(D412))="pending"), "Pending", E412 - D412), "Pending")</f>
        <v>6</v>
      </c>
      <c r="AF412" s="138" t="str">
        <f>IFERROR(IF(OR(E412="", D412="","Pending","Pending"), "Pending", IF((E412 - D412) &lt;= 5, "On Time", "Delayed")), "Pending")</f>
        <v>Delayed</v>
      </c>
      <c r="AG412" s="24" t="str">
        <f t="shared" si="20"/>
        <v>Completed</v>
      </c>
    </row>
    <row r="413" spans="1:33">
      <c r="A413" s="24" t="s">
        <v>1786</v>
      </c>
      <c r="B413" s="24" t="s">
        <v>100</v>
      </c>
      <c r="C413" s="24" t="s">
        <v>92</v>
      </c>
      <c r="D413" s="30">
        <v>46064</v>
      </c>
      <c r="E413" s="30" t="s">
        <v>1689</v>
      </c>
      <c r="F413" s="24" t="str">
        <f>VLOOKUP(B413,Custumer_Master!A:D,2,FALSE)</f>
        <v>Priya Patel</v>
      </c>
      <c r="G413" s="24" t="str">
        <f>VLOOKUP($B413,Custumer_Master!$A:$J,6,FALSE)</f>
        <v>Female</v>
      </c>
      <c r="H413" s="30" t="str">
        <f>VLOOKUP($B413,Custumer_Master!$A:$J,7,FALSE)</f>
        <v>07/03/1995</v>
      </c>
      <c r="I413" s="24" t="str">
        <f>VLOOKUP($B413,Custumer_Master!$A:$J,9,FALSE)</f>
        <v>Mumbai</v>
      </c>
      <c r="J413" s="24" t="str">
        <f>VLOOKUP($B413,Custumer_Master!$A:$J,10,FALSE)</f>
        <v>West</v>
      </c>
      <c r="K413" s="24" t="str">
        <f>VLOOKUP(B413,Custumer_Master!A:D,4,FALSE)</f>
        <v>WB</v>
      </c>
      <c r="L413" s="24" t="str">
        <f>PROPER(TRIM(VLOOKUP('Final Data'!C413,Product_Master!A:F,3,FALSE)))</f>
        <v>Home Appliances</v>
      </c>
      <c r="M413" s="24" t="s">
        <v>97</v>
      </c>
      <c r="N413" s="34">
        <v>16</v>
      </c>
      <c r="O413" s="192">
        <f>VLOOKUP(C413,Product_Master!A:F,5,FALSE)</f>
        <v>2625</v>
      </c>
      <c r="P413" s="33">
        <v>0.15</v>
      </c>
      <c r="Q413" s="34">
        <f t="shared" si="18"/>
        <v>35700</v>
      </c>
      <c r="R413" s="34">
        <v>3</v>
      </c>
      <c r="S413" s="24" t="s">
        <v>2149</v>
      </c>
      <c r="T413" s="24" t="s">
        <v>61</v>
      </c>
      <c r="U413" s="24" t="s">
        <v>144</v>
      </c>
      <c r="V413" s="34">
        <v>9207561051</v>
      </c>
      <c r="W413" s="24" t="str">
        <f>VLOOKUP(C413,Product_Master!A:F,4,FALSE)</f>
        <v>Global Trade</v>
      </c>
      <c r="X413" s="34">
        <f>VLOOKUP(C413,Product_Master!A:F,6,FALSE)</f>
        <v>6</v>
      </c>
      <c r="Y413" s="24" t="str">
        <f>VLOOKUP(B413,Custumer_Master!A:D,3,FALSE)</f>
        <v>Platinum</v>
      </c>
      <c r="Z413" s="30">
        <f>EDATE(E413,X413)</f>
        <v>46257</v>
      </c>
      <c r="AA413" s="29" t="str">
        <f>VLOOKUP(B413,Custumer_Master!A:K,11,)</f>
        <v>March</v>
      </c>
      <c r="AB413" s="24" t="s">
        <v>2108</v>
      </c>
      <c r="AC413" s="138" t="str">
        <f>PROPER(LEFT(TRIM(F413), 3)) &amp; RIGHT(TRIM(B413), 3) &amp; PROPER(LEFT(TRIM(I413), 2))</f>
        <v>Pri002Mu</v>
      </c>
      <c r="AD413" s="154">
        <f t="shared" ca="1" si="19"/>
        <v>31</v>
      </c>
      <c r="AE413" s="154">
        <f>IFERROR(IF(OR(E413="", D413="", LOWER(TRIM(E413))="pending", LOWER(TRIM(D413))="pending"), "Pending", E413 - D413), "Pending")</f>
        <v>12</v>
      </c>
      <c r="AF413" s="138" t="str">
        <f>IFERROR(IF(OR(E413="", D413="","Pending","Pending"), "Pending", IF((E413 - D413) &lt;= 5, "On Time", "Delayed")), "Pending")</f>
        <v>Delayed</v>
      </c>
      <c r="AG413" s="24" t="str">
        <f t="shared" si="20"/>
        <v>Completed</v>
      </c>
    </row>
    <row r="414" spans="1:33">
      <c r="A414" s="24" t="s">
        <v>1790</v>
      </c>
      <c r="B414" s="24" t="s">
        <v>251</v>
      </c>
      <c r="C414" s="24" t="s">
        <v>222</v>
      </c>
      <c r="D414" s="30">
        <v>45704</v>
      </c>
      <c r="E414" s="30" t="s">
        <v>1110</v>
      </c>
      <c r="F414" s="24" t="str">
        <f>VLOOKUP(B414,Custumer_Master!A:D,2,FALSE)</f>
        <v>Sneha Joshi</v>
      </c>
      <c r="G414" s="24" t="str">
        <f>VLOOKUP($B414,Custumer_Master!$A:$J,6,FALSE)</f>
        <v>Female</v>
      </c>
      <c r="H414" s="30" t="str">
        <f>VLOOKUP($B414,Custumer_Master!$A:$J,7,FALSE)</f>
        <v>04/04/1981</v>
      </c>
      <c r="I414" s="24" t="str">
        <f>VLOOKUP($B414,Custumer_Master!$A:$J,9,FALSE)</f>
        <v>Pune</v>
      </c>
      <c r="J414" s="24" t="str">
        <f>VLOOKUP($B414,Custumer_Master!$A:$J,10,FALSE)</f>
        <v>West</v>
      </c>
      <c r="K414" s="24" t="str">
        <f>VLOOKUP(B414,Custumer_Master!A:D,4,FALSE)</f>
        <v>WB</v>
      </c>
      <c r="L414" s="24" t="str">
        <f>PROPER(TRIM(VLOOKUP('Final Data'!C414,Product_Master!A:F,3,FALSE)))</f>
        <v>Stationery</v>
      </c>
      <c r="M414" s="24" t="s">
        <v>227</v>
      </c>
      <c r="N414" s="34">
        <v>20</v>
      </c>
      <c r="O414" s="192">
        <f>VLOOKUP(C414,Product_Master!A:F,5,FALSE)</f>
        <v>15</v>
      </c>
      <c r="P414" s="33">
        <v>0.15</v>
      </c>
      <c r="Q414" s="34">
        <f t="shared" si="18"/>
        <v>255</v>
      </c>
      <c r="R414" s="34">
        <v>1</v>
      </c>
      <c r="S414" s="24" t="s">
        <v>2148</v>
      </c>
      <c r="T414" s="24" t="s">
        <v>61</v>
      </c>
      <c r="U414" s="24" t="s">
        <v>256</v>
      </c>
      <c r="V414" s="34">
        <v>9159894508</v>
      </c>
      <c r="W414" s="24" t="str">
        <f>VLOOKUP(C414,Product_Master!A:F,4,FALSE)</f>
        <v>Prime Supplies</v>
      </c>
      <c r="X414" s="34">
        <f>VLOOKUP(C414,Product_Master!A:F,6,FALSE)</f>
        <v>12</v>
      </c>
      <c r="Y414" s="24" t="str">
        <f>VLOOKUP(B414,Custumer_Master!A:D,3,FALSE)</f>
        <v>Gold</v>
      </c>
      <c r="Z414" s="30">
        <f>EDATE(E414,X414)</f>
        <v>46077</v>
      </c>
      <c r="AA414" s="29" t="str">
        <f>VLOOKUP(B414,Custumer_Master!A:K,11,)</f>
        <v>April</v>
      </c>
      <c r="AB414" s="24" t="s">
        <v>2160</v>
      </c>
      <c r="AC414" s="138" t="str">
        <f>PROPER(LEFT(TRIM(F414), 3)) &amp; RIGHT(TRIM(B414), 3) &amp; PROPER(LEFT(TRIM(I414), 2))</f>
        <v>Sne006Pu</v>
      </c>
      <c r="AD414" s="154">
        <f t="shared" ca="1" si="19"/>
        <v>45</v>
      </c>
      <c r="AE414" s="154">
        <f>IFERROR(IF(OR(E414="", D414="", LOWER(TRIM(E414))="pending", LOWER(TRIM(D414))="pending"), "Pending", E414 - D414), "Pending")</f>
        <v>8</v>
      </c>
      <c r="AF414" s="138" t="str">
        <f>IFERROR(IF(OR(E414="", D414="","Pending","Pending"), "Pending", IF((E414 - D414) &lt;= 5, "On Time", "Delayed")), "Pending")</f>
        <v>Delayed</v>
      </c>
      <c r="AG414" s="24" t="str">
        <f t="shared" si="20"/>
        <v>Completed</v>
      </c>
    </row>
    <row r="415" spans="1:33">
      <c r="A415" s="24" t="s">
        <v>1793</v>
      </c>
      <c r="B415" s="24" t="s">
        <v>168</v>
      </c>
      <c r="C415" s="24" t="s">
        <v>54</v>
      </c>
      <c r="D415" s="30">
        <v>45756</v>
      </c>
      <c r="E415" s="30" t="s">
        <v>666</v>
      </c>
      <c r="F415" s="24" t="str">
        <f>VLOOKUP(B415,Custumer_Master!A:D,2,FALSE)</f>
        <v>Anita Gupta</v>
      </c>
      <c r="G415" s="24" t="str">
        <f>VLOOKUP($B415,Custumer_Master!$A:$J,6,FALSE)</f>
        <v>Female</v>
      </c>
      <c r="H415" s="30" t="str">
        <f>VLOOKUP($B415,Custumer_Master!$A:$J,7,FALSE)</f>
        <v>16/01/2002</v>
      </c>
      <c r="I415" s="24" t="str">
        <f>VLOOKUP($B415,Custumer_Master!$A:$J,9,FALSE)</f>
        <v>Pune</v>
      </c>
      <c r="J415" s="24" t="str">
        <f>VLOOKUP($B415,Custumer_Master!$A:$J,10,FALSE)</f>
        <v>West</v>
      </c>
      <c r="K415" s="24" t="str">
        <f>VLOOKUP(B415,Custumer_Master!A:D,4,FALSE)</f>
        <v>WB</v>
      </c>
      <c r="L415" s="24" t="str">
        <f>PROPER(TRIM(VLOOKUP('Final Data'!C415,Product_Master!A:F,3,FALSE)))</f>
        <v>Electronics</v>
      </c>
      <c r="M415" s="24" t="s">
        <v>60</v>
      </c>
      <c r="N415" s="34">
        <v>1</v>
      </c>
      <c r="O415" s="192">
        <f>VLOOKUP(C415,Product_Master!A:F,5,FALSE)</f>
        <v>41250</v>
      </c>
      <c r="P415" s="33">
        <v>0.15</v>
      </c>
      <c r="Q415" s="34">
        <f t="shared" si="18"/>
        <v>35062.5</v>
      </c>
      <c r="R415" s="34">
        <v>2</v>
      </c>
      <c r="S415" s="24" t="s">
        <v>2149</v>
      </c>
      <c r="T415" s="24" t="s">
        <v>115</v>
      </c>
      <c r="U415" s="24" t="s">
        <v>175</v>
      </c>
      <c r="V415" s="34">
        <v>9531465024</v>
      </c>
      <c r="W415" s="24" t="str">
        <f>VLOOKUP(C415,Product_Master!A:F,4,FALSE)</f>
        <v>TechHub</v>
      </c>
      <c r="X415" s="34">
        <f>VLOOKUP(C415,Product_Master!A:F,6,FALSE)</f>
        <v>12</v>
      </c>
      <c r="Y415" s="24" t="str">
        <f>VLOOKUP(B415,Custumer_Master!A:D,3,FALSE)</f>
        <v>Gold</v>
      </c>
      <c r="Z415" s="30">
        <f>EDATE(E415,X415)</f>
        <v>46126</v>
      </c>
      <c r="AA415" s="29" t="str">
        <f>VLOOKUP(B415,Custumer_Master!A:K,11,)</f>
        <v>January</v>
      </c>
      <c r="AB415" s="24" t="s">
        <v>2160</v>
      </c>
      <c r="AC415" s="138" t="str">
        <f>PROPER(LEFT(TRIM(F415), 3)) &amp; RIGHT(TRIM(B415), 3) &amp; PROPER(LEFT(TRIM(I415), 2))</f>
        <v>Ani004Pu</v>
      </c>
      <c r="AD415" s="154">
        <f t="shared" ca="1" si="19"/>
        <v>24</v>
      </c>
      <c r="AE415" s="154">
        <f>IFERROR(IF(OR(E415="", D415="", LOWER(TRIM(E415))="pending", LOWER(TRIM(D415))="pending"), "Pending", E415 - D415), "Pending")</f>
        <v>5</v>
      </c>
      <c r="AF415" s="138" t="str">
        <f>IFERROR(IF(OR(E415="", D415="","Pending","Pending"), "Pending", IF((E415 - D415) &lt;= 5, "On Time", "Delayed")), "Pending")</f>
        <v>On Time</v>
      </c>
      <c r="AG415" s="24" t="str">
        <f t="shared" si="20"/>
        <v>Completed</v>
      </c>
    </row>
    <row r="416" spans="1:33">
      <c r="A416" s="24" t="s">
        <v>1796</v>
      </c>
      <c r="B416" s="24" t="s">
        <v>100</v>
      </c>
      <c r="C416" s="24" t="s">
        <v>118</v>
      </c>
      <c r="D416" s="30">
        <v>45672</v>
      </c>
      <c r="E416" s="30" t="s">
        <v>620</v>
      </c>
      <c r="F416" s="24" t="str">
        <f>VLOOKUP(B416,Custumer_Master!A:D,2,FALSE)</f>
        <v>Priya Patel</v>
      </c>
      <c r="G416" s="24" t="str">
        <f>VLOOKUP($B416,Custumer_Master!$A:$J,6,FALSE)</f>
        <v>Female</v>
      </c>
      <c r="H416" s="30" t="str">
        <f>VLOOKUP($B416,Custumer_Master!$A:$J,7,FALSE)</f>
        <v>07/03/1995</v>
      </c>
      <c r="I416" s="24" t="str">
        <f>VLOOKUP($B416,Custumer_Master!$A:$J,9,FALSE)</f>
        <v>Mumbai</v>
      </c>
      <c r="J416" s="24" t="str">
        <f>VLOOKUP($B416,Custumer_Master!$A:$J,10,FALSE)</f>
        <v>West</v>
      </c>
      <c r="K416" s="24" t="str">
        <f>VLOOKUP(B416,Custumer_Master!A:D,4,FALSE)</f>
        <v>WB</v>
      </c>
      <c r="L416" s="24" t="str">
        <f>PROPER(TRIM(VLOOKUP('Final Data'!C416,Product_Master!A:F,3,FALSE)))</f>
        <v>Stationery</v>
      </c>
      <c r="M416" s="24" t="s">
        <v>123</v>
      </c>
      <c r="N416" s="34">
        <v>15</v>
      </c>
      <c r="O416" s="192">
        <f>VLOOKUP(C416,Product_Master!A:F,5,FALSE)</f>
        <v>45</v>
      </c>
      <c r="P416" s="33">
        <v>0.05</v>
      </c>
      <c r="Q416" s="34">
        <f t="shared" si="18"/>
        <v>641.25</v>
      </c>
      <c r="R416" s="34">
        <v>4</v>
      </c>
      <c r="S416" s="24" t="s">
        <v>2148</v>
      </c>
      <c r="T416" s="24" t="s">
        <v>61</v>
      </c>
      <c r="U416" s="24" t="s">
        <v>144</v>
      </c>
      <c r="V416" s="34">
        <v>9158813608</v>
      </c>
      <c r="W416" s="24" t="str">
        <f>VLOOKUP(C416,Product_Master!A:F,4,FALSE)</f>
        <v>ABC Corp</v>
      </c>
      <c r="X416" s="34">
        <f>VLOOKUP(C416,Product_Master!A:F,6,FALSE)</f>
        <v>12</v>
      </c>
      <c r="Y416" s="24" t="str">
        <f>VLOOKUP(B416,Custumer_Master!A:D,3,FALSE)</f>
        <v>Platinum</v>
      </c>
      <c r="Z416" s="30">
        <f>EDATE(E416,X416)</f>
        <v>46042</v>
      </c>
      <c r="AA416" s="29" t="str">
        <f>VLOOKUP(B416,Custumer_Master!A:K,11,)</f>
        <v>March</v>
      </c>
      <c r="AB416" s="24" t="s">
        <v>2108</v>
      </c>
      <c r="AC416" s="138" t="str">
        <f>PROPER(LEFT(TRIM(F416), 3)) &amp; RIGHT(TRIM(B416), 3) &amp; PROPER(LEFT(TRIM(I416), 2))</f>
        <v>Pri002Mu</v>
      </c>
      <c r="AD416" s="154">
        <f t="shared" ca="1" si="19"/>
        <v>31</v>
      </c>
      <c r="AE416" s="154">
        <f>IFERROR(IF(OR(E416="", D416="", LOWER(TRIM(E416))="pending", LOWER(TRIM(D416))="pending"), "Pending", E416 - D416), "Pending")</f>
        <v>5</v>
      </c>
      <c r="AF416" s="138" t="str">
        <f>IFERROR(IF(OR(E416="", D416="","Pending","Pending"), "Pending", IF((E416 - D416) &lt;= 5, "On Time", "Delayed")), "Pending")</f>
        <v>On Time</v>
      </c>
      <c r="AG416" s="24" t="str">
        <f t="shared" si="20"/>
        <v>Completed</v>
      </c>
    </row>
    <row r="417" spans="1:33">
      <c r="A417" s="24" t="s">
        <v>1799</v>
      </c>
      <c r="B417" s="24" t="s">
        <v>83</v>
      </c>
      <c r="C417" s="24" t="s">
        <v>184</v>
      </c>
      <c r="D417" s="30">
        <v>46108</v>
      </c>
      <c r="E417" s="30" t="s">
        <v>66</v>
      </c>
      <c r="F417" s="24" t="str">
        <f>VLOOKUP(B417,Custumer_Master!A:D,2,FALSE)</f>
        <v>Arjun Rao</v>
      </c>
      <c r="G417" s="24" t="str">
        <f>VLOOKUP($B417,Custumer_Master!$A:$J,6,FALSE)</f>
        <v>Male</v>
      </c>
      <c r="H417" s="30" t="str">
        <f>VLOOKUP($B417,Custumer_Master!$A:$J,7,FALSE)</f>
        <v>07/02/1988</v>
      </c>
      <c r="I417" s="24" t="str">
        <f>VLOOKUP($B417,Custumer_Master!$A:$J,9,FALSE)</f>
        <v>Hyderabad</v>
      </c>
      <c r="J417" s="24" t="str">
        <f>VLOOKUP($B417,Custumer_Master!$A:$J,10,FALSE)</f>
        <v>South</v>
      </c>
      <c r="K417" s="24" t="str">
        <f>VLOOKUP(B417,Custumer_Master!A:D,4,FALSE)</f>
        <v>RJ</v>
      </c>
      <c r="L417" s="24" t="str">
        <f>PROPER(TRIM(VLOOKUP('Final Data'!C417,Product_Master!A:F,3,FALSE)))</f>
        <v>Electronics</v>
      </c>
      <c r="M417" s="24" t="s">
        <v>189</v>
      </c>
      <c r="N417" s="34">
        <v>15</v>
      </c>
      <c r="O417" s="192">
        <f>VLOOKUP(C417,Product_Master!A:F,5,FALSE)</f>
        <v>525</v>
      </c>
      <c r="P417" s="33">
        <v>0</v>
      </c>
      <c r="Q417" s="34">
        <f t="shared" si="18"/>
        <v>7875</v>
      </c>
      <c r="R417" s="34">
        <v>5</v>
      </c>
      <c r="S417" s="24" t="s">
        <v>2148</v>
      </c>
      <c r="T417" s="24" t="s">
        <v>115</v>
      </c>
      <c r="U417" s="24" t="s">
        <v>89</v>
      </c>
      <c r="V417" s="34">
        <v>9308461700</v>
      </c>
      <c r="W417" s="24" t="str">
        <f>VLOOKUP(C417,Product_Master!A:F,4,FALSE)</f>
        <v>TechHub</v>
      </c>
      <c r="X417" s="34">
        <f>VLOOKUP(C417,Product_Master!A:F,6,FALSE)</f>
        <v>24</v>
      </c>
      <c r="Y417" s="24" t="str">
        <f>VLOOKUP(B417,Custumer_Master!A:D,3,FALSE)</f>
        <v>Silver</v>
      </c>
      <c r="Z417" s="30">
        <f>EDATE(E417,X417)</f>
        <v>46845</v>
      </c>
      <c r="AA417" s="29" t="str">
        <f>VLOOKUP(B417,Custumer_Master!A:K,11,)</f>
        <v>February</v>
      </c>
      <c r="AB417" s="24" t="s">
        <v>2108</v>
      </c>
      <c r="AC417" s="138" t="str">
        <f>PROPER(LEFT(TRIM(F417), 3)) &amp; RIGHT(TRIM(B417), 3) &amp; PROPER(LEFT(TRIM(I417), 2))</f>
        <v>Arj007Hy</v>
      </c>
      <c r="AD417" s="154">
        <f t="shared" ca="1" si="19"/>
        <v>38</v>
      </c>
      <c r="AE417" s="154">
        <f>IFERROR(IF(OR(E417="", D417="", LOWER(TRIM(E417))="pending", LOWER(TRIM(D417))="pending"), "Pending", E417 - D417), "Pending")</f>
        <v>6</v>
      </c>
      <c r="AF417" s="138" t="str">
        <f>IFERROR(IF(OR(E417="", D417="","Pending","Pending"), "Pending", IF((E417 - D417) &lt;= 5, "On Time", "Delayed")), "Pending")</f>
        <v>Delayed</v>
      </c>
      <c r="AG417" s="24" t="str">
        <f t="shared" si="20"/>
        <v>Completed</v>
      </c>
    </row>
    <row r="418" spans="1:33">
      <c r="A418" s="24" t="s">
        <v>1803</v>
      </c>
      <c r="B418" s="24" t="s">
        <v>221</v>
      </c>
      <c r="C418" s="24" t="s">
        <v>40</v>
      </c>
      <c r="D418" s="30">
        <v>46027</v>
      </c>
      <c r="E418" s="30" t="s">
        <v>440</v>
      </c>
      <c r="F418" s="24" t="str">
        <f>VLOOKUP(B418,Custumer_Master!A:D,2,FALSE)</f>
        <v>Vikas Mehta</v>
      </c>
      <c r="G418" s="24" t="str">
        <f>VLOOKUP($B418,Custumer_Master!$A:$J,6,FALSE)</f>
        <v>Male</v>
      </c>
      <c r="H418" s="30" t="str">
        <f>VLOOKUP($B418,Custumer_Master!$A:$J,7,FALSE)</f>
        <v>03/08/1991</v>
      </c>
      <c r="I418" s="24" t="str">
        <f>VLOOKUP($B418,Custumer_Master!$A:$J,9,FALSE)</f>
        <v>Mumbai</v>
      </c>
      <c r="J418" s="24" t="str">
        <f>VLOOKUP($B418,Custumer_Master!$A:$J,10,FALSE)</f>
        <v>West</v>
      </c>
      <c r="K418" s="24" t="str">
        <f>VLOOKUP(B418,Custumer_Master!A:D,4,FALSE)</f>
        <v>DL</v>
      </c>
      <c r="L418" s="24" t="str">
        <f>PROPER(TRIM(VLOOKUP('Final Data'!C418,Product_Master!A:F,3,FALSE)))</f>
        <v>Electronics</v>
      </c>
      <c r="M418" s="24" t="s">
        <v>47</v>
      </c>
      <c r="N418" s="34">
        <v>13</v>
      </c>
      <c r="O418" s="192">
        <f>VLOOKUP(C418,Product_Master!A:F,5,FALSE)</f>
        <v>9000</v>
      </c>
      <c r="P418" s="33">
        <v>0.1</v>
      </c>
      <c r="Q418" s="34">
        <f t="shared" si="18"/>
        <v>105300</v>
      </c>
      <c r="R418" s="34">
        <v>1</v>
      </c>
      <c r="S418" s="24" t="s">
        <v>34</v>
      </c>
      <c r="T418" s="24" t="s">
        <v>151</v>
      </c>
      <c r="U418" s="24" t="s">
        <v>228</v>
      </c>
      <c r="V418" s="34">
        <v>9882279049</v>
      </c>
      <c r="W418" s="24" t="str">
        <f>VLOOKUP(C418,Product_Master!A:F,4,FALSE)</f>
        <v>Global Trade</v>
      </c>
      <c r="X418" s="34">
        <f>VLOOKUP(C418,Product_Master!A:F,6,FALSE)</f>
        <v>24</v>
      </c>
      <c r="Y418" s="24" t="str">
        <f>VLOOKUP(B418,Custumer_Master!A:D,3,FALSE)</f>
        <v>Gold</v>
      </c>
      <c r="Z418" s="30">
        <f>EDATE(E418,X418)</f>
        <v>46761</v>
      </c>
      <c r="AA418" s="29" t="str">
        <f>VLOOKUP(B418,Custumer_Master!A:K,11,)</f>
        <v>August</v>
      </c>
      <c r="AB418" s="24" t="s">
        <v>2160</v>
      </c>
      <c r="AC418" s="138" t="str">
        <f>PROPER(LEFT(TRIM(F418), 3)) &amp; RIGHT(TRIM(B418), 3) &amp; PROPER(LEFT(TRIM(I418), 2))</f>
        <v>Vik005Mu</v>
      </c>
      <c r="AD418" s="154">
        <f t="shared" ca="1" si="19"/>
        <v>34</v>
      </c>
      <c r="AE418" s="154">
        <f>IFERROR(IF(OR(E418="", D418="", LOWER(TRIM(E418))="pending", LOWER(TRIM(D418))="pending"), "Pending", E418 - D418), "Pending")</f>
        <v>4</v>
      </c>
      <c r="AF418" s="138" t="str">
        <f>IFERROR(IF(OR(E418="", D418="","Pending","Pending"), "Pending", IF((E418 - D418) &lt;= 5, "On Time", "Delayed")), "Pending")</f>
        <v>On Time</v>
      </c>
      <c r="AG418" s="24" t="str">
        <f t="shared" si="20"/>
        <v>Completed</v>
      </c>
    </row>
    <row r="419" spans="1:33">
      <c r="A419" s="24" t="s">
        <v>1806</v>
      </c>
      <c r="B419" s="24" t="s">
        <v>83</v>
      </c>
      <c r="C419" s="24" t="s">
        <v>40</v>
      </c>
      <c r="D419" s="30">
        <v>46129</v>
      </c>
      <c r="E419" s="30" t="s">
        <v>1081</v>
      </c>
      <c r="F419" s="24" t="str">
        <f>VLOOKUP(B419,Custumer_Master!A:D,2,FALSE)</f>
        <v>Arjun Rao</v>
      </c>
      <c r="G419" s="24" t="str">
        <f>VLOOKUP($B419,Custumer_Master!$A:$J,6,FALSE)</f>
        <v>Male</v>
      </c>
      <c r="H419" s="30" t="str">
        <f>VLOOKUP($B419,Custumer_Master!$A:$J,7,FALSE)</f>
        <v>07/02/1988</v>
      </c>
      <c r="I419" s="24" t="str">
        <f>VLOOKUP($B419,Custumer_Master!$A:$J,9,FALSE)</f>
        <v>Hyderabad</v>
      </c>
      <c r="J419" s="24" t="str">
        <f>VLOOKUP($B419,Custumer_Master!$A:$J,10,FALSE)</f>
        <v>South</v>
      </c>
      <c r="K419" s="24" t="str">
        <f>VLOOKUP(B419,Custumer_Master!A:D,4,FALSE)</f>
        <v>RJ</v>
      </c>
      <c r="L419" s="24" t="str">
        <f>PROPER(TRIM(VLOOKUP('Final Data'!C419,Product_Master!A:F,3,FALSE)))</f>
        <v>Electronics</v>
      </c>
      <c r="M419" s="24" t="s">
        <v>47</v>
      </c>
      <c r="N419" s="34">
        <v>12</v>
      </c>
      <c r="O419" s="192">
        <f>VLOOKUP(C419,Product_Master!A:F,5,FALSE)</f>
        <v>9000</v>
      </c>
      <c r="P419" s="33">
        <v>0.2</v>
      </c>
      <c r="Q419" s="34">
        <f t="shared" si="18"/>
        <v>86400</v>
      </c>
      <c r="R419" s="34">
        <v>2</v>
      </c>
      <c r="S419" s="24" t="s">
        <v>34</v>
      </c>
      <c r="T419" s="24" t="s">
        <v>35</v>
      </c>
      <c r="U419" s="24" t="s">
        <v>89</v>
      </c>
      <c r="V419" s="34">
        <v>9961801338</v>
      </c>
      <c r="W419" s="24" t="str">
        <f>VLOOKUP(C419,Product_Master!A:F,4,FALSE)</f>
        <v>Global Trade</v>
      </c>
      <c r="X419" s="34">
        <f>VLOOKUP(C419,Product_Master!A:F,6,FALSE)</f>
        <v>24</v>
      </c>
      <c r="Y419" s="24" t="str">
        <f>VLOOKUP(B419,Custumer_Master!A:D,3,FALSE)</f>
        <v>Silver</v>
      </c>
      <c r="Z419" s="30">
        <f>EDATE(E419,X419)</f>
        <v>46872</v>
      </c>
      <c r="AA419" s="29" t="str">
        <f>VLOOKUP(B419,Custumer_Master!A:K,11,)</f>
        <v>February</v>
      </c>
      <c r="AB419" s="24" t="s">
        <v>2160</v>
      </c>
      <c r="AC419" s="138" t="str">
        <f>PROPER(LEFT(TRIM(F419), 3)) &amp; RIGHT(TRIM(B419), 3) &amp; PROPER(LEFT(TRIM(I419), 2))</f>
        <v>Arj007Hy</v>
      </c>
      <c r="AD419" s="154">
        <f t="shared" ca="1" si="19"/>
        <v>38</v>
      </c>
      <c r="AE419" s="154">
        <f>IFERROR(IF(OR(E419="", D419="", LOWER(TRIM(E419))="pending", LOWER(TRIM(D419))="pending"), "Pending", E419 - D419), "Pending")</f>
        <v>12</v>
      </c>
      <c r="AF419" s="138" t="str">
        <f>IFERROR(IF(OR(E419="", D419="","Pending","Pending"), "Pending", IF((E419 - D419) &lt;= 5, "On Time", "Delayed")), "Pending")</f>
        <v>Delayed</v>
      </c>
      <c r="AG419" s="24" t="str">
        <f t="shared" si="20"/>
        <v>Completed</v>
      </c>
    </row>
    <row r="420" spans="1:33">
      <c r="A420" s="24" t="s">
        <v>1810</v>
      </c>
      <c r="B420" s="24" t="s">
        <v>83</v>
      </c>
      <c r="C420" s="24" t="s">
        <v>259</v>
      </c>
      <c r="D420" s="30">
        <v>45741</v>
      </c>
      <c r="E420" s="30" t="s">
        <v>1298</v>
      </c>
      <c r="F420" s="24" t="str">
        <f>VLOOKUP(B420,Custumer_Master!A:D,2,FALSE)</f>
        <v>Arjun Rao</v>
      </c>
      <c r="G420" s="24" t="str">
        <f>VLOOKUP($B420,Custumer_Master!$A:$J,6,FALSE)</f>
        <v>Male</v>
      </c>
      <c r="H420" s="30" t="str">
        <f>VLOOKUP($B420,Custumer_Master!$A:$J,7,FALSE)</f>
        <v>07/02/1988</v>
      </c>
      <c r="I420" s="24" t="str">
        <f>VLOOKUP($B420,Custumer_Master!$A:$J,9,FALSE)</f>
        <v>Hyderabad</v>
      </c>
      <c r="J420" s="24" t="str">
        <f>VLOOKUP($B420,Custumer_Master!$A:$J,10,FALSE)</f>
        <v>South</v>
      </c>
      <c r="K420" s="24" t="str">
        <f>VLOOKUP(B420,Custumer_Master!A:D,4,FALSE)</f>
        <v>RJ</v>
      </c>
      <c r="L420" s="24" t="str">
        <f>PROPER(TRIM(VLOOKUP('Final Data'!C420,Product_Master!A:F,3,FALSE)))</f>
        <v>Stationery</v>
      </c>
      <c r="M420" s="24" t="s">
        <v>263</v>
      </c>
      <c r="N420" s="34">
        <v>10</v>
      </c>
      <c r="O420" s="192">
        <f>VLOOKUP(C420,Product_Master!A:F,5,FALSE)</f>
        <v>33.75</v>
      </c>
      <c r="P420" s="33">
        <v>0</v>
      </c>
      <c r="Q420" s="34">
        <f t="shared" si="18"/>
        <v>337.5</v>
      </c>
      <c r="R420" s="34">
        <v>5</v>
      </c>
      <c r="S420" s="24" t="s">
        <v>79</v>
      </c>
      <c r="T420" s="24" t="s">
        <v>115</v>
      </c>
      <c r="U420" s="24" t="s">
        <v>89</v>
      </c>
      <c r="V420" s="34">
        <v>9853525026</v>
      </c>
      <c r="W420" s="24" t="str">
        <f>VLOOKUP(C420,Product_Master!A:F,4,FALSE)</f>
        <v>TechHub</v>
      </c>
      <c r="X420" s="34">
        <f>VLOOKUP(C420,Product_Master!A:F,6,FALSE)</f>
        <v>12</v>
      </c>
      <c r="Y420" s="24" t="str">
        <f>VLOOKUP(B420,Custumer_Master!A:D,3,FALSE)</f>
        <v>Silver</v>
      </c>
      <c r="Z420" s="30">
        <f>EDATE(E420,X420)</f>
        <v>46110</v>
      </c>
      <c r="AA420" s="29" t="str">
        <f>VLOOKUP(B420,Custumer_Master!A:K,11,)</f>
        <v>February</v>
      </c>
      <c r="AB420" s="24" t="s">
        <v>2108</v>
      </c>
      <c r="AC420" s="138" t="str">
        <f>PROPER(LEFT(TRIM(F420), 3)) &amp; RIGHT(TRIM(B420), 3) &amp; PROPER(LEFT(TRIM(I420), 2))</f>
        <v>Arj007Hy</v>
      </c>
      <c r="AD420" s="154">
        <f t="shared" ca="1" si="19"/>
        <v>38</v>
      </c>
      <c r="AE420" s="154">
        <f>IFERROR(IF(OR(E420="", D420="", LOWER(TRIM(E420))="pending", LOWER(TRIM(D420))="pending"), "Pending", E420 - D420), "Pending")</f>
        <v>4</v>
      </c>
      <c r="AF420" s="138" t="str">
        <f>IFERROR(IF(OR(E420="", D420="","Pending","Pending"), "Pending", IF((E420 - D420) &lt;= 5, "On Time", "Delayed")), "Pending")</f>
        <v>On Time</v>
      </c>
      <c r="AG420" s="24" t="str">
        <f t="shared" si="20"/>
        <v>Completed</v>
      </c>
    </row>
    <row r="421" spans="1:33">
      <c r="A421" s="24" t="s">
        <v>1813</v>
      </c>
      <c r="B421" s="24" t="s">
        <v>127</v>
      </c>
      <c r="C421" s="24" t="s">
        <v>72</v>
      </c>
      <c r="D421" s="30">
        <v>45774</v>
      </c>
      <c r="E421" s="30" t="s">
        <v>596</v>
      </c>
      <c r="F421" s="24" t="str">
        <f>VLOOKUP(B421,Custumer_Master!A:D,2,FALSE)</f>
        <v>Rohit Singh</v>
      </c>
      <c r="G421" s="24" t="str">
        <f>VLOOKUP($B421,Custumer_Master!$A:$J,6,FALSE)</f>
        <v>Male</v>
      </c>
      <c r="H421" s="30" t="str">
        <f>VLOOKUP($B421,Custumer_Master!$A:$J,7,FALSE)</f>
        <v>10/05/1982</v>
      </c>
      <c r="I421" s="24" t="str">
        <f>VLOOKUP($B421,Custumer_Master!$A:$J,9,FALSE)</f>
        <v>Delhi</v>
      </c>
      <c r="J421" s="24" t="str">
        <f>VLOOKUP($B421,Custumer_Master!$A:$J,10,FALSE)</f>
        <v>North</v>
      </c>
      <c r="K421" s="24" t="str">
        <f>VLOOKUP(B421,Custumer_Master!A:D,4,FALSE)</f>
        <v>DL</v>
      </c>
      <c r="L421" s="24" t="str">
        <f>PROPER(TRIM(VLOOKUP('Final Data'!C421,Product_Master!A:F,3,FALSE)))</f>
        <v>Electronics</v>
      </c>
      <c r="M421" s="24" t="s">
        <v>78</v>
      </c>
      <c r="N421" s="34">
        <v>20</v>
      </c>
      <c r="O421" s="192">
        <f>VLOOKUP(C421,Product_Master!A:F,5,FALSE)</f>
        <v>900</v>
      </c>
      <c r="P421" s="33">
        <v>0.2</v>
      </c>
      <c r="Q421" s="34">
        <f t="shared" si="18"/>
        <v>14400</v>
      </c>
      <c r="R421" s="34">
        <v>5</v>
      </c>
      <c r="S421" s="24" t="s">
        <v>2148</v>
      </c>
      <c r="T421" s="24" t="s">
        <v>61</v>
      </c>
      <c r="U421" s="24" t="s">
        <v>132</v>
      </c>
      <c r="V421" s="34">
        <v>9209649485</v>
      </c>
      <c r="W421" s="24" t="str">
        <f>VLOOKUP(C421,Product_Master!A:F,4,FALSE)</f>
        <v>TechHub</v>
      </c>
      <c r="X421" s="34">
        <f>VLOOKUP(C421,Product_Master!A:F,6,FALSE)</f>
        <v>6</v>
      </c>
      <c r="Y421" s="24" t="str">
        <f>VLOOKUP(B421,Custumer_Master!A:D,3,FALSE)</f>
        <v>Gold</v>
      </c>
      <c r="Z421" s="30">
        <f>EDATE(E421,X421)</f>
        <v>45970</v>
      </c>
      <c r="AA421" s="29" t="str">
        <f>VLOOKUP(B421,Custumer_Master!A:K,11,)</f>
        <v>May</v>
      </c>
      <c r="AB421" s="24" t="s">
        <v>2108</v>
      </c>
      <c r="AC421" s="138" t="str">
        <f>PROPER(LEFT(TRIM(F421), 3)) &amp; RIGHT(TRIM(B421), 3) &amp; PROPER(LEFT(TRIM(I421), 2))</f>
        <v>Roh003De</v>
      </c>
      <c r="AD421" s="154">
        <f t="shared" ca="1" si="19"/>
        <v>44</v>
      </c>
      <c r="AE421" s="154">
        <f>IFERROR(IF(OR(E421="", D421="", LOWER(TRIM(E421))="pending", LOWER(TRIM(D421))="pending"), "Pending", E421 - D421), "Pending")</f>
        <v>12</v>
      </c>
      <c r="AF421" s="138" t="str">
        <f>IFERROR(IF(OR(E421="", D421="","Pending","Pending"), "Pending", IF((E421 - D421) &lt;= 5, "On Time", "Delayed")), "Pending")</f>
        <v>Delayed</v>
      </c>
      <c r="AG421" s="24" t="str">
        <f t="shared" si="20"/>
        <v>Completed</v>
      </c>
    </row>
    <row r="422" spans="1:33">
      <c r="A422" s="24" t="s">
        <v>1816</v>
      </c>
      <c r="B422" s="24" t="s">
        <v>71</v>
      </c>
      <c r="C422" s="24" t="s">
        <v>72</v>
      </c>
      <c r="D422" s="30">
        <v>45919</v>
      </c>
      <c r="E422" s="30" t="s">
        <v>1817</v>
      </c>
      <c r="F422" s="24" t="str">
        <f>VLOOKUP(B422,Custumer_Master!A:D,2,FALSE)</f>
        <v>Mohit Verma</v>
      </c>
      <c r="G422" s="24" t="str">
        <f>VLOOKUP($B422,Custumer_Master!$A:$J,6,FALSE)</f>
        <v>Male</v>
      </c>
      <c r="H422" s="30" t="str">
        <f>VLOOKUP($B422,Custumer_Master!$A:$J,7,FALSE)</f>
        <v>13/04/1976</v>
      </c>
      <c r="I422" s="24" t="str">
        <f>VLOOKUP($B422,Custumer_Master!$A:$J,9,FALSE)</f>
        <v>Delhi</v>
      </c>
      <c r="J422" s="24" t="str">
        <f>VLOOKUP($B422,Custumer_Master!$A:$J,10,FALSE)</f>
        <v>North</v>
      </c>
      <c r="K422" s="24" t="str">
        <f>VLOOKUP(B422,Custumer_Master!A:D,4,FALSE)</f>
        <v>KA</v>
      </c>
      <c r="L422" s="24" t="str">
        <f>PROPER(TRIM(VLOOKUP('Final Data'!C422,Product_Master!A:F,3,FALSE)))</f>
        <v>Electronics</v>
      </c>
      <c r="M422" s="24" t="s">
        <v>78</v>
      </c>
      <c r="N422" s="34">
        <v>8</v>
      </c>
      <c r="O422" s="192">
        <f>VLOOKUP(C422,Product_Master!A:F,5,FALSE)</f>
        <v>900</v>
      </c>
      <c r="P422" s="33">
        <v>0.1</v>
      </c>
      <c r="Q422" s="34">
        <f t="shared" si="18"/>
        <v>6480</v>
      </c>
      <c r="R422" s="34">
        <v>4</v>
      </c>
      <c r="S422" s="24" t="s">
        <v>2148</v>
      </c>
      <c r="T422" s="24" t="s">
        <v>61</v>
      </c>
      <c r="U422" s="24" t="s">
        <v>80</v>
      </c>
      <c r="V422" s="34">
        <v>9712905525</v>
      </c>
      <c r="W422" s="24" t="str">
        <f>VLOOKUP(C422,Product_Master!A:F,4,FALSE)</f>
        <v>TechHub</v>
      </c>
      <c r="X422" s="34">
        <f>VLOOKUP(C422,Product_Master!A:F,6,FALSE)</f>
        <v>6</v>
      </c>
      <c r="Y422" s="24" t="str">
        <f>VLOOKUP(B422,Custumer_Master!A:D,3,FALSE)</f>
        <v>Platinum</v>
      </c>
      <c r="Z422" s="30">
        <f>EDATE(E422,X422)</f>
        <v>46107</v>
      </c>
      <c r="AA422" s="29" t="str">
        <f>VLOOKUP(B422,Custumer_Master!A:K,11,)</f>
        <v>April</v>
      </c>
      <c r="AB422" s="24" t="s">
        <v>2108</v>
      </c>
      <c r="AC422" s="138" t="str">
        <f>PROPER(LEFT(TRIM(F422), 3)) &amp; RIGHT(TRIM(B422), 3) &amp; PROPER(LEFT(TRIM(I422), 2))</f>
        <v>Moh009De</v>
      </c>
      <c r="AD422" s="154">
        <f t="shared" ca="1" si="19"/>
        <v>50</v>
      </c>
      <c r="AE422" s="154">
        <f>IFERROR(IF(OR(E422="", D422="", LOWER(TRIM(E422))="pending", LOWER(TRIM(D422))="pending"), "Pending", E422 - D422), "Pending")</f>
        <v>7</v>
      </c>
      <c r="AF422" s="138" t="str">
        <f>IFERROR(IF(OR(E422="", D422="","Pending","Pending"), "Pending", IF((E422 - D422) &lt;= 5, "On Time", "Delayed")), "Pending")</f>
        <v>Delayed</v>
      </c>
      <c r="AG422" s="24" t="str">
        <f t="shared" si="20"/>
        <v>Completed</v>
      </c>
    </row>
    <row r="423" spans="1:33">
      <c r="A423" s="24" t="s">
        <v>1820</v>
      </c>
      <c r="B423" s="24" t="s">
        <v>127</v>
      </c>
      <c r="C423" s="24" t="s">
        <v>72</v>
      </c>
      <c r="D423" s="30">
        <v>45795</v>
      </c>
      <c r="E423" s="30" t="s">
        <v>1086</v>
      </c>
      <c r="F423" s="24" t="str">
        <f>VLOOKUP(B423,Custumer_Master!A:D,2,FALSE)</f>
        <v>Rohit Singh</v>
      </c>
      <c r="G423" s="24" t="str">
        <f>VLOOKUP($B423,Custumer_Master!$A:$J,6,FALSE)</f>
        <v>Male</v>
      </c>
      <c r="H423" s="30" t="str">
        <f>VLOOKUP($B423,Custumer_Master!$A:$J,7,FALSE)</f>
        <v>10/05/1982</v>
      </c>
      <c r="I423" s="24" t="str">
        <f>VLOOKUP($B423,Custumer_Master!$A:$J,9,FALSE)</f>
        <v>Delhi</v>
      </c>
      <c r="J423" s="24" t="str">
        <f>VLOOKUP($B423,Custumer_Master!$A:$J,10,FALSE)</f>
        <v>North</v>
      </c>
      <c r="K423" s="24" t="str">
        <f>VLOOKUP(B423,Custumer_Master!A:D,4,FALSE)</f>
        <v>DL</v>
      </c>
      <c r="L423" s="24" t="str">
        <f>PROPER(TRIM(VLOOKUP('Final Data'!C423,Product_Master!A:F,3,FALSE)))</f>
        <v>Electronics</v>
      </c>
      <c r="M423" s="24" t="s">
        <v>78</v>
      </c>
      <c r="N423" s="34">
        <v>8</v>
      </c>
      <c r="O423" s="192">
        <f>VLOOKUP(C423,Product_Master!A:F,5,FALSE)</f>
        <v>900</v>
      </c>
      <c r="P423" s="33">
        <v>0.1</v>
      </c>
      <c r="Q423" s="34">
        <f t="shared" si="18"/>
        <v>6480</v>
      </c>
      <c r="R423" s="34">
        <v>5</v>
      </c>
      <c r="S423" s="24" t="s">
        <v>79</v>
      </c>
      <c r="T423" s="24" t="s">
        <v>49</v>
      </c>
      <c r="U423" s="24" t="s">
        <v>132</v>
      </c>
      <c r="V423" s="34">
        <v>9812472447</v>
      </c>
      <c r="W423" s="24" t="str">
        <f>VLOOKUP(C423,Product_Master!A:F,4,FALSE)</f>
        <v>TechHub</v>
      </c>
      <c r="X423" s="34">
        <f>VLOOKUP(C423,Product_Master!A:F,6,FALSE)</f>
        <v>6</v>
      </c>
      <c r="Y423" s="24" t="str">
        <f>VLOOKUP(B423,Custumer_Master!A:D,3,FALSE)</f>
        <v>Gold</v>
      </c>
      <c r="Z423" s="30">
        <f>EDATE(E423,X423)</f>
        <v>45981</v>
      </c>
      <c r="AA423" s="29" t="str">
        <f>VLOOKUP(B423,Custumer_Master!A:K,11,)</f>
        <v>May</v>
      </c>
      <c r="AB423" s="24" t="s">
        <v>2108</v>
      </c>
      <c r="AC423" s="138" t="str">
        <f>PROPER(LEFT(TRIM(F423), 3)) &amp; RIGHT(TRIM(B423), 3) &amp; PROPER(LEFT(TRIM(I423), 2))</f>
        <v>Roh003De</v>
      </c>
      <c r="AD423" s="154">
        <f t="shared" ca="1" si="19"/>
        <v>44</v>
      </c>
      <c r="AE423" s="154">
        <f>IFERROR(IF(OR(E423="", D423="", LOWER(TRIM(E423))="pending", LOWER(TRIM(D423))="pending"), "Pending", E423 - D423), "Pending")</f>
        <v>2</v>
      </c>
      <c r="AF423" s="138" t="str">
        <f>IFERROR(IF(OR(E423="", D423="","Pending","Pending"), "Pending", IF((E423 - D423) &lt;= 5, "On Time", "Delayed")), "Pending")</f>
        <v>On Time</v>
      </c>
      <c r="AG423" s="24" t="str">
        <f t="shared" si="20"/>
        <v>Completed</v>
      </c>
    </row>
    <row r="424" spans="1:33">
      <c r="A424" s="24" t="s">
        <v>1823</v>
      </c>
      <c r="B424" s="24" t="s">
        <v>327</v>
      </c>
      <c r="C424" s="24" t="s">
        <v>24</v>
      </c>
      <c r="D424" s="30">
        <v>46020</v>
      </c>
      <c r="E424" s="30" t="s">
        <v>1444</v>
      </c>
      <c r="F424" s="24" t="str">
        <f>VLOOKUP(B424,Custumer_Master!A:D,2,FALSE)</f>
        <v>Amit Sharma</v>
      </c>
      <c r="G424" s="24" t="str">
        <f>VLOOKUP($B424,Custumer_Master!$A:$J,6,FALSE)</f>
        <v>Male</v>
      </c>
      <c r="H424" s="30" t="str">
        <f>VLOOKUP($B424,Custumer_Master!$A:$J,7,FALSE)</f>
        <v>09/08/1991</v>
      </c>
      <c r="I424" s="24" t="str">
        <f>VLOOKUP($B424,Custumer_Master!$A:$J,9,FALSE)</f>
        <v>Pune</v>
      </c>
      <c r="J424" s="24" t="str">
        <f>VLOOKUP($B424,Custumer_Master!$A:$J,10,FALSE)</f>
        <v>West</v>
      </c>
      <c r="K424" s="24" t="str">
        <f>VLOOKUP(B424,Custumer_Master!A:D,4,FALSE)</f>
        <v>RJ</v>
      </c>
      <c r="L424" s="24" t="str">
        <f>PROPER(TRIM(VLOOKUP('Final Data'!C424,Product_Master!A:F,3,FALSE)))</f>
        <v>Home Appliances</v>
      </c>
      <c r="M424" s="24" t="s">
        <v>33</v>
      </c>
      <c r="N424" s="34">
        <v>9</v>
      </c>
      <c r="O424" s="192">
        <f>VLOOKUP(C424,Product_Master!A:F,5,FALSE)</f>
        <v>1650</v>
      </c>
      <c r="P424" s="33">
        <v>0.2</v>
      </c>
      <c r="Q424" s="34">
        <f t="shared" si="18"/>
        <v>11880</v>
      </c>
      <c r="R424" s="34">
        <v>1</v>
      </c>
      <c r="S424" s="24" t="s">
        <v>2148</v>
      </c>
      <c r="T424" s="24" t="s">
        <v>115</v>
      </c>
      <c r="U424" s="24" t="s">
        <v>332</v>
      </c>
      <c r="V424" s="34">
        <v>9281127052</v>
      </c>
      <c r="W424" s="24" t="str">
        <f>VLOOKUP(C424,Product_Master!A:F,4,FALSE)</f>
        <v>Global Trade</v>
      </c>
      <c r="X424" s="34">
        <f>VLOOKUP(C424,Product_Master!A:F,6,FALSE)</f>
        <v>24</v>
      </c>
      <c r="Y424" s="24" t="str">
        <f>VLOOKUP(B424,Custumer_Master!A:D,3,FALSE)</f>
        <v>Silver</v>
      </c>
      <c r="Z424" s="30">
        <f>EDATE(E424,X424)</f>
        <v>46751</v>
      </c>
      <c r="AA424" s="29" t="str">
        <f>VLOOKUP(B424,Custumer_Master!A:K,11,)</f>
        <v>August</v>
      </c>
      <c r="AB424" s="24" t="s">
        <v>2160</v>
      </c>
      <c r="AC424" s="138" t="str">
        <f>PROPER(LEFT(TRIM(F424), 3)) &amp; RIGHT(TRIM(B424), 3) &amp; PROPER(LEFT(TRIM(I424), 2))</f>
        <v>Ami001Pu</v>
      </c>
      <c r="AD424" s="154">
        <f t="shared" ca="1" si="19"/>
        <v>34</v>
      </c>
      <c r="AE424" s="154">
        <f>IFERROR(IF(OR(E424="", D424="", LOWER(TRIM(E424))="pending", LOWER(TRIM(D424))="pending"), "Pending", E424 - D424), "Pending")</f>
        <v>1</v>
      </c>
      <c r="AF424" s="138" t="str">
        <f>IFERROR(IF(OR(E424="", D424="","Pending","Pending"), "Pending", IF((E424 - D424) &lt;= 5, "On Time", "Delayed")), "Pending")</f>
        <v>On Time</v>
      </c>
      <c r="AG424" s="24" t="str">
        <f t="shared" si="20"/>
        <v>Completed</v>
      </c>
    </row>
    <row r="425" spans="1:33">
      <c r="A425" s="24" t="s">
        <v>1827</v>
      </c>
      <c r="B425" s="24" t="s">
        <v>127</v>
      </c>
      <c r="C425" s="24" t="s">
        <v>222</v>
      </c>
      <c r="D425" s="30">
        <v>45669</v>
      </c>
      <c r="E425" s="30" t="s">
        <v>760</v>
      </c>
      <c r="F425" s="24" t="str">
        <f>VLOOKUP(B425,Custumer_Master!A:D,2,FALSE)</f>
        <v>Rohit Singh</v>
      </c>
      <c r="G425" s="24" t="str">
        <f>VLOOKUP($B425,Custumer_Master!$A:$J,6,FALSE)</f>
        <v>Male</v>
      </c>
      <c r="H425" s="30" t="str">
        <f>VLOOKUP($B425,Custumer_Master!$A:$J,7,FALSE)</f>
        <v>10/05/1982</v>
      </c>
      <c r="I425" s="24" t="str">
        <f>VLOOKUP($B425,Custumer_Master!$A:$J,9,FALSE)</f>
        <v>Delhi</v>
      </c>
      <c r="J425" s="24" t="str">
        <f>VLOOKUP($B425,Custumer_Master!$A:$J,10,FALSE)</f>
        <v>North</v>
      </c>
      <c r="K425" s="24" t="str">
        <f>VLOOKUP(B425,Custumer_Master!A:D,4,FALSE)</f>
        <v>DL</v>
      </c>
      <c r="L425" s="24" t="str">
        <f>PROPER(TRIM(VLOOKUP('Final Data'!C425,Product_Master!A:F,3,FALSE)))</f>
        <v>Stationery</v>
      </c>
      <c r="M425" s="24" t="s">
        <v>227</v>
      </c>
      <c r="N425" s="34">
        <v>8</v>
      </c>
      <c r="O425" s="192">
        <f>VLOOKUP(C425,Product_Master!A:F,5,FALSE)</f>
        <v>15</v>
      </c>
      <c r="P425" s="33">
        <v>0.2</v>
      </c>
      <c r="Q425" s="34">
        <f t="shared" si="18"/>
        <v>96</v>
      </c>
      <c r="R425" s="34">
        <v>4</v>
      </c>
      <c r="S425" s="24" t="s">
        <v>34</v>
      </c>
      <c r="T425" s="24" t="s">
        <v>35</v>
      </c>
      <c r="U425" s="24" t="s">
        <v>132</v>
      </c>
      <c r="V425" s="34">
        <v>9346312555</v>
      </c>
      <c r="W425" s="24" t="str">
        <f>VLOOKUP(C425,Product_Master!A:F,4,FALSE)</f>
        <v>Prime Supplies</v>
      </c>
      <c r="X425" s="34">
        <f>VLOOKUP(C425,Product_Master!A:F,6,FALSE)</f>
        <v>12</v>
      </c>
      <c r="Y425" s="24" t="str">
        <f>VLOOKUP(B425,Custumer_Master!A:D,3,FALSE)</f>
        <v>Gold</v>
      </c>
      <c r="Z425" s="30">
        <f>EDATE(E425,X425)</f>
        <v>46038</v>
      </c>
      <c r="AA425" s="29" t="str">
        <f>VLOOKUP(B425,Custumer_Master!A:K,11,)</f>
        <v>May</v>
      </c>
      <c r="AB425" s="24" t="s">
        <v>2108</v>
      </c>
      <c r="AC425" s="138" t="str">
        <f>PROPER(LEFT(TRIM(F425), 3)) &amp; RIGHT(TRIM(B425), 3) &amp; PROPER(LEFT(TRIM(I425), 2))</f>
        <v>Roh003De</v>
      </c>
      <c r="AD425" s="154">
        <f t="shared" ca="1" si="19"/>
        <v>44</v>
      </c>
      <c r="AE425" s="154">
        <f>IFERROR(IF(OR(E425="", D425="", LOWER(TRIM(E425))="pending", LOWER(TRIM(D425))="pending"), "Pending", E425 - D425), "Pending")</f>
        <v>4</v>
      </c>
      <c r="AF425" s="138" t="str">
        <f>IFERROR(IF(OR(E425="", D425="","Pending","Pending"), "Pending", IF((E425 - D425) &lt;= 5, "On Time", "Delayed")), "Pending")</f>
        <v>On Time</v>
      </c>
      <c r="AG425" s="24" t="str">
        <f t="shared" si="20"/>
        <v>Completed</v>
      </c>
    </row>
    <row r="426" spans="1:33">
      <c r="A426" s="24" t="s">
        <v>1830</v>
      </c>
      <c r="B426" s="24" t="s">
        <v>221</v>
      </c>
      <c r="C426" s="24" t="s">
        <v>54</v>
      </c>
      <c r="D426" s="30">
        <v>46035</v>
      </c>
      <c r="E426" s="30" t="s">
        <v>1831</v>
      </c>
      <c r="F426" s="24" t="str">
        <f>VLOOKUP(B426,Custumer_Master!A:D,2,FALSE)</f>
        <v>Vikas Mehta</v>
      </c>
      <c r="G426" s="24" t="str">
        <f>VLOOKUP($B426,Custumer_Master!$A:$J,6,FALSE)</f>
        <v>Male</v>
      </c>
      <c r="H426" s="30" t="str">
        <f>VLOOKUP($B426,Custumer_Master!$A:$J,7,FALSE)</f>
        <v>03/08/1991</v>
      </c>
      <c r="I426" s="24" t="str">
        <f>VLOOKUP($B426,Custumer_Master!$A:$J,9,FALSE)</f>
        <v>Mumbai</v>
      </c>
      <c r="J426" s="24" t="str">
        <f>VLOOKUP($B426,Custumer_Master!$A:$J,10,FALSE)</f>
        <v>West</v>
      </c>
      <c r="K426" s="24" t="str">
        <f>VLOOKUP(B426,Custumer_Master!A:D,4,FALSE)</f>
        <v>DL</v>
      </c>
      <c r="L426" s="24" t="str">
        <f>PROPER(TRIM(VLOOKUP('Final Data'!C426,Product_Master!A:F,3,FALSE)))</f>
        <v>Electronics</v>
      </c>
      <c r="M426" s="24" t="s">
        <v>60</v>
      </c>
      <c r="N426" s="34">
        <v>5</v>
      </c>
      <c r="O426" s="192">
        <f>VLOOKUP(C426,Product_Master!A:F,5,FALSE)</f>
        <v>41250</v>
      </c>
      <c r="P426" s="33">
        <v>0</v>
      </c>
      <c r="Q426" s="34">
        <f t="shared" si="18"/>
        <v>206250</v>
      </c>
      <c r="R426" s="34">
        <v>1</v>
      </c>
      <c r="S426" s="24" t="s">
        <v>79</v>
      </c>
      <c r="T426" s="24" t="s">
        <v>115</v>
      </c>
      <c r="U426" s="24" t="s">
        <v>228</v>
      </c>
      <c r="V426" s="34">
        <v>9443786067</v>
      </c>
      <c r="W426" s="24" t="str">
        <f>VLOOKUP(C426,Product_Master!A:F,4,FALSE)</f>
        <v>TechHub</v>
      </c>
      <c r="X426" s="34">
        <f>VLOOKUP(C426,Product_Master!A:F,6,FALSE)</f>
        <v>12</v>
      </c>
      <c r="Y426" s="24" t="str">
        <f>VLOOKUP(B426,Custumer_Master!A:D,3,FALSE)</f>
        <v>Gold</v>
      </c>
      <c r="Z426" s="30">
        <f>EDATE(E426,X426)</f>
        <v>46409</v>
      </c>
      <c r="AA426" s="29" t="str">
        <f>VLOOKUP(B426,Custumer_Master!A:K,11,)</f>
        <v>August</v>
      </c>
      <c r="AB426" s="24" t="s">
        <v>2160</v>
      </c>
      <c r="AC426" s="138" t="str">
        <f>PROPER(LEFT(TRIM(F426), 3)) &amp; RIGHT(TRIM(B426), 3) &amp; PROPER(LEFT(TRIM(I426), 2))</f>
        <v>Vik005Mu</v>
      </c>
      <c r="AD426" s="154">
        <f t="shared" ca="1" si="19"/>
        <v>34</v>
      </c>
      <c r="AE426" s="154">
        <f>IFERROR(IF(OR(E426="", D426="", LOWER(TRIM(E426))="pending", LOWER(TRIM(D426))="pending"), "Pending", E426 - D426), "Pending")</f>
        <v>9</v>
      </c>
      <c r="AF426" s="138" t="str">
        <f>IFERROR(IF(OR(E426="", D426="","Pending","Pending"), "Pending", IF((E426 - D426) &lt;= 5, "On Time", "Delayed")), "Pending")</f>
        <v>Delayed</v>
      </c>
      <c r="AG426" s="24" t="str">
        <f t="shared" si="20"/>
        <v>Completed</v>
      </c>
    </row>
    <row r="427" spans="1:33">
      <c r="A427" s="24" t="s">
        <v>1833</v>
      </c>
      <c r="B427" s="24" t="s">
        <v>100</v>
      </c>
      <c r="C427" s="24" t="s">
        <v>72</v>
      </c>
      <c r="D427" s="30">
        <v>46096</v>
      </c>
      <c r="E427" s="30" t="s">
        <v>636</v>
      </c>
      <c r="F427" s="24" t="str">
        <f>VLOOKUP(B427,Custumer_Master!A:D,2,FALSE)</f>
        <v>Priya Patel</v>
      </c>
      <c r="G427" s="24" t="str">
        <f>VLOOKUP($B427,Custumer_Master!$A:$J,6,FALSE)</f>
        <v>Female</v>
      </c>
      <c r="H427" s="30" t="str">
        <f>VLOOKUP($B427,Custumer_Master!$A:$J,7,FALSE)</f>
        <v>07/03/1995</v>
      </c>
      <c r="I427" s="24" t="str">
        <f>VLOOKUP($B427,Custumer_Master!$A:$J,9,FALSE)</f>
        <v>Mumbai</v>
      </c>
      <c r="J427" s="24" t="str">
        <f>VLOOKUP($B427,Custumer_Master!$A:$J,10,FALSE)</f>
        <v>West</v>
      </c>
      <c r="K427" s="24" t="str">
        <f>VLOOKUP(B427,Custumer_Master!A:D,4,FALSE)</f>
        <v>WB</v>
      </c>
      <c r="L427" s="24" t="str">
        <f>PROPER(TRIM(VLOOKUP('Final Data'!C427,Product_Master!A:F,3,FALSE)))</f>
        <v>Electronics</v>
      </c>
      <c r="M427" s="24" t="s">
        <v>78</v>
      </c>
      <c r="N427" s="34">
        <v>13</v>
      </c>
      <c r="O427" s="192">
        <f>VLOOKUP(C427,Product_Master!A:F,5,FALSE)</f>
        <v>900</v>
      </c>
      <c r="P427" s="33">
        <v>0.05</v>
      </c>
      <c r="Q427" s="34">
        <f t="shared" si="18"/>
        <v>11115</v>
      </c>
      <c r="R427" s="34">
        <v>2</v>
      </c>
      <c r="S427" s="24" t="s">
        <v>79</v>
      </c>
      <c r="T427" s="24" t="s">
        <v>35</v>
      </c>
      <c r="U427" s="24" t="s">
        <v>144</v>
      </c>
      <c r="V427" s="34">
        <v>9452540528</v>
      </c>
      <c r="W427" s="24" t="str">
        <f>VLOOKUP(C427,Product_Master!A:F,4,FALSE)</f>
        <v>TechHub</v>
      </c>
      <c r="X427" s="34">
        <f>VLOOKUP(C427,Product_Master!A:F,6,FALSE)</f>
        <v>6</v>
      </c>
      <c r="Y427" s="24" t="str">
        <f>VLOOKUP(B427,Custumer_Master!A:D,3,FALSE)</f>
        <v>Platinum</v>
      </c>
      <c r="Z427" s="30">
        <f>EDATE(E427,X427)</f>
        <v>46283</v>
      </c>
      <c r="AA427" s="29" t="str">
        <f>VLOOKUP(B427,Custumer_Master!A:K,11,)</f>
        <v>March</v>
      </c>
      <c r="AB427" s="24" t="s">
        <v>2160</v>
      </c>
      <c r="AC427" s="138" t="str">
        <f>PROPER(LEFT(TRIM(F427), 3)) &amp; RIGHT(TRIM(B427), 3) &amp; PROPER(LEFT(TRIM(I427), 2))</f>
        <v>Pri002Mu</v>
      </c>
      <c r="AD427" s="154">
        <f t="shared" ca="1" si="19"/>
        <v>31</v>
      </c>
      <c r="AE427" s="154">
        <f>IFERROR(IF(OR(E427="", D427="", LOWER(TRIM(E427))="pending", LOWER(TRIM(D427))="pending"), "Pending", E427 - D427), "Pending")</f>
        <v>3</v>
      </c>
      <c r="AF427" s="138" t="str">
        <f>IFERROR(IF(OR(E427="", D427="","Pending","Pending"), "Pending", IF((E427 - D427) &lt;= 5, "On Time", "Delayed")), "Pending")</f>
        <v>On Time</v>
      </c>
      <c r="AG427" s="24" t="str">
        <f t="shared" si="20"/>
        <v>Completed</v>
      </c>
    </row>
    <row r="428" spans="1:33">
      <c r="A428" s="24" t="s">
        <v>1837</v>
      </c>
      <c r="B428" s="24" t="s">
        <v>83</v>
      </c>
      <c r="C428" s="24" t="s">
        <v>169</v>
      </c>
      <c r="D428" s="30">
        <v>45986</v>
      </c>
      <c r="E428" s="30" t="s">
        <v>1838</v>
      </c>
      <c r="F428" s="24" t="str">
        <f>VLOOKUP(B428,Custumer_Master!A:D,2,FALSE)</f>
        <v>Arjun Rao</v>
      </c>
      <c r="G428" s="24" t="str">
        <f>VLOOKUP($B428,Custumer_Master!$A:$J,6,FALSE)</f>
        <v>Male</v>
      </c>
      <c r="H428" s="30" t="str">
        <f>VLOOKUP($B428,Custumer_Master!$A:$J,7,FALSE)</f>
        <v>07/02/1988</v>
      </c>
      <c r="I428" s="24" t="str">
        <f>VLOOKUP($B428,Custumer_Master!$A:$J,9,FALSE)</f>
        <v>Hyderabad</v>
      </c>
      <c r="J428" s="24" t="str">
        <f>VLOOKUP($B428,Custumer_Master!$A:$J,10,FALSE)</f>
        <v>South</v>
      </c>
      <c r="K428" s="24" t="str">
        <f>VLOOKUP(B428,Custumer_Master!A:D,4,FALSE)</f>
        <v>RJ</v>
      </c>
      <c r="L428" s="24" t="str">
        <f>PROPER(TRIM(VLOOKUP('Final Data'!C428,Product_Master!A:F,3,FALSE)))</f>
        <v>Home Appliances</v>
      </c>
      <c r="M428" s="24" t="s">
        <v>174</v>
      </c>
      <c r="N428" s="34">
        <v>13</v>
      </c>
      <c r="O428" s="192">
        <f>VLOOKUP(C428,Product_Master!A:F,5,FALSE)</f>
        <v>6375</v>
      </c>
      <c r="P428" s="33">
        <v>0.2</v>
      </c>
      <c r="Q428" s="34">
        <f t="shared" si="18"/>
        <v>66300</v>
      </c>
      <c r="R428" s="34">
        <v>5</v>
      </c>
      <c r="S428" s="24" t="s">
        <v>34</v>
      </c>
      <c r="T428" s="24" t="s">
        <v>49</v>
      </c>
      <c r="U428" s="24" t="s">
        <v>89</v>
      </c>
      <c r="V428" s="34">
        <v>9750918728</v>
      </c>
      <c r="W428" s="24" t="str">
        <f>VLOOKUP(C428,Product_Master!A:F,4,FALSE)</f>
        <v>TechHub</v>
      </c>
      <c r="X428" s="34">
        <f>VLOOKUP(C428,Product_Master!A:F,6,FALSE)</f>
        <v>24</v>
      </c>
      <c r="Y428" s="24" t="str">
        <f>VLOOKUP(B428,Custumer_Master!A:D,3,FALSE)</f>
        <v>Silver</v>
      </c>
      <c r="Z428" s="30">
        <f>EDATE(E428,X428)</f>
        <v>46721</v>
      </c>
      <c r="AA428" s="29" t="str">
        <f>VLOOKUP(B428,Custumer_Master!A:K,11,)</f>
        <v>February</v>
      </c>
      <c r="AB428" s="24" t="s">
        <v>2112</v>
      </c>
      <c r="AC428" s="138" t="str">
        <f>PROPER(LEFT(TRIM(F428), 3)) &amp; RIGHT(TRIM(B428), 3) &amp; PROPER(LEFT(TRIM(I428), 2))</f>
        <v>Arj007Hy</v>
      </c>
      <c r="AD428" s="154">
        <f t="shared" ca="1" si="19"/>
        <v>38</v>
      </c>
      <c r="AE428" s="154">
        <f>IFERROR(IF(OR(E428="", D428="", LOWER(TRIM(E428))="pending", LOWER(TRIM(D428))="pending"), "Pending", E428 - D428), "Pending")</f>
        <v>5</v>
      </c>
      <c r="AF428" s="138" t="str">
        <f>IFERROR(IF(OR(E428="", D428="","Pending","Pending"), "Pending", IF((E428 - D428) &lt;= 5, "On Time", "Delayed")), "Pending")</f>
        <v>On Time</v>
      </c>
      <c r="AG428" s="24" t="str">
        <f t="shared" si="20"/>
        <v>Completed</v>
      </c>
    </row>
    <row r="429" spans="1:33">
      <c r="A429" s="24" t="s">
        <v>1841</v>
      </c>
      <c r="B429" s="24" t="s">
        <v>71</v>
      </c>
      <c r="C429" s="24" t="s">
        <v>118</v>
      </c>
      <c r="D429" s="30">
        <v>45692</v>
      </c>
      <c r="E429" s="30" t="s">
        <v>1842</v>
      </c>
      <c r="F429" s="24" t="str">
        <f>VLOOKUP(B429,Custumer_Master!A:D,2,FALSE)</f>
        <v>Mohit Verma</v>
      </c>
      <c r="G429" s="24" t="str">
        <f>VLOOKUP($B429,Custumer_Master!$A:$J,6,FALSE)</f>
        <v>Male</v>
      </c>
      <c r="H429" s="30" t="str">
        <f>VLOOKUP($B429,Custumer_Master!$A:$J,7,FALSE)</f>
        <v>13/04/1976</v>
      </c>
      <c r="I429" s="24" t="str">
        <f>VLOOKUP($B429,Custumer_Master!$A:$J,9,FALSE)</f>
        <v>Delhi</v>
      </c>
      <c r="J429" s="24" t="str">
        <f>VLOOKUP($B429,Custumer_Master!$A:$J,10,FALSE)</f>
        <v>North</v>
      </c>
      <c r="K429" s="24" t="str">
        <f>VLOOKUP(B429,Custumer_Master!A:D,4,FALSE)</f>
        <v>KA</v>
      </c>
      <c r="L429" s="24" t="str">
        <f>PROPER(TRIM(VLOOKUP('Final Data'!C429,Product_Master!A:F,3,FALSE)))</f>
        <v>Stationery</v>
      </c>
      <c r="M429" s="24" t="s">
        <v>123</v>
      </c>
      <c r="N429" s="34">
        <v>14</v>
      </c>
      <c r="O429" s="192">
        <f>VLOOKUP(C429,Product_Master!A:F,5,FALSE)</f>
        <v>45</v>
      </c>
      <c r="P429" s="33">
        <v>0.1</v>
      </c>
      <c r="Q429" s="34">
        <f t="shared" si="18"/>
        <v>567</v>
      </c>
      <c r="R429" s="34">
        <v>1</v>
      </c>
      <c r="S429" s="24" t="s">
        <v>34</v>
      </c>
      <c r="T429" s="24" t="s">
        <v>61</v>
      </c>
      <c r="U429" s="24" t="s">
        <v>80</v>
      </c>
      <c r="V429" s="34">
        <v>9375975834</v>
      </c>
      <c r="W429" s="24" t="str">
        <f>VLOOKUP(C429,Product_Master!A:F,4,FALSE)</f>
        <v>ABC Corp</v>
      </c>
      <c r="X429" s="34">
        <f>VLOOKUP(C429,Product_Master!A:F,6,FALSE)</f>
        <v>12</v>
      </c>
      <c r="Y429" s="24" t="str">
        <f>VLOOKUP(B429,Custumer_Master!A:D,3,FALSE)</f>
        <v>Platinum</v>
      </c>
      <c r="Z429" s="30">
        <f>EDATE(E429,X429)</f>
        <v>46068</v>
      </c>
      <c r="AA429" s="29" t="str">
        <f>VLOOKUP(B429,Custumer_Master!A:K,11,)</f>
        <v>April</v>
      </c>
      <c r="AB429" s="24" t="s">
        <v>2160</v>
      </c>
      <c r="AC429" s="138" t="str">
        <f>PROPER(LEFT(TRIM(F429), 3)) &amp; RIGHT(TRIM(B429), 3) &amp; PROPER(LEFT(TRIM(I429), 2))</f>
        <v>Moh009De</v>
      </c>
      <c r="AD429" s="154">
        <f t="shared" ca="1" si="19"/>
        <v>50</v>
      </c>
      <c r="AE429" s="154">
        <f>IFERROR(IF(OR(E429="", D429="", LOWER(TRIM(E429))="pending", LOWER(TRIM(D429))="pending"), "Pending", E429 - D429), "Pending")</f>
        <v>11</v>
      </c>
      <c r="AF429" s="138" t="str">
        <f>IFERROR(IF(OR(E429="", D429="","Pending","Pending"), "Pending", IF((E429 - D429) &lt;= 5, "On Time", "Delayed")), "Pending")</f>
        <v>Delayed</v>
      </c>
      <c r="AG429" s="24" t="str">
        <f t="shared" si="20"/>
        <v>Completed</v>
      </c>
    </row>
    <row r="430" spans="1:33">
      <c r="A430" s="24" t="s">
        <v>1845</v>
      </c>
      <c r="B430" s="24" t="s">
        <v>251</v>
      </c>
      <c r="C430" s="24" t="s">
        <v>24</v>
      </c>
      <c r="D430" s="30">
        <v>45775</v>
      </c>
      <c r="E430" s="30" t="s">
        <v>606</v>
      </c>
      <c r="F430" s="24" t="str">
        <f>VLOOKUP(B430,Custumer_Master!A:D,2,FALSE)</f>
        <v>Sneha Joshi</v>
      </c>
      <c r="G430" s="24" t="str">
        <f>VLOOKUP($B430,Custumer_Master!$A:$J,6,FALSE)</f>
        <v>Female</v>
      </c>
      <c r="H430" s="30" t="str">
        <f>VLOOKUP($B430,Custumer_Master!$A:$J,7,FALSE)</f>
        <v>04/04/1981</v>
      </c>
      <c r="I430" s="24" t="str">
        <f>VLOOKUP($B430,Custumer_Master!$A:$J,9,FALSE)</f>
        <v>Pune</v>
      </c>
      <c r="J430" s="24" t="str">
        <f>VLOOKUP($B430,Custumer_Master!$A:$J,10,FALSE)</f>
        <v>West</v>
      </c>
      <c r="K430" s="24" t="str">
        <f>VLOOKUP(B430,Custumer_Master!A:D,4,FALSE)</f>
        <v>WB</v>
      </c>
      <c r="L430" s="24" t="str">
        <f>PROPER(TRIM(VLOOKUP('Final Data'!C430,Product_Master!A:F,3,FALSE)))</f>
        <v>Home Appliances</v>
      </c>
      <c r="M430" s="24" t="s">
        <v>33</v>
      </c>
      <c r="N430" s="34">
        <v>15</v>
      </c>
      <c r="O430" s="192">
        <f>VLOOKUP(C430,Product_Master!A:F,5,FALSE)</f>
        <v>1650</v>
      </c>
      <c r="P430" s="33">
        <v>0</v>
      </c>
      <c r="Q430" s="34">
        <f t="shared" si="18"/>
        <v>24750</v>
      </c>
      <c r="R430" s="34">
        <v>1</v>
      </c>
      <c r="S430" s="24" t="s">
        <v>34</v>
      </c>
      <c r="T430" s="24" t="s">
        <v>61</v>
      </c>
      <c r="U430" s="24" t="s">
        <v>256</v>
      </c>
      <c r="V430" s="34">
        <v>9497321112</v>
      </c>
      <c r="W430" s="24" t="str">
        <f>VLOOKUP(C430,Product_Master!A:F,4,FALSE)</f>
        <v>Global Trade</v>
      </c>
      <c r="X430" s="34">
        <f>VLOOKUP(C430,Product_Master!A:F,6,FALSE)</f>
        <v>24</v>
      </c>
      <c r="Y430" s="24" t="str">
        <f>VLOOKUP(B430,Custumer_Master!A:D,3,FALSE)</f>
        <v>Gold</v>
      </c>
      <c r="Z430" s="30">
        <f>EDATE(E430,X430)</f>
        <v>46506</v>
      </c>
      <c r="AA430" s="29" t="str">
        <f>VLOOKUP(B430,Custumer_Master!A:K,11,)</f>
        <v>April</v>
      </c>
      <c r="AB430" s="24" t="s">
        <v>2160</v>
      </c>
      <c r="AC430" s="138" t="str">
        <f>PROPER(LEFT(TRIM(F430), 3)) &amp; RIGHT(TRIM(B430), 3) &amp; PROPER(LEFT(TRIM(I430), 2))</f>
        <v>Sne006Pu</v>
      </c>
      <c r="AD430" s="154">
        <f t="shared" ca="1" si="19"/>
        <v>45</v>
      </c>
      <c r="AE430" s="154">
        <f>IFERROR(IF(OR(E430="", D430="", LOWER(TRIM(E430))="pending", LOWER(TRIM(D430))="pending"), "Pending", E430 - D430), "Pending")</f>
        <v>1</v>
      </c>
      <c r="AF430" s="138" t="str">
        <f>IFERROR(IF(OR(E430="", D430="","Pending","Pending"), "Pending", IF((E430 - D430) &lt;= 5, "On Time", "Delayed")), "Pending")</f>
        <v>On Time</v>
      </c>
      <c r="AG430" s="24" t="str">
        <f t="shared" si="20"/>
        <v>Completed</v>
      </c>
    </row>
    <row r="431" spans="1:33">
      <c r="A431" s="24" t="s">
        <v>1848</v>
      </c>
      <c r="B431" s="24" t="s">
        <v>83</v>
      </c>
      <c r="C431" s="24" t="s">
        <v>118</v>
      </c>
      <c r="D431" s="30">
        <v>45896</v>
      </c>
      <c r="E431" s="30" t="s">
        <v>1850</v>
      </c>
      <c r="F431" s="24" t="str">
        <f>VLOOKUP(B431,Custumer_Master!A:D,2,FALSE)</f>
        <v>Arjun Rao</v>
      </c>
      <c r="G431" s="24" t="str">
        <f>VLOOKUP($B431,Custumer_Master!$A:$J,6,FALSE)</f>
        <v>Male</v>
      </c>
      <c r="H431" s="30" t="str">
        <f>VLOOKUP($B431,Custumer_Master!$A:$J,7,FALSE)</f>
        <v>07/02/1988</v>
      </c>
      <c r="I431" s="24" t="str">
        <f>VLOOKUP($B431,Custumer_Master!$A:$J,9,FALSE)</f>
        <v>Hyderabad</v>
      </c>
      <c r="J431" s="24" t="str">
        <f>VLOOKUP($B431,Custumer_Master!$A:$J,10,FALSE)</f>
        <v>South</v>
      </c>
      <c r="K431" s="24" t="str">
        <f>VLOOKUP(B431,Custumer_Master!A:D,4,FALSE)</f>
        <v>RJ</v>
      </c>
      <c r="L431" s="24" t="str">
        <f>PROPER(TRIM(VLOOKUP('Final Data'!C431,Product_Master!A:F,3,FALSE)))</f>
        <v>Stationery</v>
      </c>
      <c r="M431" s="24" t="s">
        <v>123</v>
      </c>
      <c r="N431" s="34">
        <v>19</v>
      </c>
      <c r="O431" s="192">
        <f>VLOOKUP(C431,Product_Master!A:F,5,FALSE)</f>
        <v>45</v>
      </c>
      <c r="P431" s="33">
        <v>0.2</v>
      </c>
      <c r="Q431" s="34">
        <f t="shared" si="18"/>
        <v>684</v>
      </c>
      <c r="R431" s="34">
        <v>3</v>
      </c>
      <c r="S431" s="24" t="s">
        <v>34</v>
      </c>
      <c r="T431" s="24" t="s">
        <v>151</v>
      </c>
      <c r="U431" s="24" t="s">
        <v>89</v>
      </c>
      <c r="V431" s="34">
        <v>9828749888</v>
      </c>
      <c r="W431" s="24" t="str">
        <f>VLOOKUP(C431,Product_Master!A:F,4,FALSE)</f>
        <v>ABC Corp</v>
      </c>
      <c r="X431" s="34">
        <f>VLOOKUP(C431,Product_Master!A:F,6,FALSE)</f>
        <v>12</v>
      </c>
      <c r="Y431" s="24" t="str">
        <f>VLOOKUP(B431,Custumer_Master!A:D,3,FALSE)</f>
        <v>Silver</v>
      </c>
      <c r="Z431" s="30">
        <f>EDATE(E431,X431)</f>
        <v>46263</v>
      </c>
      <c r="AA431" s="29" t="str">
        <f>VLOOKUP(B431,Custumer_Master!A:K,11,)</f>
        <v>February</v>
      </c>
      <c r="AB431" s="24" t="s">
        <v>2108</v>
      </c>
      <c r="AC431" s="138" t="str">
        <f>PROPER(LEFT(TRIM(F431), 3)) &amp; RIGHT(TRIM(B431), 3) &amp; PROPER(LEFT(TRIM(I431), 2))</f>
        <v>Arj007Hy</v>
      </c>
      <c r="AD431" s="154">
        <f t="shared" ca="1" si="19"/>
        <v>38</v>
      </c>
      <c r="AE431" s="154">
        <f>IFERROR(IF(OR(E431="", D431="", LOWER(TRIM(E431))="pending", LOWER(TRIM(D431))="pending"), "Pending", E431 - D431), "Pending")</f>
        <v>2</v>
      </c>
      <c r="AF431" s="138" t="str">
        <f>IFERROR(IF(OR(E431="", D431="","Pending","Pending"), "Pending", IF((E431 - D431) &lt;= 5, "On Time", "Delayed")), "Pending")</f>
        <v>On Time</v>
      </c>
      <c r="AG431" s="24" t="str">
        <f t="shared" si="20"/>
        <v>Completed</v>
      </c>
    </row>
    <row r="432" spans="1:33">
      <c r="A432" s="24" t="s">
        <v>1853</v>
      </c>
      <c r="B432" s="24" t="s">
        <v>53</v>
      </c>
      <c r="C432" s="24" t="s">
        <v>259</v>
      </c>
      <c r="D432" s="30">
        <v>45942</v>
      </c>
      <c r="E432" s="30" t="s">
        <v>341</v>
      </c>
      <c r="F432" s="24" t="str">
        <f>VLOOKUP(B432,Custumer_Master!A:D,2,FALSE)</f>
        <v>Pooja Shah</v>
      </c>
      <c r="G432" s="24" t="str">
        <f>VLOOKUP($B432,Custumer_Master!$A:$J,6,FALSE)</f>
        <v>Female</v>
      </c>
      <c r="H432" s="30" t="str">
        <f>VLOOKUP($B432,Custumer_Master!$A:$J,7,FALSE)</f>
        <v>16/09/1994</v>
      </c>
      <c r="I432" s="24" t="str">
        <f>VLOOKUP($B432,Custumer_Master!$A:$J,9,FALSE)</f>
        <v>Bengaluru</v>
      </c>
      <c r="J432" s="24" t="str">
        <f>VLOOKUP($B432,Custumer_Master!$A:$J,10,FALSE)</f>
        <v>South</v>
      </c>
      <c r="K432" s="24" t="str">
        <f>VLOOKUP(B432,Custumer_Master!A:D,4,FALSE)</f>
        <v>WB</v>
      </c>
      <c r="L432" s="24" t="str">
        <f>PROPER(TRIM(VLOOKUP('Final Data'!C432,Product_Master!A:F,3,FALSE)))</f>
        <v>Stationery</v>
      </c>
      <c r="M432" s="24" t="s">
        <v>263</v>
      </c>
      <c r="N432" s="34">
        <v>13</v>
      </c>
      <c r="O432" s="192">
        <f>VLOOKUP(C432,Product_Master!A:F,5,FALSE)</f>
        <v>33.75</v>
      </c>
      <c r="P432" s="33">
        <v>0.15</v>
      </c>
      <c r="Q432" s="34">
        <f t="shared" si="18"/>
        <v>372.9375</v>
      </c>
      <c r="R432" s="34">
        <v>2</v>
      </c>
      <c r="S432" s="24" t="s">
        <v>34</v>
      </c>
      <c r="T432" s="24" t="s">
        <v>49</v>
      </c>
      <c r="U432" s="24" t="s">
        <v>62</v>
      </c>
      <c r="V432" s="34">
        <v>9814267382</v>
      </c>
      <c r="W432" s="24" t="str">
        <f>VLOOKUP(C432,Product_Master!A:F,4,FALSE)</f>
        <v>TechHub</v>
      </c>
      <c r="X432" s="34">
        <f>VLOOKUP(C432,Product_Master!A:F,6,FALSE)</f>
        <v>12</v>
      </c>
      <c r="Y432" s="24" t="str">
        <f>VLOOKUP(B432,Custumer_Master!A:D,3,FALSE)</f>
        <v>Silver</v>
      </c>
      <c r="Z432" s="30">
        <f>EDATE(E432,X432)</f>
        <v>46318</v>
      </c>
      <c r="AA432" s="29" t="str">
        <f>VLOOKUP(B432,Custumer_Master!A:K,11,)</f>
        <v>September</v>
      </c>
      <c r="AB432" s="24" t="s">
        <v>2160</v>
      </c>
      <c r="AC432" s="138" t="str">
        <f>PROPER(LEFT(TRIM(F432), 3)) &amp; RIGHT(TRIM(B432), 3) &amp; PROPER(LEFT(TRIM(I432), 2))</f>
        <v>Poo010Be</v>
      </c>
      <c r="AD432" s="154">
        <f t="shared" ca="1" si="19"/>
        <v>31</v>
      </c>
      <c r="AE432" s="154">
        <f>IFERROR(IF(OR(E432="", D432="", LOWER(TRIM(E432))="pending", LOWER(TRIM(D432))="pending"), "Pending", E432 - D432), "Pending")</f>
        <v>11</v>
      </c>
      <c r="AF432" s="138" t="str">
        <f>IFERROR(IF(OR(E432="", D432="","Pending","Pending"), "Pending", IF((E432 - D432) &lt;= 5, "On Time", "Delayed")), "Pending")</f>
        <v>Delayed</v>
      </c>
      <c r="AG432" s="24" t="str">
        <f t="shared" si="20"/>
        <v>Completed</v>
      </c>
    </row>
    <row r="433" spans="1:33">
      <c r="A433" s="24" t="s">
        <v>1856</v>
      </c>
      <c r="B433" s="24" t="s">
        <v>251</v>
      </c>
      <c r="C433" s="24" t="s">
        <v>40</v>
      </c>
      <c r="D433" s="30">
        <v>46036</v>
      </c>
      <c r="E433" s="30" t="s">
        <v>1128</v>
      </c>
      <c r="F433" s="24" t="str">
        <f>VLOOKUP(B433,Custumer_Master!A:D,2,FALSE)</f>
        <v>Sneha Joshi</v>
      </c>
      <c r="G433" s="24" t="str">
        <f>VLOOKUP($B433,Custumer_Master!$A:$J,6,FALSE)</f>
        <v>Female</v>
      </c>
      <c r="H433" s="30" t="str">
        <f>VLOOKUP($B433,Custumer_Master!$A:$J,7,FALSE)</f>
        <v>04/04/1981</v>
      </c>
      <c r="I433" s="24" t="str">
        <f>VLOOKUP($B433,Custumer_Master!$A:$J,9,FALSE)</f>
        <v>Pune</v>
      </c>
      <c r="J433" s="24" t="str">
        <f>VLOOKUP($B433,Custumer_Master!$A:$J,10,FALSE)</f>
        <v>West</v>
      </c>
      <c r="K433" s="24" t="str">
        <f>VLOOKUP(B433,Custumer_Master!A:D,4,FALSE)</f>
        <v>WB</v>
      </c>
      <c r="L433" s="24" t="str">
        <f>PROPER(TRIM(VLOOKUP('Final Data'!C433,Product_Master!A:F,3,FALSE)))</f>
        <v>Electronics</v>
      </c>
      <c r="M433" s="24" t="s">
        <v>47</v>
      </c>
      <c r="N433" s="34">
        <v>7</v>
      </c>
      <c r="O433" s="192">
        <f>VLOOKUP(C433,Product_Master!A:F,5,FALSE)</f>
        <v>9000</v>
      </c>
      <c r="P433" s="33">
        <v>0.05</v>
      </c>
      <c r="Q433" s="34">
        <f t="shared" si="18"/>
        <v>59850</v>
      </c>
      <c r="R433" s="34">
        <v>4</v>
      </c>
      <c r="S433" s="24" t="s">
        <v>79</v>
      </c>
      <c r="T433" s="24" t="s">
        <v>151</v>
      </c>
      <c r="U433" s="24" t="s">
        <v>256</v>
      </c>
      <c r="V433" s="34">
        <v>9937007439</v>
      </c>
      <c r="W433" s="24" t="str">
        <f>VLOOKUP(C433,Product_Master!A:F,4,FALSE)</f>
        <v>Global Trade</v>
      </c>
      <c r="X433" s="34">
        <f>VLOOKUP(C433,Product_Master!A:F,6,FALSE)</f>
        <v>24</v>
      </c>
      <c r="Y433" s="24" t="str">
        <f>VLOOKUP(B433,Custumer_Master!A:D,3,FALSE)</f>
        <v>Gold</v>
      </c>
      <c r="Z433" s="30">
        <f>EDATE(E433,X433)</f>
        <v>46776</v>
      </c>
      <c r="AA433" s="29" t="str">
        <f>VLOOKUP(B433,Custumer_Master!A:K,11,)</f>
        <v>April</v>
      </c>
      <c r="AB433" s="24" t="s">
        <v>2112</v>
      </c>
      <c r="AC433" s="138" t="str">
        <f>PROPER(LEFT(TRIM(F433), 3)) &amp; RIGHT(TRIM(B433), 3) &amp; PROPER(LEFT(TRIM(I433), 2))</f>
        <v>Sne006Pu</v>
      </c>
      <c r="AD433" s="154">
        <f t="shared" ca="1" si="19"/>
        <v>45</v>
      </c>
      <c r="AE433" s="154">
        <f>IFERROR(IF(OR(E433="", D433="", LOWER(TRIM(E433))="pending", LOWER(TRIM(D433))="pending"), "Pending", E433 - D433), "Pending")</f>
        <v>10</v>
      </c>
      <c r="AF433" s="138" t="str">
        <f>IFERROR(IF(OR(E433="", D433="","Pending","Pending"), "Pending", IF((E433 - D433) &lt;= 5, "On Time", "Delayed")), "Pending")</f>
        <v>Delayed</v>
      </c>
      <c r="AG433" s="24" t="str">
        <f t="shared" si="20"/>
        <v>Completed</v>
      </c>
    </row>
    <row r="434" spans="1:33">
      <c r="A434" s="24" t="s">
        <v>1859</v>
      </c>
      <c r="B434" s="24" t="s">
        <v>327</v>
      </c>
      <c r="C434" s="24" t="s">
        <v>222</v>
      </c>
      <c r="D434" s="30">
        <v>46152</v>
      </c>
      <c r="E434" s="30"/>
      <c r="F434" s="24" t="str">
        <f>VLOOKUP(B434,Custumer_Master!A:D,2,FALSE)</f>
        <v>Amit Sharma</v>
      </c>
      <c r="G434" s="24" t="str">
        <f>VLOOKUP($B434,Custumer_Master!$A:$J,6,FALSE)</f>
        <v>Male</v>
      </c>
      <c r="H434" s="30" t="str">
        <f>VLOOKUP($B434,Custumer_Master!$A:$J,7,FALSE)</f>
        <v>09/08/1991</v>
      </c>
      <c r="I434" s="24" t="str">
        <f>VLOOKUP($B434,Custumer_Master!$A:$J,9,FALSE)</f>
        <v>Pune</v>
      </c>
      <c r="J434" s="24" t="str">
        <f>VLOOKUP($B434,Custumer_Master!$A:$J,10,FALSE)</f>
        <v>West</v>
      </c>
      <c r="K434" s="24" t="str">
        <f>VLOOKUP(B434,Custumer_Master!A:D,4,FALSE)</f>
        <v>RJ</v>
      </c>
      <c r="L434" s="24" t="str">
        <f>PROPER(TRIM(VLOOKUP('Final Data'!C434,Product_Master!A:F,3,FALSE)))</f>
        <v>Stationery</v>
      </c>
      <c r="M434" s="24" t="s">
        <v>227</v>
      </c>
      <c r="N434" s="34">
        <v>8</v>
      </c>
      <c r="O434" s="192">
        <f>VLOOKUP(C434,Product_Master!A:F,5,FALSE)</f>
        <v>15</v>
      </c>
      <c r="P434" s="33">
        <v>0</v>
      </c>
      <c r="Q434" s="34">
        <f t="shared" si="18"/>
        <v>120</v>
      </c>
      <c r="R434" s="34">
        <v>4</v>
      </c>
      <c r="S434" s="24" t="s">
        <v>79</v>
      </c>
      <c r="T434" s="24" t="s">
        <v>61</v>
      </c>
      <c r="U434" s="24" t="s">
        <v>332</v>
      </c>
      <c r="V434" s="34">
        <v>9657513435</v>
      </c>
      <c r="W434" s="24" t="str">
        <f>VLOOKUP(C434,Product_Master!A:F,4,FALSE)</f>
        <v>Prime Supplies</v>
      </c>
      <c r="X434" s="34">
        <f>VLOOKUP(C434,Product_Master!A:F,6,FALSE)</f>
        <v>12</v>
      </c>
      <c r="Y434" s="24" t="str">
        <f>VLOOKUP(B434,Custumer_Master!A:D,3,FALSE)</f>
        <v>Silver</v>
      </c>
      <c r="Z434" s="30">
        <f>EDATE(E434,X434)</f>
        <v>366</v>
      </c>
      <c r="AA434" s="29" t="str">
        <f>VLOOKUP(B434,Custumer_Master!A:K,11,)</f>
        <v>August</v>
      </c>
      <c r="AB434" s="24" t="s">
        <v>2108</v>
      </c>
      <c r="AC434" s="138" t="str">
        <f>PROPER(LEFT(TRIM(F434), 3)) &amp; RIGHT(TRIM(B434), 3) &amp; PROPER(LEFT(TRIM(I434), 2))</f>
        <v>Ami001Pu</v>
      </c>
      <c r="AD434" s="154">
        <f t="shared" ca="1" si="19"/>
        <v>34</v>
      </c>
      <c r="AE434" s="154" t="str">
        <f>IFERROR(IF(OR(E434="", D434="", LOWER(TRIM(E434))="pending", LOWER(TRIM(D434))="pending"), "Pending", E434 - D434), "Pending")</f>
        <v>Pending</v>
      </c>
      <c r="AF434" s="138" t="str">
        <f>IFERROR(IF(OR(E434="", D434="","Pending","Pending"), "Pending", IF((E434 - D434) &lt;= 5, "On Time", "Delayed")), "Pending")</f>
        <v>Pending</v>
      </c>
      <c r="AG434" s="24" t="str">
        <f t="shared" si="20"/>
        <v>Pending</v>
      </c>
    </row>
    <row r="435" spans="1:33">
      <c r="A435" s="24" t="s">
        <v>1862</v>
      </c>
      <c r="B435" s="24" t="s">
        <v>23</v>
      </c>
      <c r="C435" s="24" t="s">
        <v>92</v>
      </c>
      <c r="D435" s="30">
        <v>45689</v>
      </c>
      <c r="E435" s="30" t="s">
        <v>900</v>
      </c>
      <c r="F435" s="24" t="str">
        <f>VLOOKUP(B435,Custumer_Master!A:D,2,FALSE)</f>
        <v>Kavya Nair</v>
      </c>
      <c r="G435" s="24" t="str">
        <f>VLOOKUP($B435,Custumer_Master!$A:$J,6,FALSE)</f>
        <v>Female</v>
      </c>
      <c r="H435" s="30" t="str">
        <f>VLOOKUP($B435,Custumer_Master!$A:$J,7,FALSE)</f>
        <v>01/08/1976</v>
      </c>
      <c r="I435" s="24" t="str">
        <f>VLOOKUP($B435,Custumer_Master!$A:$J,9,FALSE)</f>
        <v>Hyderabad</v>
      </c>
      <c r="J435" s="24" t="str">
        <f>VLOOKUP($B435,Custumer_Master!$A:$J,10,FALSE)</f>
        <v>South</v>
      </c>
      <c r="K435" s="24" t="str">
        <f>VLOOKUP(B435,Custumer_Master!A:D,4,FALSE)</f>
        <v>WB</v>
      </c>
      <c r="L435" s="24" t="str">
        <f>PROPER(TRIM(VLOOKUP('Final Data'!C435,Product_Master!A:F,3,FALSE)))</f>
        <v>Home Appliances</v>
      </c>
      <c r="M435" s="24" t="s">
        <v>97</v>
      </c>
      <c r="N435" s="34">
        <v>16</v>
      </c>
      <c r="O435" s="192">
        <f>VLOOKUP(C435,Product_Master!A:F,5,FALSE)</f>
        <v>2625</v>
      </c>
      <c r="P435" s="33">
        <v>0.05</v>
      </c>
      <c r="Q435" s="34">
        <f t="shared" si="18"/>
        <v>39900</v>
      </c>
      <c r="R435" s="34">
        <v>1</v>
      </c>
      <c r="S435" s="24" t="s">
        <v>79</v>
      </c>
      <c r="T435" s="24" t="s">
        <v>61</v>
      </c>
      <c r="U435" s="24" t="s">
        <v>50</v>
      </c>
      <c r="V435" s="34">
        <v>9999406260</v>
      </c>
      <c r="W435" s="24" t="str">
        <f>VLOOKUP(C435,Product_Master!A:F,4,FALSE)</f>
        <v>Global Trade</v>
      </c>
      <c r="X435" s="34">
        <f>VLOOKUP(C435,Product_Master!A:F,6,FALSE)</f>
        <v>6</v>
      </c>
      <c r="Y435" s="24" t="str">
        <f>VLOOKUP(B435,Custumer_Master!A:D,3,FALSE)</f>
        <v>Silver</v>
      </c>
      <c r="Z435" s="30">
        <f>EDATE(E435,X435)</f>
        <v>45875</v>
      </c>
      <c r="AA435" s="29" t="str">
        <f>VLOOKUP(B435,Custumer_Master!A:K,11,)</f>
        <v>August</v>
      </c>
      <c r="AB435" s="24" t="s">
        <v>2160</v>
      </c>
      <c r="AC435" s="138" t="str">
        <f>PROPER(LEFT(TRIM(F435), 3)) &amp; RIGHT(TRIM(B435), 3) &amp; PROPER(LEFT(TRIM(I435), 2))</f>
        <v>Kav008Hy</v>
      </c>
      <c r="AD435" s="154">
        <f t="shared" ca="1" si="19"/>
        <v>49</v>
      </c>
      <c r="AE435" s="154">
        <f>IFERROR(IF(OR(E435="", D435="", LOWER(TRIM(E435))="pending", LOWER(TRIM(D435))="pending"), "Pending", E435 - D435), "Pending")</f>
        <v>5</v>
      </c>
      <c r="AF435" s="138" t="str">
        <f>IFERROR(IF(OR(E435="", D435="","Pending","Pending"), "Pending", IF((E435 - D435) &lt;= 5, "On Time", "Delayed")), "Pending")</f>
        <v>On Time</v>
      </c>
      <c r="AG435" s="24" t="str">
        <f t="shared" si="20"/>
        <v>Completed</v>
      </c>
    </row>
    <row r="436" spans="1:33">
      <c r="A436" s="24" t="s">
        <v>1866</v>
      </c>
      <c r="B436" s="24" t="s">
        <v>327</v>
      </c>
      <c r="C436" s="24" t="s">
        <v>169</v>
      </c>
      <c r="D436" s="30">
        <v>45710</v>
      </c>
      <c r="E436" s="30" t="s">
        <v>1157</v>
      </c>
      <c r="F436" s="24" t="str">
        <f>VLOOKUP(B436,Custumer_Master!A:D,2,FALSE)</f>
        <v>Amit Sharma</v>
      </c>
      <c r="G436" s="24" t="str">
        <f>VLOOKUP($B436,Custumer_Master!$A:$J,6,FALSE)</f>
        <v>Male</v>
      </c>
      <c r="H436" s="30" t="str">
        <f>VLOOKUP($B436,Custumer_Master!$A:$J,7,FALSE)</f>
        <v>09/08/1991</v>
      </c>
      <c r="I436" s="24" t="str">
        <f>VLOOKUP($B436,Custumer_Master!$A:$J,9,FALSE)</f>
        <v>Pune</v>
      </c>
      <c r="J436" s="24" t="str">
        <f>VLOOKUP($B436,Custumer_Master!$A:$J,10,FALSE)</f>
        <v>West</v>
      </c>
      <c r="K436" s="24" t="str">
        <f>VLOOKUP(B436,Custumer_Master!A:D,4,FALSE)</f>
        <v>RJ</v>
      </c>
      <c r="L436" s="24" t="str">
        <f>PROPER(TRIM(VLOOKUP('Final Data'!C436,Product_Master!A:F,3,FALSE)))</f>
        <v>Home Appliances</v>
      </c>
      <c r="M436" s="24" t="s">
        <v>174</v>
      </c>
      <c r="N436" s="34">
        <v>12</v>
      </c>
      <c r="O436" s="192">
        <f>VLOOKUP(C436,Product_Master!A:F,5,FALSE)</f>
        <v>6375</v>
      </c>
      <c r="P436" s="33">
        <v>0.1</v>
      </c>
      <c r="Q436" s="34">
        <f t="shared" si="18"/>
        <v>68850</v>
      </c>
      <c r="R436" s="34">
        <v>3</v>
      </c>
      <c r="S436" s="24" t="s">
        <v>79</v>
      </c>
      <c r="T436" s="24" t="s">
        <v>35</v>
      </c>
      <c r="U436" s="24" t="s">
        <v>332</v>
      </c>
      <c r="V436" s="34">
        <v>9233727886</v>
      </c>
      <c r="W436" s="24" t="str">
        <f>VLOOKUP(C436,Product_Master!A:F,4,FALSE)</f>
        <v>TechHub</v>
      </c>
      <c r="X436" s="34">
        <f>VLOOKUP(C436,Product_Master!A:F,6,FALSE)</f>
        <v>24</v>
      </c>
      <c r="Y436" s="24" t="str">
        <f>VLOOKUP(B436,Custumer_Master!A:D,3,FALSE)</f>
        <v>Silver</v>
      </c>
      <c r="Z436" s="30">
        <f>EDATE(E436,X436)</f>
        <v>46450</v>
      </c>
      <c r="AA436" s="29" t="str">
        <f>VLOOKUP(B436,Custumer_Master!A:K,11,)</f>
        <v>August</v>
      </c>
      <c r="AB436" s="24" t="s">
        <v>2112</v>
      </c>
      <c r="AC436" s="138" t="str">
        <f>PROPER(LEFT(TRIM(F436), 3)) &amp; RIGHT(TRIM(B436), 3) &amp; PROPER(LEFT(TRIM(I436), 2))</f>
        <v>Ami001Pu</v>
      </c>
      <c r="AD436" s="154">
        <f t="shared" ca="1" si="19"/>
        <v>34</v>
      </c>
      <c r="AE436" s="154">
        <f>IFERROR(IF(OR(E436="", D436="", LOWER(TRIM(E436))="pending", LOWER(TRIM(D436))="pending"), "Pending", E436 - D436), "Pending")</f>
        <v>10</v>
      </c>
      <c r="AF436" s="138" t="str">
        <f>IFERROR(IF(OR(E436="", D436="","Pending","Pending"), "Pending", IF((E436 - D436) &lt;= 5, "On Time", "Delayed")), "Pending")</f>
        <v>Delayed</v>
      </c>
      <c r="AG436" s="24" t="str">
        <f t="shared" si="20"/>
        <v>Completed</v>
      </c>
    </row>
    <row r="437" spans="1:33">
      <c r="A437" s="24" t="s">
        <v>1870</v>
      </c>
      <c r="B437" s="24" t="s">
        <v>23</v>
      </c>
      <c r="C437" s="24" t="s">
        <v>118</v>
      </c>
      <c r="D437" s="30">
        <v>45765</v>
      </c>
      <c r="E437" s="30" t="s">
        <v>1114</v>
      </c>
      <c r="F437" s="24" t="str">
        <f>VLOOKUP(B437,Custumer_Master!A:D,2,FALSE)</f>
        <v>Kavya Nair</v>
      </c>
      <c r="G437" s="24" t="str">
        <f>VLOOKUP($B437,Custumer_Master!$A:$J,6,FALSE)</f>
        <v>Female</v>
      </c>
      <c r="H437" s="30" t="str">
        <f>VLOOKUP($B437,Custumer_Master!$A:$J,7,FALSE)</f>
        <v>01/08/1976</v>
      </c>
      <c r="I437" s="24" t="str">
        <f>VLOOKUP($B437,Custumer_Master!$A:$J,9,FALSE)</f>
        <v>Hyderabad</v>
      </c>
      <c r="J437" s="24" t="str">
        <f>VLOOKUP($B437,Custumer_Master!$A:$J,10,FALSE)</f>
        <v>South</v>
      </c>
      <c r="K437" s="24" t="str">
        <f>VLOOKUP(B437,Custumer_Master!A:D,4,FALSE)</f>
        <v>WB</v>
      </c>
      <c r="L437" s="24" t="str">
        <f>PROPER(TRIM(VLOOKUP('Final Data'!C437,Product_Master!A:F,3,FALSE)))</f>
        <v>Stationery</v>
      </c>
      <c r="M437" s="24" t="s">
        <v>123</v>
      </c>
      <c r="N437" s="34">
        <v>1</v>
      </c>
      <c r="O437" s="192">
        <f>VLOOKUP(C437,Product_Master!A:F,5,FALSE)</f>
        <v>45</v>
      </c>
      <c r="P437" s="33">
        <v>0.2</v>
      </c>
      <c r="Q437" s="34">
        <f t="shared" si="18"/>
        <v>36</v>
      </c>
      <c r="R437" s="34">
        <v>2</v>
      </c>
      <c r="S437" s="24" t="s">
        <v>79</v>
      </c>
      <c r="T437" s="24" t="s">
        <v>151</v>
      </c>
      <c r="U437" s="24" t="s">
        <v>50</v>
      </c>
      <c r="V437" s="34">
        <v>9831688801</v>
      </c>
      <c r="W437" s="24" t="str">
        <f>VLOOKUP(C437,Product_Master!A:F,4,FALSE)</f>
        <v>ABC Corp</v>
      </c>
      <c r="X437" s="34">
        <f>VLOOKUP(C437,Product_Master!A:F,6,FALSE)</f>
        <v>12</v>
      </c>
      <c r="Y437" s="24" t="str">
        <f>VLOOKUP(B437,Custumer_Master!A:D,3,FALSE)</f>
        <v>Silver</v>
      </c>
      <c r="Z437" s="30">
        <f>EDATE(E437,X437)</f>
        <v>46132</v>
      </c>
      <c r="AA437" s="29" t="str">
        <f>VLOOKUP(B437,Custumer_Master!A:K,11,)</f>
        <v>August</v>
      </c>
      <c r="AB437" s="24" t="s">
        <v>2160</v>
      </c>
      <c r="AC437" s="138" t="str">
        <f>PROPER(LEFT(TRIM(F437), 3)) &amp; RIGHT(TRIM(B437), 3) &amp; PROPER(LEFT(TRIM(I437), 2))</f>
        <v>Kav008Hy</v>
      </c>
      <c r="AD437" s="154">
        <f t="shared" ca="1" si="19"/>
        <v>49</v>
      </c>
      <c r="AE437" s="154">
        <f>IFERROR(IF(OR(E437="", D437="", LOWER(TRIM(E437))="pending", LOWER(TRIM(D437))="pending"), "Pending", E437 - D437), "Pending")</f>
        <v>2</v>
      </c>
      <c r="AF437" s="138" t="str">
        <f>IFERROR(IF(OR(E437="", D437="","Pending","Pending"), "Pending", IF((E437 - D437) &lt;= 5, "On Time", "Delayed")), "Pending")</f>
        <v>On Time</v>
      </c>
      <c r="AG437" s="24" t="str">
        <f t="shared" si="20"/>
        <v>Completed</v>
      </c>
    </row>
    <row r="438" spans="1:33">
      <c r="A438" s="24" t="s">
        <v>1873</v>
      </c>
      <c r="B438" s="24" t="s">
        <v>127</v>
      </c>
      <c r="C438" s="24" t="s">
        <v>118</v>
      </c>
      <c r="D438" s="30">
        <v>45967</v>
      </c>
      <c r="E438" s="30" t="s">
        <v>535</v>
      </c>
      <c r="F438" s="24" t="str">
        <f>VLOOKUP(B438,Custumer_Master!A:D,2,FALSE)</f>
        <v>Rohit Singh</v>
      </c>
      <c r="G438" s="24" t="str">
        <f>VLOOKUP($B438,Custumer_Master!$A:$J,6,FALSE)</f>
        <v>Male</v>
      </c>
      <c r="H438" s="30" t="str">
        <f>VLOOKUP($B438,Custumer_Master!$A:$J,7,FALSE)</f>
        <v>10/05/1982</v>
      </c>
      <c r="I438" s="24" t="str">
        <f>VLOOKUP($B438,Custumer_Master!$A:$J,9,FALSE)</f>
        <v>Delhi</v>
      </c>
      <c r="J438" s="24" t="str">
        <f>VLOOKUP($B438,Custumer_Master!$A:$J,10,FALSE)</f>
        <v>North</v>
      </c>
      <c r="K438" s="24" t="str">
        <f>VLOOKUP(B438,Custumer_Master!A:D,4,FALSE)</f>
        <v>DL</v>
      </c>
      <c r="L438" s="24" t="str">
        <f>PROPER(TRIM(VLOOKUP('Final Data'!C438,Product_Master!A:F,3,FALSE)))</f>
        <v>Stationery</v>
      </c>
      <c r="M438" s="24" t="s">
        <v>123</v>
      </c>
      <c r="N438" s="34">
        <v>3</v>
      </c>
      <c r="O438" s="192">
        <f>VLOOKUP(C438,Product_Master!A:F,5,FALSE)</f>
        <v>45</v>
      </c>
      <c r="P438" s="33">
        <v>0.15</v>
      </c>
      <c r="Q438" s="34">
        <f t="shared" si="18"/>
        <v>114.75</v>
      </c>
      <c r="R438" s="34">
        <v>4</v>
      </c>
      <c r="S438" s="24" t="s">
        <v>79</v>
      </c>
      <c r="T438" s="24" t="s">
        <v>35</v>
      </c>
      <c r="U438" s="24" t="s">
        <v>132</v>
      </c>
      <c r="V438" s="34">
        <v>9982849508</v>
      </c>
      <c r="W438" s="24" t="str">
        <f>VLOOKUP(C438,Product_Master!A:F,4,FALSE)</f>
        <v>ABC Corp</v>
      </c>
      <c r="X438" s="34">
        <f>VLOOKUP(C438,Product_Master!A:F,6,FALSE)</f>
        <v>12</v>
      </c>
      <c r="Y438" s="24" t="str">
        <f>VLOOKUP(B438,Custumer_Master!A:D,3,FALSE)</f>
        <v>Gold</v>
      </c>
      <c r="Z438" s="30">
        <f>EDATE(E438,X438)</f>
        <v>46337</v>
      </c>
      <c r="AA438" s="29" t="str">
        <f>VLOOKUP(B438,Custumer_Master!A:K,11,)</f>
        <v>May</v>
      </c>
      <c r="AB438" s="24" t="s">
        <v>2108</v>
      </c>
      <c r="AC438" s="138" t="str">
        <f>PROPER(LEFT(TRIM(F438), 3)) &amp; RIGHT(TRIM(B438), 3) &amp; PROPER(LEFT(TRIM(I438), 2))</f>
        <v>Roh003De</v>
      </c>
      <c r="AD438" s="154">
        <f t="shared" ca="1" si="19"/>
        <v>44</v>
      </c>
      <c r="AE438" s="154">
        <f>IFERROR(IF(OR(E438="", D438="", LOWER(TRIM(E438))="pending", LOWER(TRIM(D438))="pending"), "Pending", E438 - D438), "Pending")</f>
        <v>5</v>
      </c>
      <c r="AF438" s="138" t="str">
        <f>IFERROR(IF(OR(E438="", D438="","Pending","Pending"), "Pending", IF((E438 - D438) &lt;= 5, "On Time", "Delayed")), "Pending")</f>
        <v>On Time</v>
      </c>
      <c r="AG438" s="24" t="str">
        <f t="shared" si="20"/>
        <v>Completed</v>
      </c>
    </row>
    <row r="439" spans="1:33">
      <c r="A439" s="24" t="s">
        <v>1876</v>
      </c>
      <c r="B439" s="24" t="s">
        <v>100</v>
      </c>
      <c r="C439" s="24" t="s">
        <v>184</v>
      </c>
      <c r="D439" s="30">
        <v>45736</v>
      </c>
      <c r="E439" s="30" t="s">
        <v>119</v>
      </c>
      <c r="F439" s="24" t="str">
        <f>VLOOKUP(B439,Custumer_Master!A:D,2,FALSE)</f>
        <v>Priya Patel</v>
      </c>
      <c r="G439" s="24" t="str">
        <f>VLOOKUP($B439,Custumer_Master!$A:$J,6,FALSE)</f>
        <v>Female</v>
      </c>
      <c r="H439" s="30" t="str">
        <f>VLOOKUP($B439,Custumer_Master!$A:$J,7,FALSE)</f>
        <v>07/03/1995</v>
      </c>
      <c r="I439" s="24" t="str">
        <f>VLOOKUP($B439,Custumer_Master!$A:$J,9,FALSE)</f>
        <v>Mumbai</v>
      </c>
      <c r="J439" s="24" t="str">
        <f>VLOOKUP($B439,Custumer_Master!$A:$J,10,FALSE)</f>
        <v>West</v>
      </c>
      <c r="K439" s="24" t="str">
        <f>VLOOKUP(B439,Custumer_Master!A:D,4,FALSE)</f>
        <v>WB</v>
      </c>
      <c r="L439" s="24" t="str">
        <f>PROPER(TRIM(VLOOKUP('Final Data'!C439,Product_Master!A:F,3,FALSE)))</f>
        <v>Electronics</v>
      </c>
      <c r="M439" s="24" t="s">
        <v>189</v>
      </c>
      <c r="N439" s="34">
        <v>10</v>
      </c>
      <c r="O439" s="192">
        <f>VLOOKUP(C439,Product_Master!A:F,5,FALSE)</f>
        <v>525</v>
      </c>
      <c r="P439" s="33">
        <v>0.15</v>
      </c>
      <c r="Q439" s="34">
        <f t="shared" si="18"/>
        <v>4462.5</v>
      </c>
      <c r="R439" s="34">
        <v>3</v>
      </c>
      <c r="S439" s="24" t="s">
        <v>2148</v>
      </c>
      <c r="T439" s="24" t="s">
        <v>35</v>
      </c>
      <c r="U439" s="24" t="s">
        <v>144</v>
      </c>
      <c r="V439" s="34">
        <v>9288309246</v>
      </c>
      <c r="W439" s="24" t="str">
        <f>VLOOKUP(C439,Product_Master!A:F,4,FALSE)</f>
        <v>TechHub</v>
      </c>
      <c r="X439" s="34">
        <f>VLOOKUP(C439,Product_Master!A:F,6,FALSE)</f>
        <v>24</v>
      </c>
      <c r="Y439" s="24" t="str">
        <f>VLOOKUP(B439,Custumer_Master!A:D,3,FALSE)</f>
        <v>Platinum</v>
      </c>
      <c r="Z439" s="30">
        <f>EDATE(E439,X439)</f>
        <v>46471</v>
      </c>
      <c r="AA439" s="29" t="str">
        <f>VLOOKUP(B439,Custumer_Master!A:K,11,)</f>
        <v>March</v>
      </c>
      <c r="AB439" s="24" t="s">
        <v>2108</v>
      </c>
      <c r="AC439" s="138" t="str">
        <f>PROPER(LEFT(TRIM(F439), 3)) &amp; RIGHT(TRIM(B439), 3) &amp; PROPER(LEFT(TRIM(I439), 2))</f>
        <v>Pri002Mu</v>
      </c>
      <c r="AD439" s="154">
        <f t="shared" ca="1" si="19"/>
        <v>31</v>
      </c>
      <c r="AE439" s="154">
        <f>IFERROR(IF(OR(E439="", D439="", LOWER(TRIM(E439))="pending", LOWER(TRIM(D439))="pending"), "Pending", E439 - D439), "Pending")</f>
        <v>5</v>
      </c>
      <c r="AF439" s="138" t="str">
        <f>IFERROR(IF(OR(E439="", D439="","Pending","Pending"), "Pending", IF((E439 - D439) &lt;= 5, "On Time", "Delayed")), "Pending")</f>
        <v>On Time</v>
      </c>
      <c r="AG439" s="24" t="str">
        <f t="shared" si="20"/>
        <v>Completed</v>
      </c>
    </row>
    <row r="440" spans="1:33">
      <c r="A440" s="24" t="s">
        <v>1879</v>
      </c>
      <c r="B440" s="24" t="s">
        <v>83</v>
      </c>
      <c r="C440" s="24" t="s">
        <v>222</v>
      </c>
      <c r="D440" s="30">
        <v>45952</v>
      </c>
      <c r="E440" s="30" t="s">
        <v>1881</v>
      </c>
      <c r="F440" s="24" t="str">
        <f>VLOOKUP(B440,Custumer_Master!A:D,2,FALSE)</f>
        <v>Arjun Rao</v>
      </c>
      <c r="G440" s="24" t="str">
        <f>VLOOKUP($B440,Custumer_Master!$A:$J,6,FALSE)</f>
        <v>Male</v>
      </c>
      <c r="H440" s="30" t="str">
        <f>VLOOKUP($B440,Custumer_Master!$A:$J,7,FALSE)</f>
        <v>07/02/1988</v>
      </c>
      <c r="I440" s="24" t="str">
        <f>VLOOKUP($B440,Custumer_Master!$A:$J,9,FALSE)</f>
        <v>Hyderabad</v>
      </c>
      <c r="J440" s="24" t="str">
        <f>VLOOKUP($B440,Custumer_Master!$A:$J,10,FALSE)</f>
        <v>South</v>
      </c>
      <c r="K440" s="24" t="str">
        <f>VLOOKUP(B440,Custumer_Master!A:D,4,FALSE)</f>
        <v>RJ</v>
      </c>
      <c r="L440" s="24" t="str">
        <f>PROPER(TRIM(VLOOKUP('Final Data'!C440,Product_Master!A:F,3,FALSE)))</f>
        <v>Stationery</v>
      </c>
      <c r="M440" s="24" t="s">
        <v>227</v>
      </c>
      <c r="N440" s="34">
        <v>2</v>
      </c>
      <c r="O440" s="192">
        <f>VLOOKUP(C440,Product_Master!A:F,5,FALSE)</f>
        <v>15</v>
      </c>
      <c r="P440" s="33">
        <v>0.1</v>
      </c>
      <c r="Q440" s="34">
        <f t="shared" si="18"/>
        <v>27</v>
      </c>
      <c r="R440" s="34">
        <v>2</v>
      </c>
      <c r="S440" s="24" t="s">
        <v>2149</v>
      </c>
      <c r="T440" s="24" t="s">
        <v>61</v>
      </c>
      <c r="U440" s="24" t="s">
        <v>89</v>
      </c>
      <c r="V440" s="34">
        <v>9808476235</v>
      </c>
      <c r="W440" s="24" t="str">
        <f>VLOOKUP(C440,Product_Master!A:F,4,FALSE)</f>
        <v>Prime Supplies</v>
      </c>
      <c r="X440" s="34">
        <f>VLOOKUP(C440,Product_Master!A:F,6,FALSE)</f>
        <v>12</v>
      </c>
      <c r="Y440" s="24" t="str">
        <f>VLOOKUP(B440,Custumer_Master!A:D,3,FALSE)</f>
        <v>Silver</v>
      </c>
      <c r="Z440" s="30">
        <f>EDATE(E440,X440)</f>
        <v>46320</v>
      </c>
      <c r="AA440" s="29" t="str">
        <f>VLOOKUP(B440,Custumer_Master!A:K,11,)</f>
        <v>February</v>
      </c>
      <c r="AB440" s="24" t="s">
        <v>2160</v>
      </c>
      <c r="AC440" s="138" t="str">
        <f>PROPER(LEFT(TRIM(F440), 3)) &amp; RIGHT(TRIM(B440), 3) &amp; PROPER(LEFT(TRIM(I440), 2))</f>
        <v>Arj007Hy</v>
      </c>
      <c r="AD440" s="154">
        <f t="shared" ca="1" si="19"/>
        <v>38</v>
      </c>
      <c r="AE440" s="154">
        <f>IFERROR(IF(OR(E440="", D440="", LOWER(TRIM(E440))="pending", LOWER(TRIM(D440))="pending"), "Pending", E440 - D440), "Pending")</f>
        <v>3</v>
      </c>
      <c r="AF440" s="138" t="str">
        <f>IFERROR(IF(OR(E440="", D440="","Pending","Pending"), "Pending", IF((E440 - D440) &lt;= 5, "On Time", "Delayed")), "Pending")</f>
        <v>On Time</v>
      </c>
      <c r="AG440" s="24" t="str">
        <f t="shared" si="20"/>
        <v>Completed</v>
      </c>
    </row>
    <row r="441" spans="1:33">
      <c r="A441" s="24" t="s">
        <v>1884</v>
      </c>
      <c r="B441" s="24" t="s">
        <v>83</v>
      </c>
      <c r="C441" s="24" t="s">
        <v>222</v>
      </c>
      <c r="D441" s="30">
        <v>46022</v>
      </c>
      <c r="E441" s="30" t="s">
        <v>1199</v>
      </c>
      <c r="F441" s="24" t="str">
        <f>VLOOKUP(B441,Custumer_Master!A:D,2,FALSE)</f>
        <v>Arjun Rao</v>
      </c>
      <c r="G441" s="24" t="str">
        <f>VLOOKUP($B441,Custumer_Master!$A:$J,6,FALSE)</f>
        <v>Male</v>
      </c>
      <c r="H441" s="30" t="str">
        <f>VLOOKUP($B441,Custumer_Master!$A:$J,7,FALSE)</f>
        <v>07/02/1988</v>
      </c>
      <c r="I441" s="24" t="str">
        <f>VLOOKUP($B441,Custumer_Master!$A:$J,9,FALSE)</f>
        <v>Hyderabad</v>
      </c>
      <c r="J441" s="24" t="str">
        <f>VLOOKUP($B441,Custumer_Master!$A:$J,10,FALSE)</f>
        <v>South</v>
      </c>
      <c r="K441" s="24" t="str">
        <f>VLOOKUP(B441,Custumer_Master!A:D,4,FALSE)</f>
        <v>RJ</v>
      </c>
      <c r="L441" s="24" t="str">
        <f>PROPER(TRIM(VLOOKUP('Final Data'!C441,Product_Master!A:F,3,FALSE)))</f>
        <v>Stationery</v>
      </c>
      <c r="M441" s="24" t="s">
        <v>227</v>
      </c>
      <c r="N441" s="34">
        <v>14</v>
      </c>
      <c r="O441" s="192">
        <f>VLOOKUP(C441,Product_Master!A:F,5,FALSE)</f>
        <v>15</v>
      </c>
      <c r="P441" s="33">
        <v>0.2</v>
      </c>
      <c r="Q441" s="34">
        <f t="shared" si="18"/>
        <v>168</v>
      </c>
      <c r="R441" s="34">
        <v>5</v>
      </c>
      <c r="S441" s="24" t="s">
        <v>34</v>
      </c>
      <c r="T441" s="24" t="s">
        <v>151</v>
      </c>
      <c r="U441" s="24" t="s">
        <v>89</v>
      </c>
      <c r="V441" s="34">
        <v>9869056117</v>
      </c>
      <c r="W441" s="24" t="str">
        <f>VLOOKUP(C441,Product_Master!A:F,4,FALSE)</f>
        <v>Prime Supplies</v>
      </c>
      <c r="X441" s="34">
        <f>VLOOKUP(C441,Product_Master!A:F,6,FALSE)</f>
        <v>12</v>
      </c>
      <c r="Y441" s="24" t="str">
        <f>VLOOKUP(B441,Custumer_Master!A:D,3,FALSE)</f>
        <v>Silver</v>
      </c>
      <c r="Z441" s="30">
        <f>EDATE(E441,X441)</f>
        <v>46392</v>
      </c>
      <c r="AA441" s="29" t="str">
        <f>VLOOKUP(B441,Custumer_Master!A:K,11,)</f>
        <v>February</v>
      </c>
      <c r="AB441" s="24" t="s">
        <v>2108</v>
      </c>
      <c r="AC441" s="138" t="str">
        <f>PROPER(LEFT(TRIM(F441), 3)) &amp; RIGHT(TRIM(B441), 3) &amp; PROPER(LEFT(TRIM(I441), 2))</f>
        <v>Arj007Hy</v>
      </c>
      <c r="AD441" s="154">
        <f t="shared" ca="1" si="19"/>
        <v>38</v>
      </c>
      <c r="AE441" s="154">
        <f>IFERROR(IF(OR(E441="", D441="", LOWER(TRIM(E441))="pending", LOWER(TRIM(D441))="pending"), "Pending", E441 - D441), "Pending")</f>
        <v>5</v>
      </c>
      <c r="AF441" s="138" t="str">
        <f>IFERROR(IF(OR(E441="", D441="","Pending","Pending"), "Pending", IF((E441 - D441) &lt;= 5, "On Time", "Delayed")), "Pending")</f>
        <v>On Time</v>
      </c>
      <c r="AG441" s="24" t="str">
        <f t="shared" si="20"/>
        <v>Completed</v>
      </c>
    </row>
    <row r="442" spans="1:33">
      <c r="A442" s="24" t="s">
        <v>1888</v>
      </c>
      <c r="B442" s="24" t="s">
        <v>327</v>
      </c>
      <c r="C442" s="24" t="s">
        <v>92</v>
      </c>
      <c r="D442" s="30">
        <v>45829</v>
      </c>
      <c r="E442" s="30" t="s">
        <v>193</v>
      </c>
      <c r="F442" s="24" t="str">
        <f>VLOOKUP(B442,Custumer_Master!A:D,2,FALSE)</f>
        <v>Amit Sharma</v>
      </c>
      <c r="G442" s="24" t="str">
        <f>VLOOKUP($B442,Custumer_Master!$A:$J,6,FALSE)</f>
        <v>Male</v>
      </c>
      <c r="H442" s="30" t="str">
        <f>VLOOKUP($B442,Custumer_Master!$A:$J,7,FALSE)</f>
        <v>09/08/1991</v>
      </c>
      <c r="I442" s="24" t="str">
        <f>VLOOKUP($B442,Custumer_Master!$A:$J,9,FALSE)</f>
        <v>Pune</v>
      </c>
      <c r="J442" s="24" t="str">
        <f>VLOOKUP($B442,Custumer_Master!$A:$J,10,FALSE)</f>
        <v>West</v>
      </c>
      <c r="K442" s="24" t="str">
        <f>VLOOKUP(B442,Custumer_Master!A:D,4,FALSE)</f>
        <v>RJ</v>
      </c>
      <c r="L442" s="24" t="str">
        <f>PROPER(TRIM(VLOOKUP('Final Data'!C442,Product_Master!A:F,3,FALSE)))</f>
        <v>Home Appliances</v>
      </c>
      <c r="M442" s="24" t="s">
        <v>97</v>
      </c>
      <c r="N442" s="34">
        <v>4</v>
      </c>
      <c r="O442" s="192">
        <f>VLOOKUP(C442,Product_Master!A:F,5,FALSE)</f>
        <v>2625</v>
      </c>
      <c r="P442" s="33">
        <v>0</v>
      </c>
      <c r="Q442" s="34">
        <f t="shared" si="18"/>
        <v>10500</v>
      </c>
      <c r="R442" s="34">
        <v>2</v>
      </c>
      <c r="S442" s="24" t="s">
        <v>2149</v>
      </c>
      <c r="T442" s="24" t="s">
        <v>35</v>
      </c>
      <c r="U442" s="24" t="s">
        <v>332</v>
      </c>
      <c r="V442" s="34">
        <v>9734229772</v>
      </c>
      <c r="W442" s="24" t="str">
        <f>VLOOKUP(C442,Product_Master!A:F,4,FALSE)</f>
        <v>Global Trade</v>
      </c>
      <c r="X442" s="34">
        <f>VLOOKUP(C442,Product_Master!A:F,6,FALSE)</f>
        <v>6</v>
      </c>
      <c r="Y442" s="24" t="str">
        <f>VLOOKUP(B442,Custumer_Master!A:D,3,FALSE)</f>
        <v>Silver</v>
      </c>
      <c r="Z442" s="30">
        <f>EDATE(E442,X442)</f>
        <v>46016</v>
      </c>
      <c r="AA442" s="29" t="str">
        <f>VLOOKUP(B442,Custumer_Master!A:K,11,)</f>
        <v>August</v>
      </c>
      <c r="AB442" s="24" t="s">
        <v>2160</v>
      </c>
      <c r="AC442" s="138" t="str">
        <f>PROPER(LEFT(TRIM(F442), 3)) &amp; RIGHT(TRIM(B442), 3) &amp; PROPER(LEFT(TRIM(I442), 2))</f>
        <v>Ami001Pu</v>
      </c>
      <c r="AD442" s="154">
        <f t="shared" ca="1" si="19"/>
        <v>34</v>
      </c>
      <c r="AE442" s="154">
        <f>IFERROR(IF(OR(E442="", D442="", LOWER(TRIM(E442))="pending", LOWER(TRIM(D442))="pending"), "Pending", E442 - D442), "Pending")</f>
        <v>4</v>
      </c>
      <c r="AF442" s="138" t="str">
        <f>IFERROR(IF(OR(E442="", D442="","Pending","Pending"), "Pending", IF((E442 - D442) &lt;= 5, "On Time", "Delayed")), "Pending")</f>
        <v>On Time</v>
      </c>
      <c r="AG442" s="24" t="str">
        <f t="shared" si="20"/>
        <v>Completed</v>
      </c>
    </row>
    <row r="443" spans="1:33">
      <c r="A443" s="24" t="s">
        <v>1891</v>
      </c>
      <c r="B443" s="24" t="s">
        <v>83</v>
      </c>
      <c r="C443" s="24" t="s">
        <v>92</v>
      </c>
      <c r="D443" s="30">
        <v>45812</v>
      </c>
      <c r="E443" s="30" t="s">
        <v>1119</v>
      </c>
      <c r="F443" s="24" t="str">
        <f>VLOOKUP(B443,Custumer_Master!A:D,2,FALSE)</f>
        <v>Arjun Rao</v>
      </c>
      <c r="G443" s="24" t="str">
        <f>VLOOKUP($B443,Custumer_Master!$A:$J,6,FALSE)</f>
        <v>Male</v>
      </c>
      <c r="H443" s="30" t="str">
        <f>VLOOKUP($B443,Custumer_Master!$A:$J,7,FALSE)</f>
        <v>07/02/1988</v>
      </c>
      <c r="I443" s="24" t="str">
        <f>VLOOKUP($B443,Custumer_Master!$A:$J,9,FALSE)</f>
        <v>Hyderabad</v>
      </c>
      <c r="J443" s="24" t="str">
        <f>VLOOKUP($B443,Custumer_Master!$A:$J,10,FALSE)</f>
        <v>South</v>
      </c>
      <c r="K443" s="24" t="str">
        <f>VLOOKUP(B443,Custumer_Master!A:D,4,FALSE)</f>
        <v>RJ</v>
      </c>
      <c r="L443" s="24" t="str">
        <f>PROPER(TRIM(VLOOKUP('Final Data'!C443,Product_Master!A:F,3,FALSE)))</f>
        <v>Home Appliances</v>
      </c>
      <c r="M443" s="24" t="s">
        <v>97</v>
      </c>
      <c r="N443" s="34">
        <v>9</v>
      </c>
      <c r="O443" s="192">
        <f>VLOOKUP(C443,Product_Master!A:F,5,FALSE)</f>
        <v>2625</v>
      </c>
      <c r="P443" s="33">
        <v>0.05</v>
      </c>
      <c r="Q443" s="34">
        <f t="shared" si="18"/>
        <v>22443.75</v>
      </c>
      <c r="R443" s="34">
        <v>3</v>
      </c>
      <c r="S443" s="24" t="s">
        <v>79</v>
      </c>
      <c r="T443" s="24" t="s">
        <v>61</v>
      </c>
      <c r="U443" s="24" t="s">
        <v>89</v>
      </c>
      <c r="V443" s="34">
        <v>9791617906</v>
      </c>
      <c r="W443" s="24" t="str">
        <f>VLOOKUP(C443,Product_Master!A:F,4,FALSE)</f>
        <v>Global Trade</v>
      </c>
      <c r="X443" s="34">
        <f>VLOOKUP(C443,Product_Master!A:F,6,FALSE)</f>
        <v>6</v>
      </c>
      <c r="Y443" s="24" t="str">
        <f>VLOOKUP(B443,Custumer_Master!A:D,3,FALSE)</f>
        <v>Silver</v>
      </c>
      <c r="Z443" s="30">
        <f>EDATE(E443,X443)</f>
        <v>45996</v>
      </c>
      <c r="AA443" s="29" t="str">
        <f>VLOOKUP(B443,Custumer_Master!A:K,11,)</f>
        <v>February</v>
      </c>
      <c r="AB443" s="24" t="s">
        <v>2108</v>
      </c>
      <c r="AC443" s="138" t="str">
        <f>PROPER(LEFT(TRIM(F443), 3)) &amp; RIGHT(TRIM(B443), 3) &amp; PROPER(LEFT(TRIM(I443), 2))</f>
        <v>Arj007Hy</v>
      </c>
      <c r="AD443" s="154">
        <f t="shared" ca="1" si="19"/>
        <v>38</v>
      </c>
      <c r="AE443" s="154">
        <f>IFERROR(IF(OR(E443="", D443="", LOWER(TRIM(E443))="pending", LOWER(TRIM(D443))="pending"), "Pending", E443 - D443), "Pending")</f>
        <v>1</v>
      </c>
      <c r="AF443" s="138" t="str">
        <f>IFERROR(IF(OR(E443="", D443="","Pending","Pending"), "Pending", IF((E443 - D443) &lt;= 5, "On Time", "Delayed")), "Pending")</f>
        <v>On Time</v>
      </c>
      <c r="AG443" s="24" t="str">
        <f t="shared" si="20"/>
        <v>Completed</v>
      </c>
    </row>
    <row r="444" spans="1:33">
      <c r="A444" s="24" t="s">
        <v>1894</v>
      </c>
      <c r="B444" s="24" t="s">
        <v>127</v>
      </c>
      <c r="C444" s="24" t="s">
        <v>118</v>
      </c>
      <c r="D444" s="30">
        <v>45807</v>
      </c>
      <c r="E444" s="30" t="s">
        <v>1465</v>
      </c>
      <c r="F444" s="24" t="str">
        <f>VLOOKUP(B444,Custumer_Master!A:D,2,FALSE)</f>
        <v>Rohit Singh</v>
      </c>
      <c r="G444" s="24" t="str">
        <f>VLOOKUP($B444,Custumer_Master!$A:$J,6,FALSE)</f>
        <v>Male</v>
      </c>
      <c r="H444" s="30" t="str">
        <f>VLOOKUP($B444,Custumer_Master!$A:$J,7,FALSE)</f>
        <v>10/05/1982</v>
      </c>
      <c r="I444" s="24" t="str">
        <f>VLOOKUP($B444,Custumer_Master!$A:$J,9,FALSE)</f>
        <v>Delhi</v>
      </c>
      <c r="J444" s="24" t="str">
        <f>VLOOKUP($B444,Custumer_Master!$A:$J,10,FALSE)</f>
        <v>North</v>
      </c>
      <c r="K444" s="24" t="str">
        <f>VLOOKUP(B444,Custumer_Master!A:D,4,FALSE)</f>
        <v>DL</v>
      </c>
      <c r="L444" s="24" t="str">
        <f>PROPER(TRIM(VLOOKUP('Final Data'!C444,Product_Master!A:F,3,FALSE)))</f>
        <v>Stationery</v>
      </c>
      <c r="M444" s="24" t="s">
        <v>123</v>
      </c>
      <c r="N444" s="34">
        <v>9</v>
      </c>
      <c r="O444" s="192">
        <f>VLOOKUP(C444,Product_Master!A:F,5,FALSE)</f>
        <v>45</v>
      </c>
      <c r="P444" s="33">
        <v>0</v>
      </c>
      <c r="Q444" s="34">
        <f t="shared" si="18"/>
        <v>405</v>
      </c>
      <c r="R444" s="34">
        <v>3</v>
      </c>
      <c r="S444" s="24" t="s">
        <v>2149</v>
      </c>
      <c r="T444" s="24" t="s">
        <v>35</v>
      </c>
      <c r="U444" s="24" t="s">
        <v>132</v>
      </c>
      <c r="V444" s="34">
        <v>9286316823</v>
      </c>
      <c r="W444" s="24" t="str">
        <f>VLOOKUP(C444,Product_Master!A:F,4,FALSE)</f>
        <v>ABC Corp</v>
      </c>
      <c r="X444" s="34">
        <f>VLOOKUP(C444,Product_Master!A:F,6,FALSE)</f>
        <v>12</v>
      </c>
      <c r="Y444" s="24" t="str">
        <f>VLOOKUP(B444,Custumer_Master!A:D,3,FALSE)</f>
        <v>Gold</v>
      </c>
      <c r="Z444" s="30">
        <f>EDATE(E444,X444)</f>
        <v>46176</v>
      </c>
      <c r="AA444" s="29" t="str">
        <f>VLOOKUP(B444,Custumer_Master!A:K,11,)</f>
        <v>May</v>
      </c>
      <c r="AB444" s="24" t="s">
        <v>2108</v>
      </c>
      <c r="AC444" s="138" t="str">
        <f>PROPER(LEFT(TRIM(F444), 3)) &amp; RIGHT(TRIM(B444), 3) &amp; PROPER(LEFT(TRIM(I444), 2))</f>
        <v>Roh003De</v>
      </c>
      <c r="AD444" s="154">
        <f t="shared" ca="1" si="19"/>
        <v>44</v>
      </c>
      <c r="AE444" s="154">
        <f>IFERROR(IF(OR(E444="", D444="", LOWER(TRIM(E444))="pending", LOWER(TRIM(D444))="pending"), "Pending", E444 - D444), "Pending")</f>
        <v>4</v>
      </c>
      <c r="AF444" s="138" t="str">
        <f>IFERROR(IF(OR(E444="", D444="","Pending","Pending"), "Pending", IF((E444 - D444) &lt;= 5, "On Time", "Delayed")), "Pending")</f>
        <v>On Time</v>
      </c>
      <c r="AG444" s="24" t="str">
        <f t="shared" si="20"/>
        <v>Completed</v>
      </c>
    </row>
    <row r="445" spans="1:33">
      <c r="A445" s="24" t="s">
        <v>1897</v>
      </c>
      <c r="B445" s="24" t="s">
        <v>168</v>
      </c>
      <c r="C445" s="24" t="s">
        <v>72</v>
      </c>
      <c r="D445" s="30">
        <v>45779</v>
      </c>
      <c r="E445" s="30" t="s">
        <v>1263</v>
      </c>
      <c r="F445" s="24" t="str">
        <f>VLOOKUP(B445,Custumer_Master!A:D,2,FALSE)</f>
        <v>Anita Gupta</v>
      </c>
      <c r="G445" s="24" t="str">
        <f>VLOOKUP($B445,Custumer_Master!$A:$J,6,FALSE)</f>
        <v>Female</v>
      </c>
      <c r="H445" s="30" t="str">
        <f>VLOOKUP($B445,Custumer_Master!$A:$J,7,FALSE)</f>
        <v>16/01/2002</v>
      </c>
      <c r="I445" s="24" t="str">
        <f>VLOOKUP($B445,Custumer_Master!$A:$J,9,FALSE)</f>
        <v>Pune</v>
      </c>
      <c r="J445" s="24" t="str">
        <f>VLOOKUP($B445,Custumer_Master!$A:$J,10,FALSE)</f>
        <v>West</v>
      </c>
      <c r="K445" s="24" t="str">
        <f>VLOOKUP(B445,Custumer_Master!A:D,4,FALSE)</f>
        <v>WB</v>
      </c>
      <c r="L445" s="24" t="str">
        <f>PROPER(TRIM(VLOOKUP('Final Data'!C445,Product_Master!A:F,3,FALSE)))</f>
        <v>Electronics</v>
      </c>
      <c r="M445" s="24" t="s">
        <v>78</v>
      </c>
      <c r="N445" s="34">
        <v>4</v>
      </c>
      <c r="O445" s="192">
        <f>VLOOKUP(C445,Product_Master!A:F,5,FALSE)</f>
        <v>900</v>
      </c>
      <c r="P445" s="33">
        <v>0</v>
      </c>
      <c r="Q445" s="34">
        <f t="shared" si="18"/>
        <v>3600</v>
      </c>
      <c r="R445" s="34">
        <v>1</v>
      </c>
      <c r="S445" s="24" t="s">
        <v>2148</v>
      </c>
      <c r="T445" s="24" t="s">
        <v>61</v>
      </c>
      <c r="U445" s="24" t="s">
        <v>175</v>
      </c>
      <c r="V445" s="34">
        <v>9810569252</v>
      </c>
      <c r="W445" s="24" t="str">
        <f>VLOOKUP(C445,Product_Master!A:F,4,FALSE)</f>
        <v>TechHub</v>
      </c>
      <c r="X445" s="34">
        <f>VLOOKUP(C445,Product_Master!A:F,6,FALSE)</f>
        <v>6</v>
      </c>
      <c r="Y445" s="24" t="str">
        <f>VLOOKUP(B445,Custumer_Master!A:D,3,FALSE)</f>
        <v>Gold</v>
      </c>
      <c r="Z445" s="30">
        <f>EDATE(E445,X445)</f>
        <v>45964</v>
      </c>
      <c r="AA445" s="29" t="str">
        <f>VLOOKUP(B445,Custumer_Master!A:K,11,)</f>
        <v>January</v>
      </c>
      <c r="AB445" s="24" t="s">
        <v>2160</v>
      </c>
      <c r="AC445" s="138" t="str">
        <f>PROPER(LEFT(TRIM(F445), 3)) &amp; RIGHT(TRIM(B445), 3) &amp; PROPER(LEFT(TRIM(I445), 2))</f>
        <v>Ani004Pu</v>
      </c>
      <c r="AD445" s="154">
        <f t="shared" ca="1" si="19"/>
        <v>24</v>
      </c>
      <c r="AE445" s="154">
        <f>IFERROR(IF(OR(E445="", D445="", LOWER(TRIM(E445))="pending", LOWER(TRIM(D445))="pending"), "Pending", E445 - D445), "Pending")</f>
        <v>1</v>
      </c>
      <c r="AF445" s="138" t="str">
        <f>IFERROR(IF(OR(E445="", D445="","Pending","Pending"), "Pending", IF((E445 - D445) &lt;= 5, "On Time", "Delayed")), "Pending")</f>
        <v>On Time</v>
      </c>
      <c r="AG445" s="24" t="str">
        <f t="shared" si="20"/>
        <v>Completed</v>
      </c>
    </row>
    <row r="446" spans="1:33">
      <c r="A446" s="24" t="s">
        <v>1901</v>
      </c>
      <c r="B446" s="24" t="s">
        <v>53</v>
      </c>
      <c r="C446" s="24" t="s">
        <v>54</v>
      </c>
      <c r="D446" s="30">
        <v>45691</v>
      </c>
      <c r="E446" s="30" t="s">
        <v>302</v>
      </c>
      <c r="F446" s="24" t="str">
        <f>VLOOKUP(B446,Custumer_Master!A:D,2,FALSE)</f>
        <v>Pooja Shah</v>
      </c>
      <c r="G446" s="24" t="str">
        <f>VLOOKUP($B446,Custumer_Master!$A:$J,6,FALSE)</f>
        <v>Female</v>
      </c>
      <c r="H446" s="30" t="str">
        <f>VLOOKUP($B446,Custumer_Master!$A:$J,7,FALSE)</f>
        <v>16/09/1994</v>
      </c>
      <c r="I446" s="24" t="str">
        <f>VLOOKUP($B446,Custumer_Master!$A:$J,9,FALSE)</f>
        <v>Bengaluru</v>
      </c>
      <c r="J446" s="24" t="str">
        <f>VLOOKUP($B446,Custumer_Master!$A:$J,10,FALSE)</f>
        <v>South</v>
      </c>
      <c r="K446" s="24" t="str">
        <f>VLOOKUP(B446,Custumer_Master!A:D,4,FALSE)</f>
        <v>WB</v>
      </c>
      <c r="L446" s="24" t="str">
        <f>PROPER(TRIM(VLOOKUP('Final Data'!C446,Product_Master!A:F,3,FALSE)))</f>
        <v>Electronics</v>
      </c>
      <c r="M446" s="24" t="s">
        <v>60</v>
      </c>
      <c r="N446" s="34">
        <v>10</v>
      </c>
      <c r="O446" s="192">
        <f>VLOOKUP(C446,Product_Master!A:F,5,FALSE)</f>
        <v>41250</v>
      </c>
      <c r="P446" s="33">
        <v>0.05</v>
      </c>
      <c r="Q446" s="34">
        <f t="shared" si="18"/>
        <v>391875</v>
      </c>
      <c r="R446" s="34">
        <v>5</v>
      </c>
      <c r="S446" s="24" t="s">
        <v>2149</v>
      </c>
      <c r="T446" s="24" t="s">
        <v>115</v>
      </c>
      <c r="U446" s="24" t="s">
        <v>62</v>
      </c>
      <c r="V446" s="34">
        <v>9771745925</v>
      </c>
      <c r="W446" s="24" t="str">
        <f>VLOOKUP(C446,Product_Master!A:F,4,FALSE)</f>
        <v>TechHub</v>
      </c>
      <c r="X446" s="34">
        <f>VLOOKUP(C446,Product_Master!A:F,6,FALSE)</f>
        <v>12</v>
      </c>
      <c r="Y446" s="24" t="str">
        <f>VLOOKUP(B446,Custumer_Master!A:D,3,FALSE)</f>
        <v>Silver</v>
      </c>
      <c r="Z446" s="30">
        <f>EDATE(E446,X446)</f>
        <v>46066</v>
      </c>
      <c r="AA446" s="29" t="str">
        <f>VLOOKUP(B446,Custumer_Master!A:K,11,)</f>
        <v>September</v>
      </c>
      <c r="AB446" s="24" t="s">
        <v>2110</v>
      </c>
      <c r="AC446" s="138" t="str">
        <f>PROPER(LEFT(TRIM(F446), 3)) &amp; RIGHT(TRIM(B446), 3) &amp; PROPER(LEFT(TRIM(I446), 2))</f>
        <v>Poo010Be</v>
      </c>
      <c r="AD446" s="154">
        <f t="shared" ca="1" si="19"/>
        <v>31</v>
      </c>
      <c r="AE446" s="154">
        <f>IFERROR(IF(OR(E446="", D446="", LOWER(TRIM(E446))="pending", LOWER(TRIM(D446))="pending"), "Pending", E446 - D446), "Pending")</f>
        <v>10</v>
      </c>
      <c r="AF446" s="138" t="str">
        <f>IFERROR(IF(OR(E446="", D446="","Pending","Pending"), "Pending", IF((E446 - D446) &lt;= 5, "On Time", "Delayed")), "Pending")</f>
        <v>Delayed</v>
      </c>
      <c r="AG446" s="24" t="str">
        <f t="shared" si="20"/>
        <v>Completed</v>
      </c>
    </row>
    <row r="447" spans="1:33">
      <c r="A447" s="24" t="s">
        <v>1904</v>
      </c>
      <c r="B447" s="24" t="s">
        <v>221</v>
      </c>
      <c r="C447" s="24" t="s">
        <v>259</v>
      </c>
      <c r="D447" s="30">
        <v>45837</v>
      </c>
      <c r="E447" s="30" t="s">
        <v>881</v>
      </c>
      <c r="F447" s="24" t="str">
        <f>VLOOKUP(B447,Custumer_Master!A:D,2,FALSE)</f>
        <v>Vikas Mehta</v>
      </c>
      <c r="G447" s="24" t="str">
        <f>VLOOKUP($B447,Custumer_Master!$A:$J,6,FALSE)</f>
        <v>Male</v>
      </c>
      <c r="H447" s="30" t="str">
        <f>VLOOKUP($B447,Custumer_Master!$A:$J,7,FALSE)</f>
        <v>03/08/1991</v>
      </c>
      <c r="I447" s="24" t="str">
        <f>VLOOKUP($B447,Custumer_Master!$A:$J,9,FALSE)</f>
        <v>Mumbai</v>
      </c>
      <c r="J447" s="24" t="str">
        <f>VLOOKUP($B447,Custumer_Master!$A:$J,10,FALSE)</f>
        <v>West</v>
      </c>
      <c r="K447" s="24" t="str">
        <f>VLOOKUP(B447,Custumer_Master!A:D,4,FALSE)</f>
        <v>DL</v>
      </c>
      <c r="L447" s="24" t="str">
        <f>PROPER(TRIM(VLOOKUP('Final Data'!C447,Product_Master!A:F,3,FALSE)))</f>
        <v>Stationery</v>
      </c>
      <c r="M447" s="24" t="s">
        <v>263</v>
      </c>
      <c r="N447" s="34">
        <v>20</v>
      </c>
      <c r="O447" s="192">
        <f>VLOOKUP(C447,Product_Master!A:F,5,FALSE)</f>
        <v>33.75</v>
      </c>
      <c r="P447" s="33">
        <v>0.15</v>
      </c>
      <c r="Q447" s="34">
        <f t="shared" si="18"/>
        <v>573.75</v>
      </c>
      <c r="R447" s="34">
        <v>2</v>
      </c>
      <c r="S447" s="24" t="s">
        <v>79</v>
      </c>
      <c r="T447" s="24" t="s">
        <v>35</v>
      </c>
      <c r="U447" s="24" t="s">
        <v>228</v>
      </c>
      <c r="V447" s="34">
        <v>9820683063</v>
      </c>
      <c r="W447" s="24" t="str">
        <f>VLOOKUP(C447,Product_Master!A:F,4,FALSE)</f>
        <v>TechHub</v>
      </c>
      <c r="X447" s="34">
        <f>VLOOKUP(C447,Product_Master!A:F,6,FALSE)</f>
        <v>12</v>
      </c>
      <c r="Y447" s="24" t="str">
        <f>VLOOKUP(B447,Custumer_Master!A:D,3,FALSE)</f>
        <v>Gold</v>
      </c>
      <c r="Z447" s="30">
        <f>EDATE(E447,X447)</f>
        <v>46209</v>
      </c>
      <c r="AA447" s="29" t="str">
        <f>VLOOKUP(B447,Custumer_Master!A:K,11,)</f>
        <v>August</v>
      </c>
      <c r="AB447" s="24" t="s">
        <v>2160</v>
      </c>
      <c r="AC447" s="138" t="str">
        <f>PROPER(LEFT(TRIM(F447), 3)) &amp; RIGHT(TRIM(B447), 3) &amp; PROPER(LEFT(TRIM(I447), 2))</f>
        <v>Vik005Mu</v>
      </c>
      <c r="AD447" s="154">
        <f t="shared" ca="1" si="19"/>
        <v>34</v>
      </c>
      <c r="AE447" s="154">
        <f>IFERROR(IF(OR(E447="", D447="", LOWER(TRIM(E447))="pending", LOWER(TRIM(D447))="pending"), "Pending", E447 - D447), "Pending")</f>
        <v>7</v>
      </c>
      <c r="AF447" s="138" t="str">
        <f>IFERROR(IF(OR(E447="", D447="","Pending","Pending"), "Pending", IF((E447 - D447) &lt;= 5, "On Time", "Delayed")), "Pending")</f>
        <v>Delayed</v>
      </c>
      <c r="AG447" s="24" t="str">
        <f t="shared" si="20"/>
        <v>Completed</v>
      </c>
    </row>
    <row r="448" spans="1:33">
      <c r="A448" s="24" t="s">
        <v>1908</v>
      </c>
      <c r="B448" s="24" t="s">
        <v>23</v>
      </c>
      <c r="C448" s="24" t="s">
        <v>222</v>
      </c>
      <c r="D448" s="30">
        <v>46065</v>
      </c>
      <c r="E448" s="30" t="s">
        <v>170</v>
      </c>
      <c r="F448" s="24" t="str">
        <f>VLOOKUP(B448,Custumer_Master!A:D,2,FALSE)</f>
        <v>Kavya Nair</v>
      </c>
      <c r="G448" s="24" t="str">
        <f>VLOOKUP($B448,Custumer_Master!$A:$J,6,FALSE)</f>
        <v>Female</v>
      </c>
      <c r="H448" s="30" t="str">
        <f>VLOOKUP($B448,Custumer_Master!$A:$J,7,FALSE)</f>
        <v>01/08/1976</v>
      </c>
      <c r="I448" s="24" t="str">
        <f>VLOOKUP($B448,Custumer_Master!$A:$J,9,FALSE)</f>
        <v>Hyderabad</v>
      </c>
      <c r="J448" s="24" t="str">
        <f>VLOOKUP($B448,Custumer_Master!$A:$J,10,FALSE)</f>
        <v>South</v>
      </c>
      <c r="K448" s="24" t="str">
        <f>VLOOKUP(B448,Custumer_Master!A:D,4,FALSE)</f>
        <v>WB</v>
      </c>
      <c r="L448" s="24" t="str">
        <f>PROPER(TRIM(VLOOKUP('Final Data'!C448,Product_Master!A:F,3,FALSE)))</f>
        <v>Stationery</v>
      </c>
      <c r="M448" s="24" t="s">
        <v>227</v>
      </c>
      <c r="N448" s="34">
        <v>9</v>
      </c>
      <c r="O448" s="192">
        <f>VLOOKUP(C448,Product_Master!A:F,5,FALSE)</f>
        <v>15</v>
      </c>
      <c r="P448" s="33">
        <v>0.2</v>
      </c>
      <c r="Q448" s="34">
        <f t="shared" si="18"/>
        <v>108</v>
      </c>
      <c r="R448" s="34">
        <v>3</v>
      </c>
      <c r="S448" s="24" t="s">
        <v>79</v>
      </c>
      <c r="T448" s="24" t="s">
        <v>61</v>
      </c>
      <c r="U448" s="24" t="s">
        <v>50</v>
      </c>
      <c r="V448" s="34">
        <v>9292891941</v>
      </c>
      <c r="W448" s="24" t="str">
        <f>VLOOKUP(C448,Product_Master!A:F,4,FALSE)</f>
        <v>Prime Supplies</v>
      </c>
      <c r="X448" s="34">
        <f>VLOOKUP(C448,Product_Master!A:F,6,FALSE)</f>
        <v>12</v>
      </c>
      <c r="Y448" s="24" t="str">
        <f>VLOOKUP(B448,Custumer_Master!A:D,3,FALSE)</f>
        <v>Silver</v>
      </c>
      <c r="Z448" s="30">
        <f>EDATE(E448,X448)</f>
        <v>46440</v>
      </c>
      <c r="AA448" s="29" t="str">
        <f>VLOOKUP(B448,Custumer_Master!A:K,11,)</f>
        <v>August</v>
      </c>
      <c r="AB448" s="24" t="s">
        <v>2108</v>
      </c>
      <c r="AC448" s="138" t="str">
        <f>PROPER(LEFT(TRIM(F448), 3)) &amp; RIGHT(TRIM(B448), 3) &amp; PROPER(LEFT(TRIM(I448), 2))</f>
        <v>Kav008Hy</v>
      </c>
      <c r="AD448" s="154">
        <f t="shared" ca="1" si="19"/>
        <v>49</v>
      </c>
      <c r="AE448" s="154">
        <f>IFERROR(IF(OR(E448="", D448="", LOWER(TRIM(E448))="pending", LOWER(TRIM(D448))="pending"), "Pending", E448 - D448), "Pending")</f>
        <v>10</v>
      </c>
      <c r="AF448" s="138" t="str">
        <f>IFERROR(IF(OR(E448="", D448="","Pending","Pending"), "Pending", IF((E448 - D448) &lt;= 5, "On Time", "Delayed")), "Pending")</f>
        <v>Delayed</v>
      </c>
      <c r="AG448" s="24" t="str">
        <f t="shared" si="20"/>
        <v>Completed</v>
      </c>
    </row>
    <row r="449" spans="1:33">
      <c r="A449" s="24" t="s">
        <v>1911</v>
      </c>
      <c r="B449" s="24" t="s">
        <v>23</v>
      </c>
      <c r="C449" s="24" t="s">
        <v>54</v>
      </c>
      <c r="D449" s="30">
        <v>45719</v>
      </c>
      <c r="E449" s="30" t="s">
        <v>910</v>
      </c>
      <c r="F449" s="24" t="str">
        <f>VLOOKUP(B449,Custumer_Master!A:D,2,FALSE)</f>
        <v>Kavya Nair</v>
      </c>
      <c r="G449" s="24" t="str">
        <f>VLOOKUP($B449,Custumer_Master!$A:$J,6,FALSE)</f>
        <v>Female</v>
      </c>
      <c r="H449" s="30" t="str">
        <f>VLOOKUP($B449,Custumer_Master!$A:$J,7,FALSE)</f>
        <v>01/08/1976</v>
      </c>
      <c r="I449" s="24" t="str">
        <f>VLOOKUP($B449,Custumer_Master!$A:$J,9,FALSE)</f>
        <v>Hyderabad</v>
      </c>
      <c r="J449" s="24" t="str">
        <f>VLOOKUP($B449,Custumer_Master!$A:$J,10,FALSE)</f>
        <v>South</v>
      </c>
      <c r="K449" s="24" t="str">
        <f>VLOOKUP(B449,Custumer_Master!A:D,4,FALSE)</f>
        <v>WB</v>
      </c>
      <c r="L449" s="24" t="str">
        <f>PROPER(TRIM(VLOOKUP('Final Data'!C449,Product_Master!A:F,3,FALSE)))</f>
        <v>Electronics</v>
      </c>
      <c r="M449" s="24" t="s">
        <v>60</v>
      </c>
      <c r="N449" s="34">
        <v>8</v>
      </c>
      <c r="O449" s="192">
        <f>VLOOKUP(C449,Product_Master!A:F,5,FALSE)</f>
        <v>41250</v>
      </c>
      <c r="P449" s="33">
        <v>0</v>
      </c>
      <c r="Q449" s="34">
        <f t="shared" si="18"/>
        <v>330000</v>
      </c>
      <c r="R449" s="34">
        <v>4</v>
      </c>
      <c r="S449" s="24" t="s">
        <v>34</v>
      </c>
      <c r="T449" s="24" t="s">
        <v>115</v>
      </c>
      <c r="U449" s="24" t="s">
        <v>50</v>
      </c>
      <c r="V449" s="34">
        <v>9413789556</v>
      </c>
      <c r="W449" s="24" t="str">
        <f>VLOOKUP(C449,Product_Master!A:F,4,FALSE)</f>
        <v>TechHub</v>
      </c>
      <c r="X449" s="34">
        <f>VLOOKUP(C449,Product_Master!A:F,6,FALSE)</f>
        <v>12</v>
      </c>
      <c r="Y449" s="24" t="str">
        <f>VLOOKUP(B449,Custumer_Master!A:D,3,FALSE)</f>
        <v>Silver</v>
      </c>
      <c r="Z449" s="30">
        <f>EDATE(E449,X449)</f>
        <v>46095</v>
      </c>
      <c r="AA449" s="29" t="str">
        <f>VLOOKUP(B449,Custumer_Master!A:K,11,)</f>
        <v>August</v>
      </c>
      <c r="AB449" s="24" t="s">
        <v>2110</v>
      </c>
      <c r="AC449" s="138" t="str">
        <f>PROPER(LEFT(TRIM(F449), 3)) &amp; RIGHT(TRIM(B449), 3) &amp; PROPER(LEFT(TRIM(I449), 2))</f>
        <v>Kav008Hy</v>
      </c>
      <c r="AD449" s="154">
        <f t="shared" ca="1" si="19"/>
        <v>49</v>
      </c>
      <c r="AE449" s="154">
        <f>IFERROR(IF(OR(E449="", D449="", LOWER(TRIM(E449))="pending", LOWER(TRIM(D449))="pending"), "Pending", E449 - D449), "Pending")</f>
        <v>11</v>
      </c>
      <c r="AF449" s="138" t="str">
        <f>IFERROR(IF(OR(E449="", D449="","Pending","Pending"), "Pending", IF((E449 - D449) &lt;= 5, "On Time", "Delayed")), "Pending")</f>
        <v>Delayed</v>
      </c>
      <c r="AG449" s="24" t="str">
        <f t="shared" si="20"/>
        <v>Completed</v>
      </c>
    </row>
    <row r="450" spans="1:33">
      <c r="A450" s="24" t="s">
        <v>1915</v>
      </c>
      <c r="B450" s="24" t="s">
        <v>327</v>
      </c>
      <c r="C450" s="24" t="s">
        <v>72</v>
      </c>
      <c r="D450" s="30">
        <v>46136</v>
      </c>
      <c r="E450" s="30" t="s">
        <v>1430</v>
      </c>
      <c r="F450" s="24" t="str">
        <f>VLOOKUP(B450,Custumer_Master!A:D,2,FALSE)</f>
        <v>Amit Sharma</v>
      </c>
      <c r="G450" s="24" t="str">
        <f>VLOOKUP($B450,Custumer_Master!$A:$J,6,FALSE)</f>
        <v>Male</v>
      </c>
      <c r="H450" s="30" t="str">
        <f>VLOOKUP($B450,Custumer_Master!$A:$J,7,FALSE)</f>
        <v>09/08/1991</v>
      </c>
      <c r="I450" s="24" t="str">
        <f>VLOOKUP($B450,Custumer_Master!$A:$J,9,FALSE)</f>
        <v>Pune</v>
      </c>
      <c r="J450" s="24" t="str">
        <f>VLOOKUP($B450,Custumer_Master!$A:$J,10,FALSE)</f>
        <v>West</v>
      </c>
      <c r="K450" s="24" t="str">
        <f>VLOOKUP(B450,Custumer_Master!A:D,4,FALSE)</f>
        <v>RJ</v>
      </c>
      <c r="L450" s="24" t="str">
        <f>PROPER(TRIM(VLOOKUP('Final Data'!C450,Product_Master!A:F,3,FALSE)))</f>
        <v>Electronics</v>
      </c>
      <c r="M450" s="24" t="s">
        <v>78</v>
      </c>
      <c r="N450" s="34">
        <v>4</v>
      </c>
      <c r="O450" s="192">
        <f>VLOOKUP(C450,Product_Master!A:F,5,FALSE)</f>
        <v>900</v>
      </c>
      <c r="P450" s="33">
        <v>0.1</v>
      </c>
      <c r="Q450" s="34">
        <f t="shared" si="18"/>
        <v>3240</v>
      </c>
      <c r="R450" s="34">
        <v>4</v>
      </c>
      <c r="S450" s="24" t="s">
        <v>2149</v>
      </c>
      <c r="T450" s="24" t="s">
        <v>35</v>
      </c>
      <c r="U450" s="24" t="s">
        <v>332</v>
      </c>
      <c r="V450" s="55">
        <v>9876513858</v>
      </c>
      <c r="W450" s="24" t="str">
        <f>VLOOKUP(C450,Product_Master!A:F,4,FALSE)</f>
        <v>TechHub</v>
      </c>
      <c r="X450" s="34">
        <f>VLOOKUP(C450,Product_Master!A:F,6,FALSE)</f>
        <v>6</v>
      </c>
      <c r="Y450" s="24" t="str">
        <f>VLOOKUP(B450,Custumer_Master!A:D,3,FALSE)</f>
        <v>Silver</v>
      </c>
      <c r="Z450" s="30">
        <f>EDATE(E450,X450)</f>
        <v>46323</v>
      </c>
      <c r="AA450" s="29" t="str">
        <f>VLOOKUP(B450,Custumer_Master!A:K,11,)</f>
        <v>August</v>
      </c>
      <c r="AB450" s="24" t="s">
        <v>2108</v>
      </c>
      <c r="AC450" s="138" t="str">
        <f>PROPER(LEFT(TRIM(F450), 3)) &amp; RIGHT(TRIM(B450), 3) &amp; PROPER(LEFT(TRIM(I450), 2))</f>
        <v>Ami001Pu</v>
      </c>
      <c r="AD450" s="154">
        <f t="shared" ca="1" si="19"/>
        <v>34</v>
      </c>
      <c r="AE450" s="154">
        <f>IFERROR(IF(OR(E450="", D450="", LOWER(TRIM(E450))="pending", LOWER(TRIM(D450))="pending"), "Pending", E450 - D450), "Pending")</f>
        <v>4</v>
      </c>
      <c r="AF450" s="138" t="str">
        <f>IFERROR(IF(OR(E450="", D450="","Pending","Pending"), "Pending", IF((E450 - D450) &lt;= 5, "On Time", "Delayed")), "Pending")</f>
        <v>On Time</v>
      </c>
      <c r="AG450" s="24" t="str">
        <f t="shared" si="20"/>
        <v>Completed</v>
      </c>
    </row>
    <row r="451" spans="1:33">
      <c r="A451" s="24" t="s">
        <v>1920</v>
      </c>
      <c r="B451" s="24" t="s">
        <v>327</v>
      </c>
      <c r="C451" s="24" t="s">
        <v>169</v>
      </c>
      <c r="D451" s="30">
        <v>46145</v>
      </c>
      <c r="E451" s="30" t="s">
        <v>426</v>
      </c>
      <c r="F451" s="24" t="str">
        <f>VLOOKUP(B451,Custumer_Master!A:D,2,FALSE)</f>
        <v>Amit Sharma</v>
      </c>
      <c r="G451" s="24" t="str">
        <f>VLOOKUP($B451,Custumer_Master!$A:$J,6,FALSE)</f>
        <v>Male</v>
      </c>
      <c r="H451" s="30" t="str">
        <f>VLOOKUP($B451,Custumer_Master!$A:$J,7,FALSE)</f>
        <v>09/08/1991</v>
      </c>
      <c r="I451" s="24" t="str">
        <f>VLOOKUP($B451,Custumer_Master!$A:$J,9,FALSE)</f>
        <v>Pune</v>
      </c>
      <c r="J451" s="24" t="str">
        <f>VLOOKUP($B451,Custumer_Master!$A:$J,10,FALSE)</f>
        <v>West</v>
      </c>
      <c r="K451" s="24" t="str">
        <f>VLOOKUP(B451,Custumer_Master!A:D,4,FALSE)</f>
        <v>RJ</v>
      </c>
      <c r="L451" s="24" t="str">
        <f>PROPER(TRIM(VLOOKUP('Final Data'!C451,Product_Master!A:F,3,FALSE)))</f>
        <v>Home Appliances</v>
      </c>
      <c r="M451" s="24" t="s">
        <v>174</v>
      </c>
      <c r="N451" s="34">
        <v>14</v>
      </c>
      <c r="O451" s="192">
        <f>VLOOKUP(C451,Product_Master!A:F,5,FALSE)</f>
        <v>6375</v>
      </c>
      <c r="P451" s="33">
        <v>0.1</v>
      </c>
      <c r="Q451" s="34">
        <f t="shared" ref="Q451:Q501" si="21">(N451*O451)-(N451*O451)*P451</f>
        <v>80325</v>
      </c>
      <c r="R451" s="34">
        <v>4</v>
      </c>
      <c r="S451" s="24" t="s">
        <v>34</v>
      </c>
      <c r="T451" s="24" t="s">
        <v>35</v>
      </c>
      <c r="U451" s="24" t="s">
        <v>332</v>
      </c>
      <c r="V451" s="34">
        <v>9211936331</v>
      </c>
      <c r="W451" s="24" t="str">
        <f>VLOOKUP(C451,Product_Master!A:F,4,FALSE)</f>
        <v>TechHub</v>
      </c>
      <c r="X451" s="34">
        <f>VLOOKUP(C451,Product_Master!A:F,6,FALSE)</f>
        <v>24</v>
      </c>
      <c r="Y451" s="24" t="str">
        <f>VLOOKUP(B451,Custumer_Master!A:D,3,FALSE)</f>
        <v>Silver</v>
      </c>
      <c r="Z451" s="30">
        <f>EDATE(E451,X451)</f>
        <v>46886</v>
      </c>
      <c r="AA451" s="29" t="str">
        <f>VLOOKUP(B451,Custumer_Master!A:K,11,)</f>
        <v>August</v>
      </c>
      <c r="AB451" s="24" t="s">
        <v>2112</v>
      </c>
      <c r="AC451" s="138" t="str">
        <f>PROPER(LEFT(TRIM(F451), 3)) &amp; RIGHT(TRIM(B451), 3) &amp; PROPER(LEFT(TRIM(I451), 2))</f>
        <v>Ami001Pu</v>
      </c>
      <c r="AD451" s="154">
        <f t="shared" ref="AD451:AD501" ca="1" si="22">DATEDIF(H451, TODAY(), "Y")</f>
        <v>34</v>
      </c>
      <c r="AE451" s="154">
        <f>IFERROR(IF(OR(E451="", D451="", LOWER(TRIM(E451))="pending", LOWER(TRIM(D451))="pending"), "Pending", E451 - D451), "Pending")</f>
        <v>10</v>
      </c>
      <c r="AF451" s="138" t="str">
        <f>IFERROR(IF(OR(E451="", D451="","Pending","Pending"), "Pending", IF((E451 - D451) &lt;= 5, "On Time", "Delayed")), "Pending")</f>
        <v>Delayed</v>
      </c>
      <c r="AG451" s="24" t="str">
        <f t="shared" ref="AG451:AG501" si="23">IF(AF451="Pending","Pending","Completed")</f>
        <v>Completed</v>
      </c>
    </row>
    <row r="452" spans="1:33">
      <c r="A452" s="24" t="s">
        <v>1923</v>
      </c>
      <c r="B452" s="24" t="s">
        <v>71</v>
      </c>
      <c r="C452" s="24" t="s">
        <v>259</v>
      </c>
      <c r="D452" s="30">
        <v>45807</v>
      </c>
      <c r="E452" s="30" t="s">
        <v>1924</v>
      </c>
      <c r="F452" s="24" t="str">
        <f>VLOOKUP(B452,Custumer_Master!A:D,2,FALSE)</f>
        <v>Mohit Verma</v>
      </c>
      <c r="G452" s="24" t="str">
        <f>VLOOKUP($B452,Custumer_Master!$A:$J,6,FALSE)</f>
        <v>Male</v>
      </c>
      <c r="H452" s="30" t="str">
        <f>VLOOKUP($B452,Custumer_Master!$A:$J,7,FALSE)</f>
        <v>13/04/1976</v>
      </c>
      <c r="I452" s="24" t="str">
        <f>VLOOKUP($B452,Custumer_Master!$A:$J,9,FALSE)</f>
        <v>Delhi</v>
      </c>
      <c r="J452" s="24" t="str">
        <f>VLOOKUP($B452,Custumer_Master!$A:$J,10,FALSE)</f>
        <v>North</v>
      </c>
      <c r="K452" s="24" t="str">
        <f>VLOOKUP(B452,Custumer_Master!A:D,4,FALSE)</f>
        <v>KA</v>
      </c>
      <c r="L452" s="24" t="str">
        <f>PROPER(TRIM(VLOOKUP('Final Data'!C452,Product_Master!A:F,3,FALSE)))</f>
        <v>Stationery</v>
      </c>
      <c r="M452" s="24" t="s">
        <v>263</v>
      </c>
      <c r="N452" s="34">
        <v>1</v>
      </c>
      <c r="O452" s="192">
        <f>VLOOKUP(C452,Product_Master!A:F,5,FALSE)</f>
        <v>33.75</v>
      </c>
      <c r="P452" s="33">
        <v>0</v>
      </c>
      <c r="Q452" s="34">
        <f t="shared" si="21"/>
        <v>33.75</v>
      </c>
      <c r="R452" s="34">
        <v>3</v>
      </c>
      <c r="S452" s="24" t="s">
        <v>2149</v>
      </c>
      <c r="T452" s="24" t="s">
        <v>151</v>
      </c>
      <c r="U452" s="24" t="s">
        <v>80</v>
      </c>
      <c r="V452" s="34">
        <v>9167291747</v>
      </c>
      <c r="W452" s="24" t="str">
        <f>VLOOKUP(C452,Product_Master!A:F,4,FALSE)</f>
        <v>TechHub</v>
      </c>
      <c r="X452" s="34">
        <f>VLOOKUP(C452,Product_Master!A:F,6,FALSE)</f>
        <v>12</v>
      </c>
      <c r="Y452" s="24" t="str">
        <f>VLOOKUP(B452,Custumer_Master!A:D,3,FALSE)</f>
        <v>Platinum</v>
      </c>
      <c r="Z452" s="30">
        <f>EDATE(E452,X452)</f>
        <v>46180</v>
      </c>
      <c r="AA452" s="29" t="str">
        <f>VLOOKUP(B452,Custumer_Master!A:K,11,)</f>
        <v>April</v>
      </c>
      <c r="AB452" s="24" t="s">
        <v>2108</v>
      </c>
      <c r="AC452" s="138" t="str">
        <f>PROPER(LEFT(TRIM(F452), 3)) &amp; RIGHT(TRIM(B452), 3) &amp; PROPER(LEFT(TRIM(I452), 2))</f>
        <v>Moh009De</v>
      </c>
      <c r="AD452" s="154">
        <f t="shared" ca="1" si="22"/>
        <v>50</v>
      </c>
      <c r="AE452" s="154">
        <f>IFERROR(IF(OR(E452="", D452="", LOWER(TRIM(E452))="pending", LOWER(TRIM(D452))="pending"), "Pending", E452 - D452), "Pending")</f>
        <v>8</v>
      </c>
      <c r="AF452" s="138" t="str">
        <f>IFERROR(IF(OR(E452="", D452="","Pending","Pending"), "Pending", IF((E452 - D452) &lt;= 5, "On Time", "Delayed")), "Pending")</f>
        <v>Delayed</v>
      </c>
      <c r="AG452" s="24" t="str">
        <f t="shared" si="23"/>
        <v>Completed</v>
      </c>
    </row>
    <row r="453" spans="1:33">
      <c r="A453" s="24" t="s">
        <v>1927</v>
      </c>
      <c r="B453" s="24" t="s">
        <v>71</v>
      </c>
      <c r="C453" s="24" t="s">
        <v>54</v>
      </c>
      <c r="D453" s="30">
        <v>45705</v>
      </c>
      <c r="E453" s="30" t="s">
        <v>1069</v>
      </c>
      <c r="F453" s="24" t="str">
        <f>VLOOKUP(B453,Custumer_Master!A:D,2,FALSE)</f>
        <v>Mohit Verma</v>
      </c>
      <c r="G453" s="24" t="str">
        <f>VLOOKUP($B453,Custumer_Master!$A:$J,6,FALSE)</f>
        <v>Male</v>
      </c>
      <c r="H453" s="30" t="str">
        <f>VLOOKUP($B453,Custumer_Master!$A:$J,7,FALSE)</f>
        <v>13/04/1976</v>
      </c>
      <c r="I453" s="24" t="str">
        <f>VLOOKUP($B453,Custumer_Master!$A:$J,9,FALSE)</f>
        <v>Delhi</v>
      </c>
      <c r="J453" s="24" t="str">
        <f>VLOOKUP($B453,Custumer_Master!$A:$J,10,FALSE)</f>
        <v>North</v>
      </c>
      <c r="K453" s="24" t="str">
        <f>VLOOKUP(B453,Custumer_Master!A:D,4,FALSE)</f>
        <v>KA</v>
      </c>
      <c r="L453" s="24" t="str">
        <f>PROPER(TRIM(VLOOKUP('Final Data'!C453,Product_Master!A:F,3,FALSE)))</f>
        <v>Electronics</v>
      </c>
      <c r="M453" s="24" t="s">
        <v>60</v>
      </c>
      <c r="N453" s="34">
        <v>16</v>
      </c>
      <c r="O453" s="192">
        <f>VLOOKUP(C453,Product_Master!A:F,5,FALSE)</f>
        <v>41250</v>
      </c>
      <c r="P453" s="33">
        <v>0.15</v>
      </c>
      <c r="Q453" s="34">
        <f t="shared" si="21"/>
        <v>561000</v>
      </c>
      <c r="R453" s="34">
        <v>1</v>
      </c>
      <c r="S453" s="24" t="s">
        <v>79</v>
      </c>
      <c r="T453" s="24" t="s">
        <v>151</v>
      </c>
      <c r="U453" s="24" t="s">
        <v>80</v>
      </c>
      <c r="V453" s="34">
        <v>9637283597</v>
      </c>
      <c r="W453" s="24" t="str">
        <f>VLOOKUP(C453,Product_Master!A:F,4,FALSE)</f>
        <v>TechHub</v>
      </c>
      <c r="X453" s="34">
        <f>VLOOKUP(C453,Product_Master!A:F,6,FALSE)</f>
        <v>12</v>
      </c>
      <c r="Y453" s="24" t="str">
        <f>VLOOKUP(B453,Custumer_Master!A:D,3,FALSE)</f>
        <v>Platinum</v>
      </c>
      <c r="Z453" s="30">
        <f>EDATE(E453,X453)</f>
        <v>46081</v>
      </c>
      <c r="AA453" s="29" t="str">
        <f>VLOOKUP(B453,Custumer_Master!A:K,11,)</f>
        <v>April</v>
      </c>
      <c r="AB453" s="24" t="s">
        <v>2160</v>
      </c>
      <c r="AC453" s="138" t="str">
        <f>PROPER(LEFT(TRIM(F453), 3)) &amp; RIGHT(TRIM(B453), 3) &amp; PROPER(LEFT(TRIM(I453), 2))</f>
        <v>Moh009De</v>
      </c>
      <c r="AD453" s="154">
        <f t="shared" ca="1" si="22"/>
        <v>50</v>
      </c>
      <c r="AE453" s="154">
        <f>IFERROR(IF(OR(E453="", D453="", LOWER(TRIM(E453))="pending", LOWER(TRIM(D453))="pending"), "Pending", E453 - D453), "Pending")</f>
        <v>11</v>
      </c>
      <c r="AF453" s="138" t="str">
        <f>IFERROR(IF(OR(E453="", D453="","Pending","Pending"), "Pending", IF((E453 - D453) &lt;= 5, "On Time", "Delayed")), "Pending")</f>
        <v>Delayed</v>
      </c>
      <c r="AG453" s="24" t="str">
        <f t="shared" si="23"/>
        <v>Completed</v>
      </c>
    </row>
    <row r="454" spans="1:33">
      <c r="A454" s="24" t="s">
        <v>1930</v>
      </c>
      <c r="B454" s="24" t="s">
        <v>53</v>
      </c>
      <c r="C454" s="24" t="s">
        <v>184</v>
      </c>
      <c r="D454" s="30">
        <v>46103</v>
      </c>
      <c r="E454" s="30" t="s">
        <v>1932</v>
      </c>
      <c r="F454" s="24" t="str">
        <f>VLOOKUP(B454,Custumer_Master!A:D,2,FALSE)</f>
        <v>Pooja Shah</v>
      </c>
      <c r="G454" s="24" t="str">
        <f>VLOOKUP($B454,Custumer_Master!$A:$J,6,FALSE)</f>
        <v>Female</v>
      </c>
      <c r="H454" s="30" t="str">
        <f>VLOOKUP($B454,Custumer_Master!$A:$J,7,FALSE)</f>
        <v>16/09/1994</v>
      </c>
      <c r="I454" s="24" t="str">
        <f>VLOOKUP($B454,Custumer_Master!$A:$J,9,FALSE)</f>
        <v>Bengaluru</v>
      </c>
      <c r="J454" s="24" t="str">
        <f>VLOOKUP($B454,Custumer_Master!$A:$J,10,FALSE)</f>
        <v>South</v>
      </c>
      <c r="K454" s="24" t="str">
        <f>VLOOKUP(B454,Custumer_Master!A:D,4,FALSE)</f>
        <v>WB</v>
      </c>
      <c r="L454" s="24" t="str">
        <f>PROPER(TRIM(VLOOKUP('Final Data'!C454,Product_Master!A:F,3,FALSE)))</f>
        <v>Electronics</v>
      </c>
      <c r="M454" s="24" t="s">
        <v>189</v>
      </c>
      <c r="N454" s="34">
        <v>8</v>
      </c>
      <c r="O454" s="192">
        <f>VLOOKUP(C454,Product_Master!A:F,5,FALSE)</f>
        <v>525</v>
      </c>
      <c r="P454" s="33">
        <v>0</v>
      </c>
      <c r="Q454" s="34">
        <f t="shared" si="21"/>
        <v>4200</v>
      </c>
      <c r="R454" s="34">
        <v>3</v>
      </c>
      <c r="S454" s="24" t="s">
        <v>34</v>
      </c>
      <c r="T454" s="24" t="s">
        <v>49</v>
      </c>
      <c r="U454" s="24" t="s">
        <v>62</v>
      </c>
      <c r="V454" s="34">
        <v>9514269002</v>
      </c>
      <c r="W454" s="24" t="str">
        <f>VLOOKUP(C454,Product_Master!A:F,4,FALSE)</f>
        <v>TechHub</v>
      </c>
      <c r="X454" s="34">
        <f>VLOOKUP(C454,Product_Master!A:F,6,FALSE)</f>
        <v>24</v>
      </c>
      <c r="Y454" s="24" t="str">
        <f>VLOOKUP(B454,Custumer_Master!A:D,3,FALSE)</f>
        <v>Silver</v>
      </c>
      <c r="Z454" s="30">
        <f>EDATE(E454,X454)</f>
        <v>46841</v>
      </c>
      <c r="AA454" s="29" t="str">
        <f>VLOOKUP(B454,Custumer_Master!A:K,11,)</f>
        <v>September</v>
      </c>
      <c r="AB454" s="24" t="s">
        <v>2108</v>
      </c>
      <c r="AC454" s="138" t="str">
        <f>PROPER(LEFT(TRIM(F454), 3)) &amp; RIGHT(TRIM(B454), 3) &amp; PROPER(LEFT(TRIM(I454), 2))</f>
        <v>Poo010Be</v>
      </c>
      <c r="AD454" s="154">
        <f t="shared" ca="1" si="22"/>
        <v>31</v>
      </c>
      <c r="AE454" s="154">
        <f>IFERROR(IF(OR(E454="", D454="", LOWER(TRIM(E454))="pending", LOWER(TRIM(D454))="pending"), "Pending", E454 - D454), "Pending")</f>
        <v>7</v>
      </c>
      <c r="AF454" s="138" t="str">
        <f>IFERROR(IF(OR(E454="", D454="","Pending","Pending"), "Pending", IF((E454 - D454) &lt;= 5, "On Time", "Delayed")), "Pending")</f>
        <v>Delayed</v>
      </c>
      <c r="AG454" s="24" t="str">
        <f t="shared" si="23"/>
        <v>Completed</v>
      </c>
    </row>
    <row r="455" spans="1:33">
      <c r="A455" s="24" t="s">
        <v>1935</v>
      </c>
      <c r="B455" s="24" t="s">
        <v>251</v>
      </c>
      <c r="C455" s="24" t="s">
        <v>72</v>
      </c>
      <c r="D455" s="30">
        <v>46114</v>
      </c>
      <c r="E455" s="30" t="s">
        <v>1936</v>
      </c>
      <c r="F455" s="24" t="str">
        <f>VLOOKUP(B455,Custumer_Master!A:D,2,FALSE)</f>
        <v>Sneha Joshi</v>
      </c>
      <c r="G455" s="24" t="str">
        <f>VLOOKUP($B455,Custumer_Master!$A:$J,6,FALSE)</f>
        <v>Female</v>
      </c>
      <c r="H455" s="30" t="str">
        <f>VLOOKUP($B455,Custumer_Master!$A:$J,7,FALSE)</f>
        <v>04/04/1981</v>
      </c>
      <c r="I455" s="24" t="str">
        <f>VLOOKUP($B455,Custumer_Master!$A:$J,9,FALSE)</f>
        <v>Pune</v>
      </c>
      <c r="J455" s="24" t="str">
        <f>VLOOKUP($B455,Custumer_Master!$A:$J,10,FALSE)</f>
        <v>West</v>
      </c>
      <c r="K455" s="24" t="str">
        <f>VLOOKUP(B455,Custumer_Master!A:D,4,FALSE)</f>
        <v>WB</v>
      </c>
      <c r="L455" s="24" t="str">
        <f>PROPER(TRIM(VLOOKUP('Final Data'!C455,Product_Master!A:F,3,FALSE)))</f>
        <v>Electronics</v>
      </c>
      <c r="M455" s="24" t="s">
        <v>78</v>
      </c>
      <c r="N455" s="34">
        <v>3</v>
      </c>
      <c r="O455" s="192">
        <f>VLOOKUP(C455,Product_Master!A:F,5,FALSE)</f>
        <v>900</v>
      </c>
      <c r="P455" s="33">
        <v>0</v>
      </c>
      <c r="Q455" s="34">
        <f t="shared" si="21"/>
        <v>2700</v>
      </c>
      <c r="R455" s="34">
        <v>1</v>
      </c>
      <c r="S455" s="24" t="s">
        <v>79</v>
      </c>
      <c r="T455" s="24" t="s">
        <v>49</v>
      </c>
      <c r="U455" s="24" t="s">
        <v>256</v>
      </c>
      <c r="V455" s="34">
        <v>9778908233</v>
      </c>
      <c r="W455" s="24" t="str">
        <f>VLOOKUP(C455,Product_Master!A:F,4,FALSE)</f>
        <v>TechHub</v>
      </c>
      <c r="X455" s="34">
        <f>VLOOKUP(C455,Product_Master!A:F,6,FALSE)</f>
        <v>6</v>
      </c>
      <c r="Y455" s="24" t="str">
        <f>VLOOKUP(B455,Custumer_Master!A:D,3,FALSE)</f>
        <v>Gold</v>
      </c>
      <c r="Z455" s="30">
        <f>EDATE(E455,X455)</f>
        <v>46308</v>
      </c>
      <c r="AA455" s="29" t="str">
        <f>VLOOKUP(B455,Custumer_Master!A:K,11,)</f>
        <v>April</v>
      </c>
      <c r="AB455" s="24" t="s">
        <v>2160</v>
      </c>
      <c r="AC455" s="138" t="str">
        <f>PROPER(LEFT(TRIM(F455), 3)) &amp; RIGHT(TRIM(B455), 3) &amp; PROPER(LEFT(TRIM(I455), 2))</f>
        <v>Sne006Pu</v>
      </c>
      <c r="AD455" s="154">
        <f t="shared" ca="1" si="22"/>
        <v>45</v>
      </c>
      <c r="AE455" s="154">
        <f>IFERROR(IF(OR(E455="", D455="", LOWER(TRIM(E455))="pending", LOWER(TRIM(D455))="pending"), "Pending", E455 - D455), "Pending")</f>
        <v>11</v>
      </c>
      <c r="AF455" s="138" t="str">
        <f>IFERROR(IF(OR(E455="", D455="","Pending","Pending"), "Pending", IF((E455 - D455) &lt;= 5, "On Time", "Delayed")), "Pending")</f>
        <v>Delayed</v>
      </c>
      <c r="AG455" s="24" t="str">
        <f t="shared" si="23"/>
        <v>Completed</v>
      </c>
    </row>
    <row r="456" spans="1:33">
      <c r="A456" s="24" t="s">
        <v>1939</v>
      </c>
      <c r="B456" s="24" t="s">
        <v>71</v>
      </c>
      <c r="C456" s="24" t="s">
        <v>92</v>
      </c>
      <c r="D456" s="30">
        <v>45706</v>
      </c>
      <c r="E456" s="30" t="s">
        <v>387</v>
      </c>
      <c r="F456" s="24" t="str">
        <f>VLOOKUP(B456,Custumer_Master!A:D,2,FALSE)</f>
        <v>Mohit Verma</v>
      </c>
      <c r="G456" s="24" t="str">
        <f>VLOOKUP($B456,Custumer_Master!$A:$J,6,FALSE)</f>
        <v>Male</v>
      </c>
      <c r="H456" s="30" t="str">
        <f>VLOOKUP($B456,Custumer_Master!$A:$J,7,FALSE)</f>
        <v>13/04/1976</v>
      </c>
      <c r="I456" s="24" t="str">
        <f>VLOOKUP($B456,Custumer_Master!$A:$J,9,FALSE)</f>
        <v>Delhi</v>
      </c>
      <c r="J456" s="24" t="str">
        <f>VLOOKUP($B456,Custumer_Master!$A:$J,10,FALSE)</f>
        <v>North</v>
      </c>
      <c r="K456" s="24" t="str">
        <f>VLOOKUP(B456,Custumer_Master!A:D,4,FALSE)</f>
        <v>KA</v>
      </c>
      <c r="L456" s="24" t="str">
        <f>PROPER(TRIM(VLOOKUP('Final Data'!C456,Product_Master!A:F,3,FALSE)))</f>
        <v>Home Appliances</v>
      </c>
      <c r="M456" s="24" t="s">
        <v>97</v>
      </c>
      <c r="N456" s="34">
        <v>7</v>
      </c>
      <c r="O456" s="192">
        <f>VLOOKUP(C456,Product_Master!A:F,5,FALSE)</f>
        <v>2625</v>
      </c>
      <c r="P456" s="33">
        <v>0.15</v>
      </c>
      <c r="Q456" s="34">
        <f t="shared" si="21"/>
        <v>15618.75</v>
      </c>
      <c r="R456" s="34">
        <v>4</v>
      </c>
      <c r="S456" s="24" t="s">
        <v>79</v>
      </c>
      <c r="T456" s="24" t="s">
        <v>61</v>
      </c>
      <c r="U456" s="24" t="s">
        <v>80</v>
      </c>
      <c r="V456" s="34">
        <v>9981118755</v>
      </c>
      <c r="W456" s="24" t="str">
        <f>VLOOKUP(C456,Product_Master!A:F,4,FALSE)</f>
        <v>Global Trade</v>
      </c>
      <c r="X456" s="34">
        <f>VLOOKUP(C456,Product_Master!A:F,6,FALSE)</f>
        <v>6</v>
      </c>
      <c r="Y456" s="24" t="str">
        <f>VLOOKUP(B456,Custumer_Master!A:D,3,FALSE)</f>
        <v>Platinum</v>
      </c>
      <c r="Z456" s="30">
        <f>EDATE(E456,X456)</f>
        <v>45895</v>
      </c>
      <c r="AA456" s="29" t="str">
        <f>VLOOKUP(B456,Custumer_Master!A:K,11,)</f>
        <v>April</v>
      </c>
      <c r="AB456" s="24" t="s">
        <v>2108</v>
      </c>
      <c r="AC456" s="138" t="str">
        <f>PROPER(LEFT(TRIM(F456), 3)) &amp; RIGHT(TRIM(B456), 3) &amp; PROPER(LEFT(TRIM(I456), 2))</f>
        <v>Moh009De</v>
      </c>
      <c r="AD456" s="154">
        <f t="shared" ca="1" si="22"/>
        <v>50</v>
      </c>
      <c r="AE456" s="154">
        <f>IFERROR(IF(OR(E456="", D456="", LOWER(TRIM(E456))="pending", LOWER(TRIM(D456))="pending"), "Pending", E456 - D456), "Pending")</f>
        <v>8</v>
      </c>
      <c r="AF456" s="138" t="str">
        <f>IFERROR(IF(OR(E456="", D456="","Pending","Pending"), "Pending", IF((E456 - D456) &lt;= 5, "On Time", "Delayed")), "Pending")</f>
        <v>Delayed</v>
      </c>
      <c r="AG456" s="24" t="str">
        <f t="shared" si="23"/>
        <v>Completed</v>
      </c>
    </row>
    <row r="457" spans="1:33">
      <c r="A457" s="24" t="s">
        <v>1942</v>
      </c>
      <c r="B457" s="24" t="s">
        <v>53</v>
      </c>
      <c r="C457" s="24" t="s">
        <v>54</v>
      </c>
      <c r="D457" s="30">
        <v>46110</v>
      </c>
      <c r="E457" s="30" t="s">
        <v>740</v>
      </c>
      <c r="F457" s="24" t="str">
        <f>VLOOKUP(B457,Custumer_Master!A:D,2,FALSE)</f>
        <v>Pooja Shah</v>
      </c>
      <c r="G457" s="24" t="str">
        <f>VLOOKUP($B457,Custumer_Master!$A:$J,6,FALSE)</f>
        <v>Female</v>
      </c>
      <c r="H457" s="30" t="str">
        <f>VLOOKUP($B457,Custumer_Master!$A:$J,7,FALSE)</f>
        <v>16/09/1994</v>
      </c>
      <c r="I457" s="24" t="str">
        <f>VLOOKUP($B457,Custumer_Master!$A:$J,9,FALSE)</f>
        <v>Bengaluru</v>
      </c>
      <c r="J457" s="24" t="str">
        <f>VLOOKUP($B457,Custumer_Master!$A:$J,10,FALSE)</f>
        <v>South</v>
      </c>
      <c r="K457" s="24" t="str">
        <f>VLOOKUP(B457,Custumer_Master!A:D,4,FALSE)</f>
        <v>WB</v>
      </c>
      <c r="L457" s="24" t="str">
        <f>PROPER(TRIM(VLOOKUP('Final Data'!C457,Product_Master!A:F,3,FALSE)))</f>
        <v>Electronics</v>
      </c>
      <c r="M457" s="24" t="s">
        <v>60</v>
      </c>
      <c r="N457" s="34">
        <v>9</v>
      </c>
      <c r="O457" s="192">
        <f>VLOOKUP(C457,Product_Master!A:F,5,FALSE)</f>
        <v>41250</v>
      </c>
      <c r="P457" s="33">
        <v>0.15</v>
      </c>
      <c r="Q457" s="34">
        <f t="shared" si="21"/>
        <v>315562.5</v>
      </c>
      <c r="R457" s="34">
        <v>3</v>
      </c>
      <c r="S457" s="24" t="s">
        <v>2149</v>
      </c>
      <c r="T457" s="24" t="s">
        <v>35</v>
      </c>
      <c r="U457" s="24" t="s">
        <v>62</v>
      </c>
      <c r="V457" s="34">
        <v>9887896743</v>
      </c>
      <c r="W457" s="24" t="str">
        <f>VLOOKUP(C457,Product_Master!A:F,4,FALSE)</f>
        <v>TechHub</v>
      </c>
      <c r="X457" s="34">
        <f>VLOOKUP(C457,Product_Master!A:F,6,FALSE)</f>
        <v>12</v>
      </c>
      <c r="Y457" s="24" t="str">
        <f>VLOOKUP(B457,Custumer_Master!A:D,3,FALSE)</f>
        <v>Silver</v>
      </c>
      <c r="Z457" s="30">
        <f>EDATE(E457,X457)</f>
        <v>46481</v>
      </c>
      <c r="AA457" s="29" t="str">
        <f>VLOOKUP(B457,Custumer_Master!A:K,11,)</f>
        <v>September</v>
      </c>
      <c r="AB457" s="24" t="s">
        <v>2112</v>
      </c>
      <c r="AC457" s="138" t="str">
        <f>PROPER(LEFT(TRIM(F457), 3)) &amp; RIGHT(TRIM(B457), 3) &amp; PROPER(LEFT(TRIM(I457), 2))</f>
        <v>Poo010Be</v>
      </c>
      <c r="AD457" s="154">
        <f t="shared" ca="1" si="22"/>
        <v>31</v>
      </c>
      <c r="AE457" s="154">
        <f>IFERROR(IF(OR(E457="", D457="", LOWER(TRIM(E457))="pending", LOWER(TRIM(D457))="pending"), "Pending", E457 - D457), "Pending")</f>
        <v>6</v>
      </c>
      <c r="AF457" s="138" t="str">
        <f>IFERROR(IF(OR(E457="", D457="","Pending","Pending"), "Pending", IF((E457 - D457) &lt;= 5, "On Time", "Delayed")), "Pending")</f>
        <v>Delayed</v>
      </c>
      <c r="AG457" s="24" t="str">
        <f t="shared" si="23"/>
        <v>Completed</v>
      </c>
    </row>
    <row r="458" spans="1:33">
      <c r="A458" s="24" t="s">
        <v>1945</v>
      </c>
      <c r="B458" s="24" t="s">
        <v>327</v>
      </c>
      <c r="C458" s="24" t="s">
        <v>40</v>
      </c>
      <c r="D458" s="30">
        <v>45992</v>
      </c>
      <c r="E458" s="30" t="s">
        <v>918</v>
      </c>
      <c r="F458" s="24" t="str">
        <f>VLOOKUP(B458,Custumer_Master!A:D,2,FALSE)</f>
        <v>Amit Sharma</v>
      </c>
      <c r="G458" s="24" t="str">
        <f>VLOOKUP($B458,Custumer_Master!$A:$J,6,FALSE)</f>
        <v>Male</v>
      </c>
      <c r="H458" s="30" t="str">
        <f>VLOOKUP($B458,Custumer_Master!$A:$J,7,FALSE)</f>
        <v>09/08/1991</v>
      </c>
      <c r="I458" s="24" t="str">
        <f>VLOOKUP($B458,Custumer_Master!$A:$J,9,FALSE)</f>
        <v>Pune</v>
      </c>
      <c r="J458" s="24" t="str">
        <f>VLOOKUP($B458,Custumer_Master!$A:$J,10,FALSE)</f>
        <v>West</v>
      </c>
      <c r="K458" s="24" t="str">
        <f>VLOOKUP(B458,Custumer_Master!A:D,4,FALSE)</f>
        <v>RJ</v>
      </c>
      <c r="L458" s="24" t="str">
        <f>PROPER(TRIM(VLOOKUP('Final Data'!C458,Product_Master!A:F,3,FALSE)))</f>
        <v>Electronics</v>
      </c>
      <c r="M458" s="24" t="s">
        <v>47</v>
      </c>
      <c r="N458" s="34">
        <v>12</v>
      </c>
      <c r="O458" s="192">
        <f>VLOOKUP(C458,Product_Master!A:F,5,FALSE)</f>
        <v>9000</v>
      </c>
      <c r="P458" s="33">
        <v>0</v>
      </c>
      <c r="Q458" s="34">
        <f t="shared" si="21"/>
        <v>108000</v>
      </c>
      <c r="R458" s="34">
        <v>3</v>
      </c>
      <c r="S458" s="24" t="s">
        <v>79</v>
      </c>
      <c r="T458" s="24" t="s">
        <v>151</v>
      </c>
      <c r="U458" s="24" t="s">
        <v>332</v>
      </c>
      <c r="V458" s="34">
        <v>9585330043</v>
      </c>
      <c r="W458" s="24" t="str">
        <f>VLOOKUP(C458,Product_Master!A:F,4,FALSE)</f>
        <v>Global Trade</v>
      </c>
      <c r="X458" s="34">
        <f>VLOOKUP(C458,Product_Master!A:F,6,FALSE)</f>
        <v>24</v>
      </c>
      <c r="Y458" s="24" t="str">
        <f>VLOOKUP(B458,Custumer_Master!A:D,3,FALSE)</f>
        <v>Silver</v>
      </c>
      <c r="Z458" s="30">
        <f>EDATE(E458,X458)</f>
        <v>46723</v>
      </c>
      <c r="AA458" s="29" t="str">
        <f>VLOOKUP(B458,Custumer_Master!A:K,11,)</f>
        <v>August</v>
      </c>
      <c r="AB458" s="24" t="s">
        <v>2112</v>
      </c>
      <c r="AC458" s="138" t="str">
        <f>PROPER(LEFT(TRIM(F458), 3)) &amp; RIGHT(TRIM(B458), 3) &amp; PROPER(LEFT(TRIM(I458), 2))</f>
        <v>Ami001Pu</v>
      </c>
      <c r="AD458" s="154">
        <f t="shared" ca="1" si="22"/>
        <v>34</v>
      </c>
      <c r="AE458" s="154">
        <f>IFERROR(IF(OR(E458="", D458="", LOWER(TRIM(E458))="pending", LOWER(TRIM(D458))="pending"), "Pending", E458 - D458), "Pending")</f>
        <v>1</v>
      </c>
      <c r="AF458" s="138" t="str">
        <f>IFERROR(IF(OR(E458="", D458="","Pending","Pending"), "Pending", IF((E458 - D458) &lt;= 5, "On Time", "Delayed")), "Pending")</f>
        <v>On Time</v>
      </c>
      <c r="AG458" s="24" t="str">
        <f t="shared" si="23"/>
        <v>Completed</v>
      </c>
    </row>
    <row r="459" spans="1:33">
      <c r="A459" s="24" t="s">
        <v>1948</v>
      </c>
      <c r="B459" s="24" t="s">
        <v>100</v>
      </c>
      <c r="C459" s="24" t="s">
        <v>118</v>
      </c>
      <c r="D459" s="30">
        <v>45781</v>
      </c>
      <c r="E459" s="30" t="s">
        <v>597</v>
      </c>
      <c r="F459" s="24" t="str">
        <f>VLOOKUP(B459,Custumer_Master!A:D,2,FALSE)</f>
        <v>Priya Patel</v>
      </c>
      <c r="G459" s="24" t="str">
        <f>VLOOKUP($B459,Custumer_Master!$A:$J,6,FALSE)</f>
        <v>Female</v>
      </c>
      <c r="H459" s="30" t="str">
        <f>VLOOKUP($B459,Custumer_Master!$A:$J,7,FALSE)</f>
        <v>07/03/1995</v>
      </c>
      <c r="I459" s="24" t="str">
        <f>VLOOKUP($B459,Custumer_Master!$A:$J,9,FALSE)</f>
        <v>Mumbai</v>
      </c>
      <c r="J459" s="24" t="str">
        <f>VLOOKUP($B459,Custumer_Master!$A:$J,10,FALSE)</f>
        <v>West</v>
      </c>
      <c r="K459" s="24" t="str">
        <f>VLOOKUP(B459,Custumer_Master!A:D,4,FALSE)</f>
        <v>WB</v>
      </c>
      <c r="L459" s="24" t="str">
        <f>PROPER(TRIM(VLOOKUP('Final Data'!C459,Product_Master!A:F,3,FALSE)))</f>
        <v>Stationery</v>
      </c>
      <c r="M459" s="24" t="s">
        <v>123</v>
      </c>
      <c r="N459" s="34">
        <v>7</v>
      </c>
      <c r="O459" s="192">
        <f>VLOOKUP(C459,Product_Master!A:F,5,FALSE)</f>
        <v>45</v>
      </c>
      <c r="P459" s="33">
        <v>0.1</v>
      </c>
      <c r="Q459" s="34">
        <f t="shared" si="21"/>
        <v>283.5</v>
      </c>
      <c r="R459" s="34">
        <v>4</v>
      </c>
      <c r="S459" s="24" t="s">
        <v>34</v>
      </c>
      <c r="T459" s="24" t="s">
        <v>49</v>
      </c>
      <c r="U459" s="24" t="s">
        <v>144</v>
      </c>
      <c r="V459" s="34">
        <v>9423719975</v>
      </c>
      <c r="W459" s="24" t="str">
        <f>VLOOKUP(C459,Product_Master!A:F,4,FALSE)</f>
        <v>ABC Corp</v>
      </c>
      <c r="X459" s="34">
        <f>VLOOKUP(C459,Product_Master!A:F,6,FALSE)</f>
        <v>12</v>
      </c>
      <c r="Y459" s="24" t="str">
        <f>VLOOKUP(B459,Custumer_Master!A:D,3,FALSE)</f>
        <v>Platinum</v>
      </c>
      <c r="Z459" s="30">
        <f>EDATE(E459,X459)</f>
        <v>46153</v>
      </c>
      <c r="AA459" s="29" t="str">
        <f>VLOOKUP(B459,Custumer_Master!A:K,11,)</f>
        <v>March</v>
      </c>
      <c r="AB459" s="24" t="s">
        <v>2108</v>
      </c>
      <c r="AC459" s="138" t="str">
        <f>PROPER(LEFT(TRIM(F459), 3)) &amp; RIGHT(TRIM(B459), 3) &amp; PROPER(LEFT(TRIM(I459), 2))</f>
        <v>Pri002Mu</v>
      </c>
      <c r="AD459" s="154">
        <f t="shared" ca="1" si="22"/>
        <v>31</v>
      </c>
      <c r="AE459" s="154">
        <f>IFERROR(IF(OR(E459="", D459="", LOWER(TRIM(E459))="pending", LOWER(TRIM(D459))="pending"), "Pending", E459 - D459), "Pending")</f>
        <v>7</v>
      </c>
      <c r="AF459" s="138" t="str">
        <f>IFERROR(IF(OR(E459="", D459="","Pending","Pending"), "Pending", IF((E459 - D459) &lt;= 5, "On Time", "Delayed")), "Pending")</f>
        <v>Delayed</v>
      </c>
      <c r="AG459" s="24" t="str">
        <f t="shared" si="23"/>
        <v>Completed</v>
      </c>
    </row>
    <row r="460" spans="1:33">
      <c r="A460" s="24" t="s">
        <v>1951</v>
      </c>
      <c r="B460" s="24" t="s">
        <v>221</v>
      </c>
      <c r="C460" s="24" t="s">
        <v>24</v>
      </c>
      <c r="D460" s="30">
        <v>45892</v>
      </c>
      <c r="E460" s="30" t="s">
        <v>674</v>
      </c>
      <c r="F460" s="24" t="str">
        <f>VLOOKUP(B460,Custumer_Master!A:D,2,FALSE)</f>
        <v>Vikas Mehta</v>
      </c>
      <c r="G460" s="24" t="str">
        <f>VLOOKUP($B460,Custumer_Master!$A:$J,6,FALSE)</f>
        <v>Male</v>
      </c>
      <c r="H460" s="30" t="str">
        <f>VLOOKUP($B460,Custumer_Master!$A:$J,7,FALSE)</f>
        <v>03/08/1991</v>
      </c>
      <c r="I460" s="24" t="str">
        <f>VLOOKUP($B460,Custumer_Master!$A:$J,9,FALSE)</f>
        <v>Mumbai</v>
      </c>
      <c r="J460" s="24" t="str">
        <f>VLOOKUP($B460,Custumer_Master!$A:$J,10,FALSE)</f>
        <v>West</v>
      </c>
      <c r="K460" s="24" t="str">
        <f>VLOOKUP(B460,Custumer_Master!A:D,4,FALSE)</f>
        <v>DL</v>
      </c>
      <c r="L460" s="24" t="str">
        <f>PROPER(TRIM(VLOOKUP('Final Data'!C460,Product_Master!A:F,3,FALSE)))</f>
        <v>Home Appliances</v>
      </c>
      <c r="M460" s="24" t="s">
        <v>33</v>
      </c>
      <c r="N460" s="34">
        <v>17</v>
      </c>
      <c r="O460" s="192">
        <f>VLOOKUP(C460,Product_Master!A:F,5,FALSE)</f>
        <v>1650</v>
      </c>
      <c r="P460" s="33">
        <v>0.15</v>
      </c>
      <c r="Q460" s="34">
        <f t="shared" si="21"/>
        <v>23842.5</v>
      </c>
      <c r="R460" s="34">
        <v>3</v>
      </c>
      <c r="S460" s="24" t="s">
        <v>2149</v>
      </c>
      <c r="T460" s="24" t="s">
        <v>151</v>
      </c>
      <c r="U460" s="24" t="s">
        <v>228</v>
      </c>
      <c r="V460" s="34">
        <v>9270746961</v>
      </c>
      <c r="W460" s="24" t="str">
        <f>VLOOKUP(C460,Product_Master!A:F,4,FALSE)</f>
        <v>Global Trade</v>
      </c>
      <c r="X460" s="34">
        <f>VLOOKUP(C460,Product_Master!A:F,6,FALSE)</f>
        <v>24</v>
      </c>
      <c r="Y460" s="24" t="str">
        <f>VLOOKUP(B460,Custumer_Master!A:D,3,FALSE)</f>
        <v>Gold</v>
      </c>
      <c r="Z460" s="30">
        <f>EDATE(E460,X460)</f>
        <v>46630</v>
      </c>
      <c r="AA460" s="29" t="str">
        <f>VLOOKUP(B460,Custumer_Master!A:K,11,)</f>
        <v>August</v>
      </c>
      <c r="AB460" s="24" t="s">
        <v>2108</v>
      </c>
      <c r="AC460" s="138" t="str">
        <f>PROPER(LEFT(TRIM(F460), 3)) &amp; RIGHT(TRIM(B460), 3) &amp; PROPER(LEFT(TRIM(I460), 2))</f>
        <v>Vik005Mu</v>
      </c>
      <c r="AD460" s="154">
        <f t="shared" ca="1" si="22"/>
        <v>34</v>
      </c>
      <c r="AE460" s="154">
        <f>IFERROR(IF(OR(E460="", D460="", LOWER(TRIM(E460))="pending", LOWER(TRIM(D460))="pending"), "Pending", E460 - D460), "Pending")</f>
        <v>8</v>
      </c>
      <c r="AF460" s="138" t="str">
        <f>IFERROR(IF(OR(E460="", D460="","Pending","Pending"), "Pending", IF((E460 - D460) &lt;= 5, "On Time", "Delayed")), "Pending")</f>
        <v>Delayed</v>
      </c>
      <c r="AG460" s="24" t="str">
        <f t="shared" si="23"/>
        <v>Completed</v>
      </c>
    </row>
    <row r="461" spans="1:33">
      <c r="A461" s="24" t="s">
        <v>1954</v>
      </c>
      <c r="B461" s="24" t="s">
        <v>327</v>
      </c>
      <c r="C461" s="24" t="s">
        <v>184</v>
      </c>
      <c r="D461" s="30">
        <v>45988</v>
      </c>
      <c r="E461" s="30" t="s">
        <v>1537</v>
      </c>
      <c r="F461" s="24" t="str">
        <f>VLOOKUP(B461,Custumer_Master!A:D,2,FALSE)</f>
        <v>Amit Sharma</v>
      </c>
      <c r="G461" s="24" t="str">
        <f>VLOOKUP($B461,Custumer_Master!$A:$J,6,FALSE)</f>
        <v>Male</v>
      </c>
      <c r="H461" s="30" t="str">
        <f>VLOOKUP($B461,Custumer_Master!$A:$J,7,FALSE)</f>
        <v>09/08/1991</v>
      </c>
      <c r="I461" s="24" t="str">
        <f>VLOOKUP($B461,Custumer_Master!$A:$J,9,FALSE)</f>
        <v>Pune</v>
      </c>
      <c r="J461" s="24" t="str">
        <f>VLOOKUP($B461,Custumer_Master!$A:$J,10,FALSE)</f>
        <v>West</v>
      </c>
      <c r="K461" s="24" t="str">
        <f>VLOOKUP(B461,Custumer_Master!A:D,4,FALSE)</f>
        <v>RJ</v>
      </c>
      <c r="L461" s="24" t="str">
        <f>PROPER(TRIM(VLOOKUP('Final Data'!C461,Product_Master!A:F,3,FALSE)))</f>
        <v>Electronics</v>
      </c>
      <c r="M461" s="24" t="s">
        <v>189</v>
      </c>
      <c r="N461" s="34">
        <v>17</v>
      </c>
      <c r="O461" s="192">
        <f>VLOOKUP(C461,Product_Master!A:F,5,FALSE)</f>
        <v>525</v>
      </c>
      <c r="P461" s="33">
        <v>0.1</v>
      </c>
      <c r="Q461" s="34">
        <f t="shared" si="21"/>
        <v>8032.5</v>
      </c>
      <c r="R461" s="34">
        <v>2</v>
      </c>
      <c r="S461" s="24" t="s">
        <v>34</v>
      </c>
      <c r="T461" s="24" t="s">
        <v>61</v>
      </c>
      <c r="U461" s="24" t="s">
        <v>332</v>
      </c>
      <c r="V461" s="34">
        <v>9333162025</v>
      </c>
      <c r="W461" s="24" t="str">
        <f>VLOOKUP(C461,Product_Master!A:F,4,FALSE)</f>
        <v>TechHub</v>
      </c>
      <c r="X461" s="34">
        <f>VLOOKUP(C461,Product_Master!A:F,6,FALSE)</f>
        <v>24</v>
      </c>
      <c r="Y461" s="24" t="str">
        <f>VLOOKUP(B461,Custumer_Master!A:D,3,FALSE)</f>
        <v>Silver</v>
      </c>
      <c r="Z461" s="30">
        <f>EDATE(E461,X461)</f>
        <v>46727</v>
      </c>
      <c r="AA461" s="29" t="str">
        <f>VLOOKUP(B461,Custumer_Master!A:K,11,)</f>
        <v>August</v>
      </c>
      <c r="AB461" s="24" t="s">
        <v>2160</v>
      </c>
      <c r="AC461" s="138" t="str">
        <f>PROPER(LEFT(TRIM(F461), 3)) &amp; RIGHT(TRIM(B461), 3) &amp; PROPER(LEFT(TRIM(I461), 2))</f>
        <v>Ami001Pu</v>
      </c>
      <c r="AD461" s="154">
        <f t="shared" ca="1" si="22"/>
        <v>34</v>
      </c>
      <c r="AE461" s="154">
        <f>IFERROR(IF(OR(E461="", D461="", LOWER(TRIM(E461))="pending", LOWER(TRIM(D461))="pending"), "Pending", E461 - D461), "Pending")</f>
        <v>9</v>
      </c>
      <c r="AF461" s="138" t="str">
        <f>IFERROR(IF(OR(E461="", D461="","Pending","Pending"), "Pending", IF((E461 - D461) &lt;= 5, "On Time", "Delayed")), "Pending")</f>
        <v>Delayed</v>
      </c>
      <c r="AG461" s="24" t="str">
        <f t="shared" si="23"/>
        <v>Completed</v>
      </c>
    </row>
    <row r="462" spans="1:33">
      <c r="A462" s="24" t="s">
        <v>1957</v>
      </c>
      <c r="B462" s="24" t="s">
        <v>327</v>
      </c>
      <c r="C462" s="24" t="s">
        <v>54</v>
      </c>
      <c r="D462" s="30">
        <v>45806</v>
      </c>
      <c r="E462" s="30" t="s">
        <v>1188</v>
      </c>
      <c r="F462" s="24" t="str">
        <f>VLOOKUP(B462,Custumer_Master!A:D,2,FALSE)</f>
        <v>Amit Sharma</v>
      </c>
      <c r="G462" s="24" t="str">
        <f>VLOOKUP($B462,Custumer_Master!$A:$J,6,FALSE)</f>
        <v>Male</v>
      </c>
      <c r="H462" s="30" t="str">
        <f>VLOOKUP($B462,Custumer_Master!$A:$J,7,FALSE)</f>
        <v>09/08/1991</v>
      </c>
      <c r="I462" s="24" t="str">
        <f>VLOOKUP($B462,Custumer_Master!$A:$J,9,FALSE)</f>
        <v>Pune</v>
      </c>
      <c r="J462" s="24" t="str">
        <f>VLOOKUP($B462,Custumer_Master!$A:$J,10,FALSE)</f>
        <v>West</v>
      </c>
      <c r="K462" s="24" t="str">
        <f>VLOOKUP(B462,Custumer_Master!A:D,4,FALSE)</f>
        <v>RJ</v>
      </c>
      <c r="L462" s="24" t="str">
        <f>PROPER(TRIM(VLOOKUP('Final Data'!C462,Product_Master!A:F,3,FALSE)))</f>
        <v>Electronics</v>
      </c>
      <c r="M462" s="24" t="s">
        <v>60</v>
      </c>
      <c r="N462" s="34">
        <v>19</v>
      </c>
      <c r="O462" s="192">
        <f>VLOOKUP(C462,Product_Master!A:F,5,FALSE)</f>
        <v>41250</v>
      </c>
      <c r="P462" s="33">
        <v>0.2</v>
      </c>
      <c r="Q462" s="34">
        <f t="shared" si="21"/>
        <v>627000</v>
      </c>
      <c r="R462" s="34">
        <v>5</v>
      </c>
      <c r="S462" s="24" t="s">
        <v>2148</v>
      </c>
      <c r="T462" s="24" t="s">
        <v>61</v>
      </c>
      <c r="U462" s="24" t="s">
        <v>332</v>
      </c>
      <c r="V462" s="34">
        <v>9247023285</v>
      </c>
      <c r="W462" s="24" t="str">
        <f>VLOOKUP(C462,Product_Master!A:F,4,FALSE)</f>
        <v>TechHub</v>
      </c>
      <c r="X462" s="34">
        <f>VLOOKUP(C462,Product_Master!A:F,6,FALSE)</f>
        <v>12</v>
      </c>
      <c r="Y462" s="24" t="str">
        <f>VLOOKUP(B462,Custumer_Master!A:D,3,FALSE)</f>
        <v>Silver</v>
      </c>
      <c r="Z462" s="30">
        <f>EDATE(E462,X462)</f>
        <v>46174</v>
      </c>
      <c r="AA462" s="29" t="str">
        <f>VLOOKUP(B462,Custumer_Master!A:K,11,)</f>
        <v>August</v>
      </c>
      <c r="AB462" s="24" t="s">
        <v>2112</v>
      </c>
      <c r="AC462" s="138" t="str">
        <f>PROPER(LEFT(TRIM(F462), 3)) &amp; RIGHT(TRIM(B462), 3) &amp; PROPER(LEFT(TRIM(I462), 2))</f>
        <v>Ami001Pu</v>
      </c>
      <c r="AD462" s="154">
        <f t="shared" ca="1" si="22"/>
        <v>34</v>
      </c>
      <c r="AE462" s="154">
        <f>IFERROR(IF(OR(E462="", D462="", LOWER(TRIM(E462))="pending", LOWER(TRIM(D462))="pending"), "Pending", E462 - D462), "Pending")</f>
        <v>3</v>
      </c>
      <c r="AF462" s="138" t="str">
        <f>IFERROR(IF(OR(E462="", D462="","Pending","Pending"), "Pending", IF((E462 - D462) &lt;= 5, "On Time", "Delayed")), "Pending")</f>
        <v>On Time</v>
      </c>
      <c r="AG462" s="24" t="str">
        <f t="shared" si="23"/>
        <v>Completed</v>
      </c>
    </row>
    <row r="463" spans="1:33">
      <c r="A463" s="24" t="s">
        <v>1961</v>
      </c>
      <c r="B463" s="24" t="s">
        <v>127</v>
      </c>
      <c r="C463" s="24" t="s">
        <v>118</v>
      </c>
      <c r="D463" s="30">
        <v>45912</v>
      </c>
      <c r="E463" s="30" t="s">
        <v>128</v>
      </c>
      <c r="F463" s="24" t="str">
        <f>VLOOKUP(B463,Custumer_Master!A:D,2,FALSE)</f>
        <v>Rohit Singh</v>
      </c>
      <c r="G463" s="24" t="str">
        <f>VLOOKUP($B463,Custumer_Master!$A:$J,6,FALSE)</f>
        <v>Male</v>
      </c>
      <c r="H463" s="30" t="str">
        <f>VLOOKUP($B463,Custumer_Master!$A:$J,7,FALSE)</f>
        <v>10/05/1982</v>
      </c>
      <c r="I463" s="24" t="str">
        <f>VLOOKUP($B463,Custumer_Master!$A:$J,9,FALSE)</f>
        <v>Delhi</v>
      </c>
      <c r="J463" s="24" t="str">
        <f>VLOOKUP($B463,Custumer_Master!$A:$J,10,FALSE)</f>
        <v>North</v>
      </c>
      <c r="K463" s="24" t="str">
        <f>VLOOKUP(B463,Custumer_Master!A:D,4,FALSE)</f>
        <v>DL</v>
      </c>
      <c r="L463" s="24" t="str">
        <f>PROPER(TRIM(VLOOKUP('Final Data'!C463,Product_Master!A:F,3,FALSE)))</f>
        <v>Stationery</v>
      </c>
      <c r="M463" s="24" t="s">
        <v>123</v>
      </c>
      <c r="N463" s="34">
        <v>1</v>
      </c>
      <c r="O463" s="192">
        <f>VLOOKUP(C463,Product_Master!A:F,5,FALSE)</f>
        <v>45</v>
      </c>
      <c r="P463" s="33">
        <v>0.1</v>
      </c>
      <c r="Q463" s="34">
        <f t="shared" si="21"/>
        <v>40.5</v>
      </c>
      <c r="R463" s="34">
        <v>4</v>
      </c>
      <c r="S463" s="24" t="s">
        <v>2148</v>
      </c>
      <c r="T463" s="24" t="s">
        <v>2145</v>
      </c>
      <c r="U463" s="24" t="s">
        <v>132</v>
      </c>
      <c r="V463" s="34">
        <v>9448658297</v>
      </c>
      <c r="W463" s="24" t="str">
        <f>VLOOKUP(C463,Product_Master!A:F,4,FALSE)</f>
        <v>ABC Corp</v>
      </c>
      <c r="X463" s="34">
        <f>VLOOKUP(C463,Product_Master!A:F,6,FALSE)</f>
        <v>12</v>
      </c>
      <c r="Y463" s="24" t="str">
        <f>VLOOKUP(B463,Custumer_Master!A:D,3,FALSE)</f>
        <v>Gold</v>
      </c>
      <c r="Z463" s="30">
        <f>EDATE(E463,X463)</f>
        <v>46284</v>
      </c>
      <c r="AA463" s="29" t="str">
        <f>VLOOKUP(B463,Custumer_Master!A:K,11,)</f>
        <v>May</v>
      </c>
      <c r="AB463" s="24" t="s">
        <v>2108</v>
      </c>
      <c r="AC463" s="138" t="str">
        <f>PROPER(LEFT(TRIM(F463), 3)) &amp; RIGHT(TRIM(B463), 3) &amp; PROPER(LEFT(TRIM(I463), 2))</f>
        <v>Roh003De</v>
      </c>
      <c r="AD463" s="154">
        <f t="shared" ca="1" si="22"/>
        <v>44</v>
      </c>
      <c r="AE463" s="154">
        <f>IFERROR(IF(OR(E463="", D463="", LOWER(TRIM(E463))="pending", LOWER(TRIM(D463))="pending"), "Pending", E463 - D463), "Pending")</f>
        <v>7</v>
      </c>
      <c r="AF463" s="138" t="str">
        <f>IFERROR(IF(OR(E463="", D463="","Pending","Pending"), "Pending", IF((E463 - D463) &lt;= 5, "On Time", "Delayed")), "Pending")</f>
        <v>Delayed</v>
      </c>
      <c r="AG463" s="24" t="str">
        <f t="shared" si="23"/>
        <v>Completed</v>
      </c>
    </row>
    <row r="464" spans="1:33">
      <c r="A464" s="24" t="s">
        <v>1965</v>
      </c>
      <c r="B464" s="24" t="s">
        <v>71</v>
      </c>
      <c r="C464" s="24" t="s">
        <v>92</v>
      </c>
      <c r="D464" s="30">
        <v>46085</v>
      </c>
      <c r="E464" s="30" t="s">
        <v>554</v>
      </c>
      <c r="F464" s="24" t="str">
        <f>VLOOKUP(B464,Custumer_Master!A:D,2,FALSE)</f>
        <v>Mohit Verma</v>
      </c>
      <c r="G464" s="24" t="str">
        <f>VLOOKUP($B464,Custumer_Master!$A:$J,6,FALSE)</f>
        <v>Male</v>
      </c>
      <c r="H464" s="30" t="str">
        <f>VLOOKUP($B464,Custumer_Master!$A:$J,7,FALSE)</f>
        <v>13/04/1976</v>
      </c>
      <c r="I464" s="24" t="str">
        <f>VLOOKUP($B464,Custumer_Master!$A:$J,9,FALSE)</f>
        <v>Delhi</v>
      </c>
      <c r="J464" s="24" t="str">
        <f>VLOOKUP($B464,Custumer_Master!$A:$J,10,FALSE)</f>
        <v>North</v>
      </c>
      <c r="K464" s="24" t="str">
        <f>VLOOKUP(B464,Custumer_Master!A:D,4,FALSE)</f>
        <v>KA</v>
      </c>
      <c r="L464" s="24" t="str">
        <f>PROPER(TRIM(VLOOKUP('Final Data'!C464,Product_Master!A:F,3,FALSE)))</f>
        <v>Home Appliances</v>
      </c>
      <c r="M464" s="24" t="s">
        <v>97</v>
      </c>
      <c r="N464" s="34">
        <v>16</v>
      </c>
      <c r="O464" s="192">
        <f>VLOOKUP(C464,Product_Master!A:F,5,FALSE)</f>
        <v>2625</v>
      </c>
      <c r="P464" s="33">
        <v>0</v>
      </c>
      <c r="Q464" s="34">
        <f t="shared" si="21"/>
        <v>42000</v>
      </c>
      <c r="R464" s="34">
        <v>4</v>
      </c>
      <c r="S464" s="24" t="s">
        <v>2148</v>
      </c>
      <c r="T464" s="24" t="s">
        <v>35</v>
      </c>
      <c r="U464" s="24" t="s">
        <v>80</v>
      </c>
      <c r="V464" s="34">
        <v>9906748486</v>
      </c>
      <c r="W464" s="24" t="str">
        <f>VLOOKUP(C464,Product_Master!A:F,4,FALSE)</f>
        <v>Global Trade</v>
      </c>
      <c r="X464" s="34">
        <f>VLOOKUP(C464,Product_Master!A:F,6,FALSE)</f>
        <v>6</v>
      </c>
      <c r="Y464" s="24" t="str">
        <f>VLOOKUP(B464,Custumer_Master!A:D,3,FALSE)</f>
        <v>Platinum</v>
      </c>
      <c r="Z464" s="30">
        <f>EDATE(E464,X464)</f>
        <v>46276</v>
      </c>
      <c r="AA464" s="29" t="str">
        <f>VLOOKUP(B464,Custumer_Master!A:K,11,)</f>
        <v>April</v>
      </c>
      <c r="AB464" s="24" t="s">
        <v>2108</v>
      </c>
      <c r="AC464" s="138" t="str">
        <f>PROPER(LEFT(TRIM(F464), 3)) &amp; RIGHT(TRIM(B464), 3) &amp; PROPER(LEFT(TRIM(I464), 2))</f>
        <v>Moh009De</v>
      </c>
      <c r="AD464" s="154">
        <f t="shared" ca="1" si="22"/>
        <v>50</v>
      </c>
      <c r="AE464" s="154">
        <f>IFERROR(IF(OR(E464="", D464="", LOWER(TRIM(E464))="pending", LOWER(TRIM(D464))="pending"), "Pending", E464 - D464), "Pending")</f>
        <v>7</v>
      </c>
      <c r="AF464" s="138" t="str">
        <f>IFERROR(IF(OR(E464="", D464="","Pending","Pending"), "Pending", IF((E464 - D464) &lt;= 5, "On Time", "Delayed")), "Pending")</f>
        <v>Delayed</v>
      </c>
      <c r="AG464" s="24" t="str">
        <f t="shared" si="23"/>
        <v>Completed</v>
      </c>
    </row>
    <row r="465" spans="1:33">
      <c r="A465" s="24" t="s">
        <v>1968</v>
      </c>
      <c r="B465" s="24" t="s">
        <v>127</v>
      </c>
      <c r="C465" s="24" t="s">
        <v>222</v>
      </c>
      <c r="D465" s="30">
        <v>45681</v>
      </c>
      <c r="E465" s="30" t="s">
        <v>766</v>
      </c>
      <c r="F465" s="24" t="str">
        <f>VLOOKUP(B465,Custumer_Master!A:D,2,FALSE)</f>
        <v>Rohit Singh</v>
      </c>
      <c r="G465" s="24" t="str">
        <f>VLOOKUP($B465,Custumer_Master!$A:$J,6,FALSE)</f>
        <v>Male</v>
      </c>
      <c r="H465" s="30" t="str">
        <f>VLOOKUP($B465,Custumer_Master!$A:$J,7,FALSE)</f>
        <v>10/05/1982</v>
      </c>
      <c r="I465" s="24" t="str">
        <f>VLOOKUP($B465,Custumer_Master!$A:$J,9,FALSE)</f>
        <v>Delhi</v>
      </c>
      <c r="J465" s="24" t="str">
        <f>VLOOKUP($B465,Custumer_Master!$A:$J,10,FALSE)</f>
        <v>North</v>
      </c>
      <c r="K465" s="24" t="str">
        <f>VLOOKUP(B465,Custumer_Master!A:D,4,FALSE)</f>
        <v>DL</v>
      </c>
      <c r="L465" s="24" t="str">
        <f>PROPER(TRIM(VLOOKUP('Final Data'!C465,Product_Master!A:F,3,FALSE)))</f>
        <v>Stationery</v>
      </c>
      <c r="M465" s="24" t="s">
        <v>227</v>
      </c>
      <c r="N465" s="34">
        <v>14</v>
      </c>
      <c r="O465" s="192">
        <f>VLOOKUP(C465,Product_Master!A:F,5,FALSE)</f>
        <v>15</v>
      </c>
      <c r="P465" s="33">
        <v>0.1</v>
      </c>
      <c r="Q465" s="34">
        <f t="shared" si="21"/>
        <v>189</v>
      </c>
      <c r="R465" s="34">
        <v>1</v>
      </c>
      <c r="S465" s="24" t="s">
        <v>2148</v>
      </c>
      <c r="T465" s="24" t="s">
        <v>61</v>
      </c>
      <c r="U465" s="24" t="s">
        <v>132</v>
      </c>
      <c r="V465" s="34">
        <v>9365182725</v>
      </c>
      <c r="W465" s="24" t="str">
        <f>VLOOKUP(C465,Product_Master!A:F,4,FALSE)</f>
        <v>Prime Supplies</v>
      </c>
      <c r="X465" s="34">
        <f>VLOOKUP(C465,Product_Master!A:F,6,FALSE)</f>
        <v>12</v>
      </c>
      <c r="Y465" s="24" t="str">
        <f>VLOOKUP(B465,Custumer_Master!A:D,3,FALSE)</f>
        <v>Gold</v>
      </c>
      <c r="Z465" s="30">
        <f>EDATE(E465,X465)</f>
        <v>46058</v>
      </c>
      <c r="AA465" s="29" t="str">
        <f>VLOOKUP(B465,Custumer_Master!A:K,11,)</f>
        <v>May</v>
      </c>
      <c r="AB465" s="24" t="s">
        <v>2160</v>
      </c>
      <c r="AC465" s="138" t="str">
        <f>PROPER(LEFT(TRIM(F465), 3)) &amp; RIGHT(TRIM(B465), 3) &amp; PROPER(LEFT(TRIM(I465), 2))</f>
        <v>Roh003De</v>
      </c>
      <c r="AD465" s="154">
        <f t="shared" ca="1" si="22"/>
        <v>44</v>
      </c>
      <c r="AE465" s="154">
        <f>IFERROR(IF(OR(E465="", D465="", LOWER(TRIM(E465))="pending", LOWER(TRIM(D465))="pending"), "Pending", E465 - D465), "Pending")</f>
        <v>12</v>
      </c>
      <c r="AF465" s="138" t="str">
        <f>IFERROR(IF(OR(E465="", D465="","Pending","Pending"), "Pending", IF((E465 - D465) &lt;= 5, "On Time", "Delayed")), "Pending")</f>
        <v>Delayed</v>
      </c>
      <c r="AG465" s="24" t="str">
        <f t="shared" si="23"/>
        <v>Completed</v>
      </c>
    </row>
    <row r="466" spans="1:33">
      <c r="A466" s="24" t="s">
        <v>1970</v>
      </c>
      <c r="B466" s="24" t="s">
        <v>71</v>
      </c>
      <c r="C466" s="24" t="s">
        <v>24</v>
      </c>
      <c r="D466" s="30">
        <v>46004</v>
      </c>
      <c r="E466" s="30" t="s">
        <v>454</v>
      </c>
      <c r="F466" s="24" t="str">
        <f>VLOOKUP(B466,Custumer_Master!A:D,2,FALSE)</f>
        <v>Mohit Verma</v>
      </c>
      <c r="G466" s="24" t="str">
        <f>VLOOKUP($B466,Custumer_Master!$A:$J,6,FALSE)</f>
        <v>Male</v>
      </c>
      <c r="H466" s="30" t="str">
        <f>VLOOKUP($B466,Custumer_Master!$A:$J,7,FALSE)</f>
        <v>13/04/1976</v>
      </c>
      <c r="I466" s="24" t="str">
        <f>VLOOKUP($B466,Custumer_Master!$A:$J,9,FALSE)</f>
        <v>Delhi</v>
      </c>
      <c r="J466" s="24" t="str">
        <f>VLOOKUP($B466,Custumer_Master!$A:$J,10,FALSE)</f>
        <v>North</v>
      </c>
      <c r="K466" s="24" t="str">
        <f>VLOOKUP(B466,Custumer_Master!A:D,4,FALSE)</f>
        <v>KA</v>
      </c>
      <c r="L466" s="24" t="str">
        <f>PROPER(TRIM(VLOOKUP('Final Data'!C466,Product_Master!A:F,3,FALSE)))</f>
        <v>Home Appliances</v>
      </c>
      <c r="M466" s="24" t="s">
        <v>33</v>
      </c>
      <c r="N466" s="34">
        <v>11</v>
      </c>
      <c r="O466" s="192">
        <f>VLOOKUP(C466,Product_Master!A:F,5,FALSE)</f>
        <v>1650</v>
      </c>
      <c r="P466" s="33">
        <v>0.15</v>
      </c>
      <c r="Q466" s="34">
        <f t="shared" si="21"/>
        <v>15427.5</v>
      </c>
      <c r="R466" s="34">
        <v>4</v>
      </c>
      <c r="S466" s="24" t="s">
        <v>2148</v>
      </c>
      <c r="T466" s="24" t="s">
        <v>49</v>
      </c>
      <c r="U466" s="24" t="s">
        <v>80</v>
      </c>
      <c r="V466" s="34">
        <v>9937119494</v>
      </c>
      <c r="W466" s="24" t="str">
        <f>VLOOKUP(C466,Product_Master!A:F,4,FALSE)</f>
        <v>Global Trade</v>
      </c>
      <c r="X466" s="34">
        <f>VLOOKUP(C466,Product_Master!A:F,6,FALSE)</f>
        <v>24</v>
      </c>
      <c r="Y466" s="24" t="str">
        <f>VLOOKUP(B466,Custumer_Master!A:D,3,FALSE)</f>
        <v>Platinum</v>
      </c>
      <c r="Z466" s="30">
        <f>EDATE(E466,X466)</f>
        <v>46735</v>
      </c>
      <c r="AA466" s="29" t="str">
        <f>VLOOKUP(B466,Custumer_Master!A:K,11,)</f>
        <v>April</v>
      </c>
      <c r="AB466" s="24" t="s">
        <v>2108</v>
      </c>
      <c r="AC466" s="138" t="str">
        <f>PROPER(LEFT(TRIM(F466), 3)) &amp; RIGHT(TRIM(B466), 3) &amp; PROPER(LEFT(TRIM(I466), 2))</f>
        <v>Moh009De</v>
      </c>
      <c r="AD466" s="154">
        <f t="shared" ca="1" si="22"/>
        <v>50</v>
      </c>
      <c r="AE466" s="154">
        <f>IFERROR(IF(OR(E466="", D466="", LOWER(TRIM(E466))="pending", LOWER(TRIM(D466))="pending"), "Pending", E466 - D466), "Pending")</f>
        <v>1</v>
      </c>
      <c r="AF466" s="138" t="str">
        <f>IFERROR(IF(OR(E466="", D466="","Pending","Pending"), "Pending", IF((E466 - D466) &lt;= 5, "On Time", "Delayed")), "Pending")</f>
        <v>On Time</v>
      </c>
      <c r="AG466" s="24" t="str">
        <f t="shared" si="23"/>
        <v>Completed</v>
      </c>
    </row>
    <row r="467" spans="1:33">
      <c r="A467" s="24" t="s">
        <v>1973</v>
      </c>
      <c r="B467" s="24" t="s">
        <v>83</v>
      </c>
      <c r="C467" s="24" t="s">
        <v>54</v>
      </c>
      <c r="D467" s="30">
        <v>45870</v>
      </c>
      <c r="E467" s="30" t="s">
        <v>1282</v>
      </c>
      <c r="F467" s="24" t="str">
        <f>VLOOKUP(B467,Custumer_Master!A:D,2,FALSE)</f>
        <v>Arjun Rao</v>
      </c>
      <c r="G467" s="24" t="str">
        <f>VLOOKUP($B467,Custumer_Master!$A:$J,6,FALSE)</f>
        <v>Male</v>
      </c>
      <c r="H467" s="30" t="str">
        <f>VLOOKUP($B467,Custumer_Master!$A:$J,7,FALSE)</f>
        <v>07/02/1988</v>
      </c>
      <c r="I467" s="24" t="str">
        <f>VLOOKUP($B467,Custumer_Master!$A:$J,9,FALSE)</f>
        <v>Hyderabad</v>
      </c>
      <c r="J467" s="24" t="str">
        <f>VLOOKUP($B467,Custumer_Master!$A:$J,10,FALSE)</f>
        <v>South</v>
      </c>
      <c r="K467" s="24" t="str">
        <f>VLOOKUP(B467,Custumer_Master!A:D,4,FALSE)</f>
        <v>RJ</v>
      </c>
      <c r="L467" s="24" t="str">
        <f>PROPER(TRIM(VLOOKUP('Final Data'!C467,Product_Master!A:F,3,FALSE)))</f>
        <v>Electronics</v>
      </c>
      <c r="M467" s="24" t="s">
        <v>60</v>
      </c>
      <c r="N467" s="34">
        <v>2</v>
      </c>
      <c r="O467" s="192">
        <f>VLOOKUP(C467,Product_Master!A:F,5,FALSE)</f>
        <v>41250</v>
      </c>
      <c r="P467" s="33">
        <v>0</v>
      </c>
      <c r="Q467" s="34">
        <f t="shared" si="21"/>
        <v>82500</v>
      </c>
      <c r="R467" s="34">
        <v>4</v>
      </c>
      <c r="S467" s="24" t="s">
        <v>2148</v>
      </c>
      <c r="T467" s="24" t="s">
        <v>49</v>
      </c>
      <c r="U467" s="24" t="s">
        <v>89</v>
      </c>
      <c r="V467" s="34">
        <v>9828015293</v>
      </c>
      <c r="W467" s="24" t="str">
        <f>VLOOKUP(C467,Product_Master!A:F,4,FALSE)</f>
        <v>TechHub</v>
      </c>
      <c r="X467" s="34">
        <f>VLOOKUP(C467,Product_Master!A:F,6,FALSE)</f>
        <v>12</v>
      </c>
      <c r="Y467" s="24" t="str">
        <f>VLOOKUP(B467,Custumer_Master!A:D,3,FALSE)</f>
        <v>Silver</v>
      </c>
      <c r="Z467" s="30">
        <f>EDATE(E467,X467)</f>
        <v>46243</v>
      </c>
      <c r="AA467" s="29" t="str">
        <f>VLOOKUP(B467,Custumer_Master!A:K,11,)</f>
        <v>February</v>
      </c>
      <c r="AB467" s="24" t="s">
        <v>2112</v>
      </c>
      <c r="AC467" s="138" t="str">
        <f>PROPER(LEFT(TRIM(F467), 3)) &amp; RIGHT(TRIM(B467), 3) &amp; PROPER(LEFT(TRIM(I467), 2))</f>
        <v>Arj007Hy</v>
      </c>
      <c r="AD467" s="154">
        <f t="shared" ca="1" si="22"/>
        <v>38</v>
      </c>
      <c r="AE467" s="154">
        <f>IFERROR(IF(OR(E467="", D467="", LOWER(TRIM(E467))="pending", LOWER(TRIM(D467))="pending"), "Pending", E467 - D467), "Pending")</f>
        <v>8</v>
      </c>
      <c r="AF467" s="138" t="str">
        <f>IFERROR(IF(OR(E467="", D467="","Pending","Pending"), "Pending", IF((E467 - D467) &lt;= 5, "On Time", "Delayed")), "Pending")</f>
        <v>Delayed</v>
      </c>
      <c r="AG467" s="24" t="str">
        <f t="shared" si="23"/>
        <v>Completed</v>
      </c>
    </row>
    <row r="468" spans="1:33">
      <c r="A468" s="24" t="s">
        <v>1976</v>
      </c>
      <c r="B468" s="24" t="s">
        <v>53</v>
      </c>
      <c r="C468" s="24" t="s">
        <v>24</v>
      </c>
      <c r="D468" s="30">
        <v>45658</v>
      </c>
      <c r="E468" s="30" t="s">
        <v>513</v>
      </c>
      <c r="F468" s="24" t="str">
        <f>VLOOKUP(B468,Custumer_Master!A:D,2,FALSE)</f>
        <v>Pooja Shah</v>
      </c>
      <c r="G468" s="24" t="str">
        <f>VLOOKUP($B468,Custumer_Master!$A:$J,6,FALSE)</f>
        <v>Female</v>
      </c>
      <c r="H468" s="30" t="str">
        <f>VLOOKUP($B468,Custumer_Master!$A:$J,7,FALSE)</f>
        <v>16/09/1994</v>
      </c>
      <c r="I468" s="24" t="str">
        <f>VLOOKUP($B468,Custumer_Master!$A:$J,9,FALSE)</f>
        <v>Bengaluru</v>
      </c>
      <c r="J468" s="24" t="str">
        <f>VLOOKUP($B468,Custumer_Master!$A:$J,10,FALSE)</f>
        <v>South</v>
      </c>
      <c r="K468" s="24" t="str">
        <f>VLOOKUP(B468,Custumer_Master!A:D,4,FALSE)</f>
        <v>WB</v>
      </c>
      <c r="L468" s="24" t="str">
        <f>PROPER(TRIM(VLOOKUP('Final Data'!C468,Product_Master!A:F,3,FALSE)))</f>
        <v>Home Appliances</v>
      </c>
      <c r="M468" s="24" t="s">
        <v>33</v>
      </c>
      <c r="N468" s="34">
        <v>7</v>
      </c>
      <c r="O468" s="192">
        <f>VLOOKUP(C468,Product_Master!A:F,5,FALSE)</f>
        <v>1650</v>
      </c>
      <c r="P468" s="33">
        <v>0.05</v>
      </c>
      <c r="Q468" s="34">
        <f t="shared" si="21"/>
        <v>10972.5</v>
      </c>
      <c r="R468" s="34">
        <v>4</v>
      </c>
      <c r="S468" s="24" t="s">
        <v>79</v>
      </c>
      <c r="T468" s="24" t="s">
        <v>115</v>
      </c>
      <c r="U468" s="24" t="s">
        <v>62</v>
      </c>
      <c r="V468" s="34">
        <v>9864206250</v>
      </c>
      <c r="W468" s="24" t="str">
        <f>VLOOKUP(C468,Product_Master!A:F,4,FALSE)</f>
        <v>Global Trade</v>
      </c>
      <c r="X468" s="34">
        <f>VLOOKUP(C468,Product_Master!A:F,6,FALSE)</f>
        <v>24</v>
      </c>
      <c r="Y468" s="24" t="str">
        <f>VLOOKUP(B468,Custumer_Master!A:D,3,FALSE)</f>
        <v>Silver</v>
      </c>
      <c r="Z468" s="30">
        <f>EDATE(E468,X468)</f>
        <v>46394</v>
      </c>
      <c r="AA468" s="29" t="str">
        <f>VLOOKUP(B468,Custumer_Master!A:K,11,)</f>
        <v>September</v>
      </c>
      <c r="AB468" s="24" t="s">
        <v>2108</v>
      </c>
      <c r="AC468" s="138" t="str">
        <f>PROPER(LEFT(TRIM(F468), 3)) &amp; RIGHT(TRIM(B468), 3) &amp; PROPER(LEFT(TRIM(I468), 2))</f>
        <v>Poo010Be</v>
      </c>
      <c r="AD468" s="154">
        <f t="shared" ca="1" si="22"/>
        <v>31</v>
      </c>
      <c r="AE468" s="154">
        <f>IFERROR(IF(OR(E468="", D468="", LOWER(TRIM(E468))="pending", LOWER(TRIM(D468))="pending"), "Pending", E468 - D468), "Pending")</f>
        <v>6</v>
      </c>
      <c r="AF468" s="138" t="str">
        <f>IFERROR(IF(OR(E468="", D468="","Pending","Pending"), "Pending", IF((E468 - D468) &lt;= 5, "On Time", "Delayed")), "Pending")</f>
        <v>Delayed</v>
      </c>
      <c r="AG468" s="24" t="str">
        <f t="shared" si="23"/>
        <v>Completed</v>
      </c>
    </row>
    <row r="469" spans="1:33">
      <c r="A469" s="24" t="s">
        <v>1979</v>
      </c>
      <c r="B469" s="24" t="s">
        <v>23</v>
      </c>
      <c r="C469" s="24" t="s">
        <v>259</v>
      </c>
      <c r="D469" s="30">
        <v>45755</v>
      </c>
      <c r="E469" s="30" t="s">
        <v>577</v>
      </c>
      <c r="F469" s="24" t="str">
        <f>VLOOKUP(B469,Custumer_Master!A:D,2,FALSE)</f>
        <v>Kavya Nair</v>
      </c>
      <c r="G469" s="24" t="str">
        <f>VLOOKUP($B469,Custumer_Master!$A:$J,6,FALSE)</f>
        <v>Female</v>
      </c>
      <c r="H469" s="30" t="str">
        <f>VLOOKUP($B469,Custumer_Master!$A:$J,7,FALSE)</f>
        <v>01/08/1976</v>
      </c>
      <c r="I469" s="24" t="str">
        <f>VLOOKUP($B469,Custumer_Master!$A:$J,9,FALSE)</f>
        <v>Hyderabad</v>
      </c>
      <c r="J469" s="24" t="str">
        <f>VLOOKUP($B469,Custumer_Master!$A:$J,10,FALSE)</f>
        <v>South</v>
      </c>
      <c r="K469" s="24" t="str">
        <f>VLOOKUP(B469,Custumer_Master!A:D,4,FALSE)</f>
        <v>WB</v>
      </c>
      <c r="L469" s="24" t="str">
        <f>PROPER(TRIM(VLOOKUP('Final Data'!C469,Product_Master!A:F,3,FALSE)))</f>
        <v>Stationery</v>
      </c>
      <c r="M469" s="24" t="s">
        <v>263</v>
      </c>
      <c r="N469" s="34">
        <v>11</v>
      </c>
      <c r="O469" s="192">
        <f>VLOOKUP(C469,Product_Master!A:F,5,FALSE)</f>
        <v>33.75</v>
      </c>
      <c r="P469" s="33">
        <v>0.15</v>
      </c>
      <c r="Q469" s="34">
        <f t="shared" si="21"/>
        <v>315.5625</v>
      </c>
      <c r="R469" s="34">
        <v>4</v>
      </c>
      <c r="S469" s="24" t="s">
        <v>79</v>
      </c>
      <c r="T469" s="24" t="s">
        <v>61</v>
      </c>
      <c r="U469" s="24" t="s">
        <v>50</v>
      </c>
      <c r="V469" s="34">
        <v>9519293104</v>
      </c>
      <c r="W469" s="24" t="str">
        <f>VLOOKUP(C469,Product_Master!A:F,4,FALSE)</f>
        <v>TechHub</v>
      </c>
      <c r="X469" s="34">
        <f>VLOOKUP(C469,Product_Master!A:F,6,FALSE)</f>
        <v>12</v>
      </c>
      <c r="Y469" s="24" t="str">
        <f>VLOOKUP(B469,Custumer_Master!A:D,3,FALSE)</f>
        <v>Silver</v>
      </c>
      <c r="Z469" s="30">
        <f>EDATE(E469,X469)</f>
        <v>46124</v>
      </c>
      <c r="AA469" s="29" t="str">
        <f>VLOOKUP(B469,Custumer_Master!A:K,11,)</f>
        <v>August</v>
      </c>
      <c r="AB469" s="24" t="s">
        <v>2108</v>
      </c>
      <c r="AC469" s="138" t="str">
        <f>PROPER(LEFT(TRIM(F469), 3)) &amp; RIGHT(TRIM(B469), 3) &amp; PROPER(LEFT(TRIM(I469), 2))</f>
        <v>Kav008Hy</v>
      </c>
      <c r="AD469" s="154">
        <f t="shared" ca="1" si="22"/>
        <v>49</v>
      </c>
      <c r="AE469" s="154">
        <f>IFERROR(IF(OR(E469="", D469="", LOWER(TRIM(E469))="pending", LOWER(TRIM(D469))="pending"), "Pending", E469 - D469), "Pending")</f>
        <v>4</v>
      </c>
      <c r="AF469" s="138" t="str">
        <f>IFERROR(IF(OR(E469="", D469="","Pending","Pending"), "Pending", IF((E469 - D469) &lt;= 5, "On Time", "Delayed")), "Pending")</f>
        <v>On Time</v>
      </c>
      <c r="AG469" s="24" t="str">
        <f t="shared" si="23"/>
        <v>Completed</v>
      </c>
    </row>
    <row r="470" spans="1:33">
      <c r="A470" s="24" t="s">
        <v>1982</v>
      </c>
      <c r="B470" s="24" t="s">
        <v>100</v>
      </c>
      <c r="C470" s="24" t="s">
        <v>118</v>
      </c>
      <c r="D470" s="30">
        <v>45767</v>
      </c>
      <c r="E470" s="30" t="s">
        <v>210</v>
      </c>
      <c r="F470" s="24" t="str">
        <f>VLOOKUP(B470,Custumer_Master!A:D,2,FALSE)</f>
        <v>Priya Patel</v>
      </c>
      <c r="G470" s="24" t="str">
        <f>VLOOKUP($B470,Custumer_Master!$A:$J,6,FALSE)</f>
        <v>Female</v>
      </c>
      <c r="H470" s="30" t="str">
        <f>VLOOKUP($B470,Custumer_Master!$A:$J,7,FALSE)</f>
        <v>07/03/1995</v>
      </c>
      <c r="I470" s="24" t="str">
        <f>VLOOKUP($B470,Custumer_Master!$A:$J,9,FALSE)</f>
        <v>Mumbai</v>
      </c>
      <c r="J470" s="24" t="str">
        <f>VLOOKUP($B470,Custumer_Master!$A:$J,10,FALSE)</f>
        <v>West</v>
      </c>
      <c r="K470" s="24" t="str">
        <f>VLOOKUP(B470,Custumer_Master!A:D,4,FALSE)</f>
        <v>WB</v>
      </c>
      <c r="L470" s="24" t="str">
        <f>PROPER(TRIM(VLOOKUP('Final Data'!C470,Product_Master!A:F,3,FALSE)))</f>
        <v>Stationery</v>
      </c>
      <c r="M470" s="24" t="s">
        <v>123</v>
      </c>
      <c r="N470" s="34">
        <v>16</v>
      </c>
      <c r="O470" s="192">
        <f>VLOOKUP(C470,Product_Master!A:F,5,FALSE)</f>
        <v>45</v>
      </c>
      <c r="P470" s="33">
        <v>0.05</v>
      </c>
      <c r="Q470" s="34">
        <f t="shared" si="21"/>
        <v>684</v>
      </c>
      <c r="R470" s="34">
        <v>2</v>
      </c>
      <c r="S470" s="24" t="s">
        <v>34</v>
      </c>
      <c r="T470" s="24" t="s">
        <v>115</v>
      </c>
      <c r="U470" s="24" t="s">
        <v>144</v>
      </c>
      <c r="V470" s="34">
        <v>9296075245</v>
      </c>
      <c r="W470" s="24" t="str">
        <f>VLOOKUP(C470,Product_Master!A:F,4,FALSE)</f>
        <v>ABC Corp</v>
      </c>
      <c r="X470" s="34">
        <f>VLOOKUP(C470,Product_Master!A:F,6,FALSE)</f>
        <v>12</v>
      </c>
      <c r="Y470" s="24" t="str">
        <f>VLOOKUP(B470,Custumer_Master!A:D,3,FALSE)</f>
        <v>Platinum</v>
      </c>
      <c r="Z470" s="30">
        <f>EDATE(E470,X470)</f>
        <v>46142</v>
      </c>
      <c r="AA470" s="29" t="str">
        <f>VLOOKUP(B470,Custumer_Master!A:K,11,)</f>
        <v>March</v>
      </c>
      <c r="AB470" s="24" t="s">
        <v>2160</v>
      </c>
      <c r="AC470" s="138" t="str">
        <f>PROPER(LEFT(TRIM(F470), 3)) &amp; RIGHT(TRIM(B470), 3) &amp; PROPER(LEFT(TRIM(I470), 2))</f>
        <v>Pri002Mu</v>
      </c>
      <c r="AD470" s="154">
        <f t="shared" ca="1" si="22"/>
        <v>31</v>
      </c>
      <c r="AE470" s="154">
        <f>IFERROR(IF(OR(E470="", D470="", LOWER(TRIM(E470))="pending", LOWER(TRIM(D470))="pending"), "Pending", E470 - D470), "Pending")</f>
        <v>10</v>
      </c>
      <c r="AF470" s="138" t="str">
        <f>IFERROR(IF(OR(E470="", D470="","Pending","Pending"), "Pending", IF((E470 - D470) &lt;= 5, "On Time", "Delayed")), "Pending")</f>
        <v>Delayed</v>
      </c>
      <c r="AG470" s="24" t="str">
        <f t="shared" si="23"/>
        <v>Completed</v>
      </c>
    </row>
    <row r="471" spans="1:33">
      <c r="A471" s="24" t="s">
        <v>1985</v>
      </c>
      <c r="B471" s="24" t="s">
        <v>327</v>
      </c>
      <c r="C471" s="24" t="s">
        <v>54</v>
      </c>
      <c r="D471" s="30">
        <v>45963</v>
      </c>
      <c r="E471" s="30" t="s">
        <v>864</v>
      </c>
      <c r="F471" s="24" t="str">
        <f>VLOOKUP(B471,Custumer_Master!A:D,2,FALSE)</f>
        <v>Amit Sharma</v>
      </c>
      <c r="G471" s="24" t="str">
        <f>VLOOKUP($B471,Custumer_Master!$A:$J,6,FALSE)</f>
        <v>Male</v>
      </c>
      <c r="H471" s="30" t="str">
        <f>VLOOKUP($B471,Custumer_Master!$A:$J,7,FALSE)</f>
        <v>09/08/1991</v>
      </c>
      <c r="I471" s="24" t="str">
        <f>VLOOKUP($B471,Custumer_Master!$A:$J,9,FALSE)</f>
        <v>Pune</v>
      </c>
      <c r="J471" s="24" t="str">
        <f>VLOOKUP($B471,Custumer_Master!$A:$J,10,FALSE)</f>
        <v>West</v>
      </c>
      <c r="K471" s="24" t="str">
        <f>VLOOKUP(B471,Custumer_Master!A:D,4,FALSE)</f>
        <v>RJ</v>
      </c>
      <c r="L471" s="24" t="str">
        <f>PROPER(TRIM(VLOOKUP('Final Data'!C471,Product_Master!A:F,3,FALSE)))</f>
        <v>Electronics</v>
      </c>
      <c r="M471" s="24" t="s">
        <v>60</v>
      </c>
      <c r="N471" s="34">
        <v>18</v>
      </c>
      <c r="O471" s="192">
        <f>VLOOKUP(C471,Product_Master!A:F,5,FALSE)</f>
        <v>41250</v>
      </c>
      <c r="P471" s="33">
        <v>0</v>
      </c>
      <c r="Q471" s="34">
        <f t="shared" si="21"/>
        <v>742500</v>
      </c>
      <c r="R471" s="34">
        <v>5</v>
      </c>
      <c r="S471" s="24" t="s">
        <v>2148</v>
      </c>
      <c r="T471" s="24" t="s">
        <v>49</v>
      </c>
      <c r="U471" s="24" t="s">
        <v>332</v>
      </c>
      <c r="V471" s="34">
        <v>9316770206</v>
      </c>
      <c r="W471" s="24" t="str">
        <f>VLOOKUP(C471,Product_Master!A:F,4,FALSE)</f>
        <v>TechHub</v>
      </c>
      <c r="X471" s="34">
        <f>VLOOKUP(C471,Product_Master!A:F,6,FALSE)</f>
        <v>12</v>
      </c>
      <c r="Y471" s="24" t="str">
        <f>VLOOKUP(B471,Custumer_Master!A:D,3,FALSE)</f>
        <v>Silver</v>
      </c>
      <c r="Z471" s="30">
        <f>EDATE(E471,X471)</f>
        <v>46330</v>
      </c>
      <c r="AA471" s="29" t="str">
        <f>VLOOKUP(B471,Custumer_Master!A:K,11,)</f>
        <v>August</v>
      </c>
      <c r="AB471" s="24" t="s">
        <v>2110</v>
      </c>
      <c r="AC471" s="138" t="str">
        <f>PROPER(LEFT(TRIM(F471), 3)) &amp; RIGHT(TRIM(B471), 3) &amp; PROPER(LEFT(TRIM(I471), 2))</f>
        <v>Ami001Pu</v>
      </c>
      <c r="AD471" s="154">
        <f t="shared" ca="1" si="22"/>
        <v>34</v>
      </c>
      <c r="AE471" s="154">
        <f>IFERROR(IF(OR(E471="", D471="", LOWER(TRIM(E471))="pending", LOWER(TRIM(D471))="pending"), "Pending", E471 - D471), "Pending")</f>
        <v>2</v>
      </c>
      <c r="AF471" s="138" t="str">
        <f>IFERROR(IF(OR(E471="", D471="","Pending","Pending"), "Pending", IF((E471 - D471) &lt;= 5, "On Time", "Delayed")), "Pending")</f>
        <v>On Time</v>
      </c>
      <c r="AG471" s="24" t="str">
        <f t="shared" si="23"/>
        <v>Completed</v>
      </c>
    </row>
    <row r="472" spans="1:33">
      <c r="A472" s="24" t="s">
        <v>1988</v>
      </c>
      <c r="B472" s="24" t="s">
        <v>23</v>
      </c>
      <c r="C472" s="24" t="s">
        <v>72</v>
      </c>
      <c r="D472" s="30">
        <v>45948</v>
      </c>
      <c r="E472" s="30" t="s">
        <v>1880</v>
      </c>
      <c r="F472" s="24" t="str">
        <f>VLOOKUP(B472,Custumer_Master!A:D,2,FALSE)</f>
        <v>Kavya Nair</v>
      </c>
      <c r="G472" s="24" t="str">
        <f>VLOOKUP($B472,Custumer_Master!$A:$J,6,FALSE)</f>
        <v>Female</v>
      </c>
      <c r="H472" s="30" t="str">
        <f>VLOOKUP($B472,Custumer_Master!$A:$J,7,FALSE)</f>
        <v>01/08/1976</v>
      </c>
      <c r="I472" s="24" t="str">
        <f>VLOOKUP($B472,Custumer_Master!$A:$J,9,FALSE)</f>
        <v>Hyderabad</v>
      </c>
      <c r="J472" s="24" t="str">
        <f>VLOOKUP($B472,Custumer_Master!$A:$J,10,FALSE)</f>
        <v>South</v>
      </c>
      <c r="K472" s="24" t="str">
        <f>VLOOKUP(B472,Custumer_Master!A:D,4,FALSE)</f>
        <v>WB</v>
      </c>
      <c r="L472" s="24" t="str">
        <f>PROPER(TRIM(VLOOKUP('Final Data'!C472,Product_Master!A:F,3,FALSE)))</f>
        <v>Electronics</v>
      </c>
      <c r="M472" s="24" t="s">
        <v>78</v>
      </c>
      <c r="N472" s="34">
        <v>17</v>
      </c>
      <c r="O472" s="192">
        <f>VLOOKUP(C472,Product_Master!A:F,5,FALSE)</f>
        <v>900</v>
      </c>
      <c r="P472" s="33">
        <v>0.05</v>
      </c>
      <c r="Q472" s="34">
        <f t="shared" si="21"/>
        <v>14535</v>
      </c>
      <c r="R472" s="34">
        <v>1</v>
      </c>
      <c r="S472" s="24" t="s">
        <v>2148</v>
      </c>
      <c r="T472" s="24" t="s">
        <v>35</v>
      </c>
      <c r="U472" s="24" t="s">
        <v>50</v>
      </c>
      <c r="V472" s="34">
        <v>9706553861</v>
      </c>
      <c r="W472" s="24" t="str">
        <f>VLOOKUP(C472,Product_Master!A:F,4,FALSE)</f>
        <v>TechHub</v>
      </c>
      <c r="X472" s="34">
        <f>VLOOKUP(C472,Product_Master!A:F,6,FALSE)</f>
        <v>6</v>
      </c>
      <c r="Y472" s="24" t="str">
        <f>VLOOKUP(B472,Custumer_Master!A:D,3,FALSE)</f>
        <v>Silver</v>
      </c>
      <c r="Z472" s="30">
        <f>EDATE(E472,X472)</f>
        <v>46134</v>
      </c>
      <c r="AA472" s="29" t="str">
        <f>VLOOKUP(B472,Custumer_Master!A:K,11,)</f>
        <v>August</v>
      </c>
      <c r="AB472" s="24" t="s">
        <v>2160</v>
      </c>
      <c r="AC472" s="138" t="str">
        <f>PROPER(LEFT(TRIM(F472), 3)) &amp; RIGHT(TRIM(B472), 3) &amp; PROPER(LEFT(TRIM(I472), 2))</f>
        <v>Kav008Hy</v>
      </c>
      <c r="AD472" s="154">
        <f t="shared" ca="1" si="22"/>
        <v>49</v>
      </c>
      <c r="AE472" s="154">
        <f>IFERROR(IF(OR(E472="", D472="", LOWER(TRIM(E472))="pending", LOWER(TRIM(D472))="pending"), "Pending", E472 - D472), "Pending")</f>
        <v>4</v>
      </c>
      <c r="AF472" s="138" t="str">
        <f>IFERROR(IF(OR(E472="", D472="","Pending","Pending"), "Pending", IF((E472 - D472) &lt;= 5, "On Time", "Delayed")), "Pending")</f>
        <v>On Time</v>
      </c>
      <c r="AG472" s="24" t="str">
        <f t="shared" si="23"/>
        <v>Completed</v>
      </c>
    </row>
    <row r="473" spans="1:33">
      <c r="A473" s="24" t="s">
        <v>1992</v>
      </c>
      <c r="B473" s="24" t="s">
        <v>53</v>
      </c>
      <c r="C473" s="24" t="s">
        <v>54</v>
      </c>
      <c r="D473" s="30">
        <v>45774</v>
      </c>
      <c r="E473" s="30" t="s">
        <v>199</v>
      </c>
      <c r="F473" s="24" t="str">
        <f>VLOOKUP(B473,Custumer_Master!A:D,2,FALSE)</f>
        <v>Pooja Shah</v>
      </c>
      <c r="G473" s="24" t="str">
        <f>VLOOKUP($B473,Custumer_Master!$A:$J,6,FALSE)</f>
        <v>Female</v>
      </c>
      <c r="H473" s="30" t="str">
        <f>VLOOKUP($B473,Custumer_Master!$A:$J,7,FALSE)</f>
        <v>16/09/1994</v>
      </c>
      <c r="I473" s="24" t="str">
        <f>VLOOKUP($B473,Custumer_Master!$A:$J,9,FALSE)</f>
        <v>Bengaluru</v>
      </c>
      <c r="J473" s="24" t="str">
        <f>VLOOKUP($B473,Custumer_Master!$A:$J,10,FALSE)</f>
        <v>South</v>
      </c>
      <c r="K473" s="24" t="str">
        <f>VLOOKUP(B473,Custumer_Master!A:D,4,FALSE)</f>
        <v>WB</v>
      </c>
      <c r="L473" s="24" t="str">
        <f>PROPER(TRIM(VLOOKUP('Final Data'!C473,Product_Master!A:F,3,FALSE)))</f>
        <v>Electronics</v>
      </c>
      <c r="M473" s="24" t="s">
        <v>60</v>
      </c>
      <c r="N473" s="34">
        <v>11</v>
      </c>
      <c r="O473" s="192">
        <f>VLOOKUP(C473,Product_Master!A:F,5,FALSE)</f>
        <v>41250</v>
      </c>
      <c r="P473" s="33">
        <v>0</v>
      </c>
      <c r="Q473" s="34">
        <f t="shared" si="21"/>
        <v>453750</v>
      </c>
      <c r="R473" s="34">
        <v>2</v>
      </c>
      <c r="S473" s="24" t="s">
        <v>34</v>
      </c>
      <c r="T473" s="24" t="s">
        <v>61</v>
      </c>
      <c r="U473" s="24" t="s">
        <v>62</v>
      </c>
      <c r="V473" s="34">
        <v>9524904662</v>
      </c>
      <c r="W473" s="24" t="str">
        <f>VLOOKUP(C473,Product_Master!A:F,4,FALSE)</f>
        <v>TechHub</v>
      </c>
      <c r="X473" s="34">
        <f>VLOOKUP(C473,Product_Master!A:F,6,FALSE)</f>
        <v>12</v>
      </c>
      <c r="Y473" s="24" t="str">
        <f>VLOOKUP(B473,Custumer_Master!A:D,3,FALSE)</f>
        <v>Silver</v>
      </c>
      <c r="Z473" s="30">
        <f>EDATE(E473,X473)</f>
        <v>46147</v>
      </c>
      <c r="AA473" s="29" t="str">
        <f>VLOOKUP(B473,Custumer_Master!A:K,11,)</f>
        <v>September</v>
      </c>
      <c r="AB473" s="24" t="s">
        <v>2160</v>
      </c>
      <c r="AC473" s="138" t="str">
        <f>PROPER(LEFT(TRIM(F473), 3)) &amp; RIGHT(TRIM(B473), 3) &amp; PROPER(LEFT(TRIM(I473), 2))</f>
        <v>Poo010Be</v>
      </c>
      <c r="AD473" s="154">
        <f t="shared" ca="1" si="22"/>
        <v>31</v>
      </c>
      <c r="AE473" s="154">
        <f>IFERROR(IF(OR(E473="", D473="", LOWER(TRIM(E473))="pending", LOWER(TRIM(D473))="pending"), "Pending", E473 - D473), "Pending")</f>
        <v>8</v>
      </c>
      <c r="AF473" s="138" t="str">
        <f>IFERROR(IF(OR(E473="", D473="","Pending","Pending"), "Pending", IF((E473 - D473) &lt;= 5, "On Time", "Delayed")), "Pending")</f>
        <v>Delayed</v>
      </c>
      <c r="AG473" s="24" t="str">
        <f t="shared" si="23"/>
        <v>Completed</v>
      </c>
    </row>
    <row r="474" spans="1:33">
      <c r="A474" s="24" t="s">
        <v>1995</v>
      </c>
      <c r="B474" s="24" t="s">
        <v>251</v>
      </c>
      <c r="C474" s="24" t="s">
        <v>184</v>
      </c>
      <c r="D474" s="30">
        <v>45799</v>
      </c>
      <c r="E474" s="30" t="s">
        <v>678</v>
      </c>
      <c r="F474" s="24" t="str">
        <f>VLOOKUP(B474,Custumer_Master!A:D,2,FALSE)</f>
        <v>Sneha Joshi</v>
      </c>
      <c r="G474" s="24" t="str">
        <f>VLOOKUP($B474,Custumer_Master!$A:$J,6,FALSE)</f>
        <v>Female</v>
      </c>
      <c r="H474" s="30" t="str">
        <f>VLOOKUP($B474,Custumer_Master!$A:$J,7,FALSE)</f>
        <v>04/04/1981</v>
      </c>
      <c r="I474" s="24" t="str">
        <f>VLOOKUP($B474,Custumer_Master!$A:$J,9,FALSE)</f>
        <v>Pune</v>
      </c>
      <c r="J474" s="24" t="str">
        <f>VLOOKUP($B474,Custumer_Master!$A:$J,10,FALSE)</f>
        <v>West</v>
      </c>
      <c r="K474" s="24" t="str">
        <f>VLOOKUP(B474,Custumer_Master!A:D,4,FALSE)</f>
        <v>WB</v>
      </c>
      <c r="L474" s="24" t="str">
        <f>PROPER(TRIM(VLOOKUP('Final Data'!C474,Product_Master!A:F,3,FALSE)))</f>
        <v>Electronics</v>
      </c>
      <c r="M474" s="24" t="s">
        <v>189</v>
      </c>
      <c r="N474" s="34">
        <v>20</v>
      </c>
      <c r="O474" s="192">
        <f>VLOOKUP(C474,Product_Master!A:F,5,FALSE)</f>
        <v>525</v>
      </c>
      <c r="P474" s="33">
        <v>0.2</v>
      </c>
      <c r="Q474" s="34">
        <f t="shared" si="21"/>
        <v>8400</v>
      </c>
      <c r="R474" s="34">
        <v>5</v>
      </c>
      <c r="S474" s="24" t="s">
        <v>2148</v>
      </c>
      <c r="T474" s="24" t="s">
        <v>61</v>
      </c>
      <c r="U474" s="24" t="s">
        <v>256</v>
      </c>
      <c r="V474" s="34">
        <v>9577624596</v>
      </c>
      <c r="W474" s="24" t="str">
        <f>VLOOKUP(C474,Product_Master!A:F,4,FALSE)</f>
        <v>TechHub</v>
      </c>
      <c r="X474" s="34">
        <f>VLOOKUP(C474,Product_Master!A:F,6,FALSE)</f>
        <v>24</v>
      </c>
      <c r="Y474" s="24" t="str">
        <f>VLOOKUP(B474,Custumer_Master!A:D,3,FALSE)</f>
        <v>Gold</v>
      </c>
      <c r="Z474" s="30">
        <f>EDATE(E474,X474)</f>
        <v>46538</v>
      </c>
      <c r="AA474" s="29" t="str">
        <f>VLOOKUP(B474,Custumer_Master!A:K,11,)</f>
        <v>April</v>
      </c>
      <c r="AB474" s="24" t="s">
        <v>2108</v>
      </c>
      <c r="AC474" s="138" t="str">
        <f>PROPER(LEFT(TRIM(F474), 3)) &amp; RIGHT(TRIM(B474), 3) &amp; PROPER(LEFT(TRIM(I474), 2))</f>
        <v>Sne006Pu</v>
      </c>
      <c r="AD474" s="154">
        <f t="shared" ca="1" si="22"/>
        <v>45</v>
      </c>
      <c r="AE474" s="154">
        <f>IFERROR(IF(OR(E474="", D474="", LOWER(TRIM(E474))="pending", LOWER(TRIM(D474))="pending"), "Pending", E474 - D474), "Pending")</f>
        <v>9</v>
      </c>
      <c r="AF474" s="138" t="str">
        <f>IFERROR(IF(OR(E474="", D474="","Pending","Pending"), "Pending", IF((E474 - D474) &lt;= 5, "On Time", "Delayed")), "Pending")</f>
        <v>Delayed</v>
      </c>
      <c r="AG474" s="24" t="str">
        <f t="shared" si="23"/>
        <v>Completed</v>
      </c>
    </row>
    <row r="475" spans="1:33">
      <c r="A475" s="24" t="s">
        <v>1998</v>
      </c>
      <c r="B475" s="24" t="s">
        <v>71</v>
      </c>
      <c r="C475" s="24" t="s">
        <v>222</v>
      </c>
      <c r="D475" s="30">
        <v>46050</v>
      </c>
      <c r="E475" s="30" t="s">
        <v>322</v>
      </c>
      <c r="F475" s="24" t="str">
        <f>VLOOKUP(B475,Custumer_Master!A:D,2,FALSE)</f>
        <v>Mohit Verma</v>
      </c>
      <c r="G475" s="24" t="str">
        <f>VLOOKUP($B475,Custumer_Master!$A:$J,6,FALSE)</f>
        <v>Male</v>
      </c>
      <c r="H475" s="30" t="str">
        <f>VLOOKUP($B475,Custumer_Master!$A:$J,7,FALSE)</f>
        <v>13/04/1976</v>
      </c>
      <c r="I475" s="24" t="str">
        <f>VLOOKUP($B475,Custumer_Master!$A:$J,9,FALSE)</f>
        <v>Delhi</v>
      </c>
      <c r="J475" s="24" t="str">
        <f>VLOOKUP($B475,Custumer_Master!$A:$J,10,FALSE)</f>
        <v>North</v>
      </c>
      <c r="K475" s="24" t="str">
        <f>VLOOKUP(B475,Custumer_Master!A:D,4,FALSE)</f>
        <v>KA</v>
      </c>
      <c r="L475" s="24" t="str">
        <f>PROPER(TRIM(VLOOKUP('Final Data'!C475,Product_Master!A:F,3,FALSE)))</f>
        <v>Stationery</v>
      </c>
      <c r="M475" s="24" t="s">
        <v>227</v>
      </c>
      <c r="N475" s="34">
        <v>5</v>
      </c>
      <c r="O475" s="192">
        <f>VLOOKUP(C475,Product_Master!A:F,5,FALSE)</f>
        <v>15</v>
      </c>
      <c r="P475" s="33">
        <v>0.05</v>
      </c>
      <c r="Q475" s="34">
        <f t="shared" si="21"/>
        <v>71.25</v>
      </c>
      <c r="R475" s="34">
        <v>4</v>
      </c>
      <c r="S475" s="24" t="s">
        <v>34</v>
      </c>
      <c r="T475" s="24" t="s">
        <v>49</v>
      </c>
      <c r="U475" s="24" t="s">
        <v>80</v>
      </c>
      <c r="V475" s="34">
        <v>9898452436</v>
      </c>
      <c r="W475" s="24" t="str">
        <f>VLOOKUP(C475,Product_Master!A:F,4,FALSE)</f>
        <v>Prime Supplies</v>
      </c>
      <c r="X475" s="34">
        <f>VLOOKUP(C475,Product_Master!A:F,6,FALSE)</f>
        <v>12</v>
      </c>
      <c r="Y475" s="24" t="str">
        <f>VLOOKUP(B475,Custumer_Master!A:D,3,FALSE)</f>
        <v>Platinum</v>
      </c>
      <c r="Z475" s="30">
        <f>EDATE(E475,X475)</f>
        <v>46426</v>
      </c>
      <c r="AA475" s="29" t="str">
        <f>VLOOKUP(B475,Custumer_Master!A:K,11,)</f>
        <v>April</v>
      </c>
      <c r="AB475" s="24" t="s">
        <v>2108</v>
      </c>
      <c r="AC475" s="138" t="str">
        <f>PROPER(LEFT(TRIM(F475), 3)) &amp; RIGHT(TRIM(B475), 3) &amp; PROPER(LEFT(TRIM(I475), 2))</f>
        <v>Moh009De</v>
      </c>
      <c r="AD475" s="154">
        <f t="shared" ca="1" si="22"/>
        <v>50</v>
      </c>
      <c r="AE475" s="154">
        <f>IFERROR(IF(OR(E475="", D475="", LOWER(TRIM(E475))="pending", LOWER(TRIM(D475))="pending"), "Pending", E475 - D475), "Pending")</f>
        <v>11</v>
      </c>
      <c r="AF475" s="138" t="str">
        <f>IFERROR(IF(OR(E475="", D475="","Pending","Pending"), "Pending", IF((E475 - D475) &lt;= 5, "On Time", "Delayed")), "Pending")</f>
        <v>Delayed</v>
      </c>
      <c r="AG475" s="24" t="str">
        <f t="shared" si="23"/>
        <v>Completed</v>
      </c>
    </row>
    <row r="476" spans="1:33">
      <c r="A476" s="24" t="s">
        <v>2001</v>
      </c>
      <c r="B476" s="24" t="s">
        <v>327</v>
      </c>
      <c r="C476" s="24" t="s">
        <v>54</v>
      </c>
      <c r="D476" s="30">
        <v>45692</v>
      </c>
      <c r="E476" s="30" t="s">
        <v>1373</v>
      </c>
      <c r="F476" s="24" t="str">
        <f>VLOOKUP(B476,Custumer_Master!A:D,2,FALSE)</f>
        <v>Amit Sharma</v>
      </c>
      <c r="G476" s="24" t="str">
        <f>VLOOKUP($B476,Custumer_Master!$A:$J,6,FALSE)</f>
        <v>Male</v>
      </c>
      <c r="H476" s="30" t="str">
        <f>VLOOKUP($B476,Custumer_Master!$A:$J,7,FALSE)</f>
        <v>09/08/1991</v>
      </c>
      <c r="I476" s="24" t="str">
        <f>VLOOKUP($B476,Custumer_Master!$A:$J,9,FALSE)</f>
        <v>Pune</v>
      </c>
      <c r="J476" s="24" t="str">
        <f>VLOOKUP($B476,Custumer_Master!$A:$J,10,FALSE)</f>
        <v>West</v>
      </c>
      <c r="K476" s="24" t="str">
        <f>VLOOKUP(B476,Custumer_Master!A:D,4,FALSE)</f>
        <v>RJ</v>
      </c>
      <c r="L476" s="24" t="str">
        <f>PROPER(TRIM(VLOOKUP('Final Data'!C476,Product_Master!A:F,3,FALSE)))</f>
        <v>Electronics</v>
      </c>
      <c r="M476" s="24" t="s">
        <v>60</v>
      </c>
      <c r="N476" s="34">
        <v>13</v>
      </c>
      <c r="O476" s="192">
        <f>VLOOKUP(C476,Product_Master!A:F,5,FALSE)</f>
        <v>41250</v>
      </c>
      <c r="P476" s="33">
        <v>0.05</v>
      </c>
      <c r="Q476" s="34">
        <f t="shared" si="21"/>
        <v>509437.5</v>
      </c>
      <c r="R476" s="34">
        <v>1</v>
      </c>
      <c r="S476" s="24" t="s">
        <v>2148</v>
      </c>
      <c r="T476" s="24" t="s">
        <v>49</v>
      </c>
      <c r="U476" s="24" t="s">
        <v>332</v>
      </c>
      <c r="V476" s="34">
        <v>9960757012</v>
      </c>
      <c r="W476" s="24" t="str">
        <f>VLOOKUP(C476,Product_Master!A:F,4,FALSE)</f>
        <v>TechHub</v>
      </c>
      <c r="X476" s="34">
        <f>VLOOKUP(C476,Product_Master!A:F,6,FALSE)</f>
        <v>12</v>
      </c>
      <c r="Y476" s="24" t="str">
        <f>VLOOKUP(B476,Custumer_Master!A:D,3,FALSE)</f>
        <v>Silver</v>
      </c>
      <c r="Z476" s="30">
        <f>EDATE(E476,X476)</f>
        <v>46064</v>
      </c>
      <c r="AA476" s="29" t="str">
        <f>VLOOKUP(B476,Custumer_Master!A:K,11,)</f>
        <v>August</v>
      </c>
      <c r="AB476" s="24" t="s">
        <v>2160</v>
      </c>
      <c r="AC476" s="138" t="str">
        <f>PROPER(LEFT(TRIM(F476), 3)) &amp; RIGHT(TRIM(B476), 3) &amp; PROPER(LEFT(TRIM(I476), 2))</f>
        <v>Ami001Pu</v>
      </c>
      <c r="AD476" s="154">
        <f t="shared" ca="1" si="22"/>
        <v>34</v>
      </c>
      <c r="AE476" s="154">
        <f>IFERROR(IF(OR(E476="", D476="", LOWER(TRIM(E476))="pending", LOWER(TRIM(D476))="pending"), "Pending", E476 - D476), "Pending")</f>
        <v>7</v>
      </c>
      <c r="AF476" s="138" t="str">
        <f>IFERROR(IF(OR(E476="", D476="","Pending","Pending"), "Pending", IF((E476 - D476) &lt;= 5, "On Time", "Delayed")), "Pending")</f>
        <v>Delayed</v>
      </c>
      <c r="AG476" s="24" t="str">
        <f t="shared" si="23"/>
        <v>Completed</v>
      </c>
    </row>
    <row r="477" spans="1:33">
      <c r="A477" s="24" t="s">
        <v>2004</v>
      </c>
      <c r="B477" s="24" t="s">
        <v>127</v>
      </c>
      <c r="C477" s="24" t="s">
        <v>54</v>
      </c>
      <c r="D477" s="30">
        <v>45766</v>
      </c>
      <c r="E477" s="30" t="s">
        <v>1114</v>
      </c>
      <c r="F477" s="24" t="str">
        <f>VLOOKUP(B477,Custumer_Master!A:D,2,FALSE)</f>
        <v>Rohit Singh</v>
      </c>
      <c r="G477" s="24" t="str">
        <f>VLOOKUP($B477,Custumer_Master!$A:$J,6,FALSE)</f>
        <v>Male</v>
      </c>
      <c r="H477" s="30" t="str">
        <f>VLOOKUP($B477,Custumer_Master!$A:$J,7,FALSE)</f>
        <v>10/05/1982</v>
      </c>
      <c r="I477" s="24" t="str">
        <f>VLOOKUP($B477,Custumer_Master!$A:$J,9,FALSE)</f>
        <v>Delhi</v>
      </c>
      <c r="J477" s="24" t="str">
        <f>VLOOKUP($B477,Custumer_Master!$A:$J,10,FALSE)</f>
        <v>North</v>
      </c>
      <c r="K477" s="24" t="str">
        <f>VLOOKUP(B477,Custumer_Master!A:D,4,FALSE)</f>
        <v>DL</v>
      </c>
      <c r="L477" s="24" t="str">
        <f>PROPER(TRIM(VLOOKUP('Final Data'!C477,Product_Master!A:F,3,FALSE)))</f>
        <v>Electronics</v>
      </c>
      <c r="M477" s="24" t="s">
        <v>60</v>
      </c>
      <c r="N477" s="34">
        <v>12</v>
      </c>
      <c r="O477" s="192">
        <f>VLOOKUP(C477,Product_Master!A:F,5,FALSE)</f>
        <v>41250</v>
      </c>
      <c r="P477" s="33">
        <v>0.05</v>
      </c>
      <c r="Q477" s="34">
        <f t="shared" si="21"/>
        <v>470250</v>
      </c>
      <c r="R477" s="34">
        <v>1</v>
      </c>
      <c r="S477" s="24" t="s">
        <v>2148</v>
      </c>
      <c r="T477" s="24" t="s">
        <v>115</v>
      </c>
      <c r="U477" s="24" t="s">
        <v>132</v>
      </c>
      <c r="V477" s="34">
        <v>9331268182</v>
      </c>
      <c r="W477" s="24" t="str">
        <f>VLOOKUP(C477,Product_Master!A:F,4,FALSE)</f>
        <v>TechHub</v>
      </c>
      <c r="X477" s="34">
        <f>VLOOKUP(C477,Product_Master!A:F,6,FALSE)</f>
        <v>12</v>
      </c>
      <c r="Y477" s="24" t="str">
        <f>VLOOKUP(B477,Custumer_Master!A:D,3,FALSE)</f>
        <v>Gold</v>
      </c>
      <c r="Z477" s="30">
        <f>EDATE(E477,X477)</f>
        <v>46132</v>
      </c>
      <c r="AA477" s="29" t="str">
        <f>VLOOKUP(B477,Custumer_Master!A:K,11,)</f>
        <v>May</v>
      </c>
      <c r="AB477" s="24" t="s">
        <v>2160</v>
      </c>
      <c r="AC477" s="138" t="str">
        <f>PROPER(LEFT(TRIM(F477), 3)) &amp; RIGHT(TRIM(B477), 3) &amp; PROPER(LEFT(TRIM(I477), 2))</f>
        <v>Roh003De</v>
      </c>
      <c r="AD477" s="154">
        <f t="shared" ca="1" si="22"/>
        <v>44</v>
      </c>
      <c r="AE477" s="154">
        <f>IFERROR(IF(OR(E477="", D477="", LOWER(TRIM(E477))="pending", LOWER(TRIM(D477))="pending"), "Pending", E477 - D477), "Pending")</f>
        <v>1</v>
      </c>
      <c r="AF477" s="138" t="str">
        <f>IFERROR(IF(OR(E477="", D477="","Pending","Pending"), "Pending", IF((E477 - D477) &lt;= 5, "On Time", "Delayed")), "Pending")</f>
        <v>On Time</v>
      </c>
      <c r="AG477" s="24" t="str">
        <f t="shared" si="23"/>
        <v>Completed</v>
      </c>
    </row>
    <row r="478" spans="1:33">
      <c r="A478" s="24" t="s">
        <v>2007</v>
      </c>
      <c r="B478" s="24" t="s">
        <v>53</v>
      </c>
      <c r="C478" s="24" t="s">
        <v>259</v>
      </c>
      <c r="D478" s="30">
        <v>45678</v>
      </c>
      <c r="E478" s="30" t="s">
        <v>1705</v>
      </c>
      <c r="F478" s="24" t="str">
        <f>VLOOKUP(B478,Custumer_Master!A:D,2,FALSE)</f>
        <v>Pooja Shah</v>
      </c>
      <c r="G478" s="24" t="str">
        <f>VLOOKUP($B478,Custumer_Master!$A:$J,6,FALSE)</f>
        <v>Female</v>
      </c>
      <c r="H478" s="30" t="str">
        <f>VLOOKUP($B478,Custumer_Master!$A:$J,7,FALSE)</f>
        <v>16/09/1994</v>
      </c>
      <c r="I478" s="24" t="str">
        <f>VLOOKUP($B478,Custumer_Master!$A:$J,9,FALSE)</f>
        <v>Bengaluru</v>
      </c>
      <c r="J478" s="24" t="str">
        <f>VLOOKUP($B478,Custumer_Master!$A:$J,10,FALSE)</f>
        <v>South</v>
      </c>
      <c r="K478" s="24" t="str">
        <f>VLOOKUP(B478,Custumer_Master!A:D,4,FALSE)</f>
        <v>WB</v>
      </c>
      <c r="L478" s="24" t="str">
        <f>PROPER(TRIM(VLOOKUP('Final Data'!C478,Product_Master!A:F,3,FALSE)))</f>
        <v>Stationery</v>
      </c>
      <c r="M478" s="24" t="s">
        <v>263</v>
      </c>
      <c r="N478" s="34">
        <v>16</v>
      </c>
      <c r="O478" s="192">
        <f>VLOOKUP(C478,Product_Master!A:F,5,FALSE)</f>
        <v>33.75</v>
      </c>
      <c r="P478" s="33">
        <v>0.2</v>
      </c>
      <c r="Q478" s="34">
        <f t="shared" si="21"/>
        <v>432</v>
      </c>
      <c r="R478" s="34">
        <v>2</v>
      </c>
      <c r="S478" s="24" t="s">
        <v>34</v>
      </c>
      <c r="T478" s="24" t="s">
        <v>49</v>
      </c>
      <c r="U478" s="24" t="s">
        <v>62</v>
      </c>
      <c r="V478" s="34">
        <v>9135996862</v>
      </c>
      <c r="W478" s="24" t="str">
        <f>VLOOKUP(C478,Product_Master!A:F,4,FALSE)</f>
        <v>TechHub</v>
      </c>
      <c r="X478" s="34">
        <f>VLOOKUP(C478,Product_Master!A:F,6,FALSE)</f>
        <v>12</v>
      </c>
      <c r="Y478" s="24" t="str">
        <f>VLOOKUP(B478,Custumer_Master!A:D,3,FALSE)</f>
        <v>Silver</v>
      </c>
      <c r="Z478" s="30">
        <f>EDATE(E478,X478)</f>
        <v>46050</v>
      </c>
      <c r="AA478" s="29" t="str">
        <f>VLOOKUP(B478,Custumer_Master!A:K,11,)</f>
        <v>September</v>
      </c>
      <c r="AB478" s="24" t="s">
        <v>2160</v>
      </c>
      <c r="AC478" s="138" t="str">
        <f>PROPER(LEFT(TRIM(F478), 3)) &amp; RIGHT(TRIM(B478), 3) &amp; PROPER(LEFT(TRIM(I478), 2))</f>
        <v>Poo010Be</v>
      </c>
      <c r="AD478" s="154">
        <f t="shared" ca="1" si="22"/>
        <v>31</v>
      </c>
      <c r="AE478" s="154">
        <f>IFERROR(IF(OR(E478="", D478="", LOWER(TRIM(E478))="pending", LOWER(TRIM(D478))="pending"), "Pending", E478 - D478), "Pending")</f>
        <v>7</v>
      </c>
      <c r="AF478" s="138" t="str">
        <f>IFERROR(IF(OR(E478="", D478="","Pending","Pending"), "Pending", IF((E478 - D478) &lt;= 5, "On Time", "Delayed")), "Pending")</f>
        <v>Delayed</v>
      </c>
      <c r="AG478" s="24" t="str">
        <f t="shared" si="23"/>
        <v>Completed</v>
      </c>
    </row>
    <row r="479" spans="1:33">
      <c r="A479" s="24" t="s">
        <v>2010</v>
      </c>
      <c r="B479" s="24" t="s">
        <v>23</v>
      </c>
      <c r="C479" s="24" t="s">
        <v>72</v>
      </c>
      <c r="D479" s="30">
        <v>45918</v>
      </c>
      <c r="E479" s="30" t="s">
        <v>73</v>
      </c>
      <c r="F479" s="24" t="str">
        <f>VLOOKUP(B479,Custumer_Master!A:D,2,FALSE)</f>
        <v>Kavya Nair</v>
      </c>
      <c r="G479" s="24" t="str">
        <f>VLOOKUP($B479,Custumer_Master!$A:$J,6,FALSE)</f>
        <v>Female</v>
      </c>
      <c r="H479" s="30" t="str">
        <f>VLOOKUP($B479,Custumer_Master!$A:$J,7,FALSE)</f>
        <v>01/08/1976</v>
      </c>
      <c r="I479" s="24" t="str">
        <f>VLOOKUP($B479,Custumer_Master!$A:$J,9,FALSE)</f>
        <v>Hyderabad</v>
      </c>
      <c r="J479" s="24" t="str">
        <f>VLOOKUP($B479,Custumer_Master!$A:$J,10,FALSE)</f>
        <v>South</v>
      </c>
      <c r="K479" s="24" t="str">
        <f>VLOOKUP(B479,Custumer_Master!A:D,4,FALSE)</f>
        <v>WB</v>
      </c>
      <c r="L479" s="24" t="str">
        <f>PROPER(TRIM(VLOOKUP('Final Data'!C479,Product_Master!A:F,3,FALSE)))</f>
        <v>Electronics</v>
      </c>
      <c r="M479" s="24" t="s">
        <v>78</v>
      </c>
      <c r="N479" s="34">
        <v>5</v>
      </c>
      <c r="O479" s="192">
        <f>VLOOKUP(C479,Product_Master!A:F,5,FALSE)</f>
        <v>900</v>
      </c>
      <c r="P479" s="33">
        <v>0.1</v>
      </c>
      <c r="Q479" s="34">
        <f t="shared" si="21"/>
        <v>4050</v>
      </c>
      <c r="R479" s="34">
        <v>1</v>
      </c>
      <c r="S479" s="24" t="s">
        <v>34</v>
      </c>
      <c r="T479" s="24" t="s">
        <v>2145</v>
      </c>
      <c r="U479" s="24" t="s">
        <v>50</v>
      </c>
      <c r="V479" s="34">
        <v>9540813143</v>
      </c>
      <c r="W479" s="24" t="str">
        <f>VLOOKUP(C479,Product_Master!A:F,4,FALSE)</f>
        <v>TechHub</v>
      </c>
      <c r="X479" s="34">
        <f>VLOOKUP(C479,Product_Master!A:F,6,FALSE)</f>
        <v>6</v>
      </c>
      <c r="Y479" s="24" t="str">
        <f>VLOOKUP(B479,Custumer_Master!A:D,3,FALSE)</f>
        <v>Silver</v>
      </c>
      <c r="Z479" s="30">
        <f>EDATE(E479,X479)</f>
        <v>46108</v>
      </c>
      <c r="AA479" s="29" t="str">
        <f>VLOOKUP(B479,Custumer_Master!A:K,11,)</f>
        <v>August</v>
      </c>
      <c r="AB479" s="24" t="s">
        <v>2160</v>
      </c>
      <c r="AC479" s="138" t="str">
        <f>PROPER(LEFT(TRIM(F479), 3)) &amp; RIGHT(TRIM(B479), 3) &amp; PROPER(LEFT(TRIM(I479), 2))</f>
        <v>Kav008Hy</v>
      </c>
      <c r="AD479" s="154">
        <f t="shared" ca="1" si="22"/>
        <v>49</v>
      </c>
      <c r="AE479" s="154">
        <f>IFERROR(IF(OR(E479="", D479="", LOWER(TRIM(E479))="pending", LOWER(TRIM(D479))="pending"), "Pending", E479 - D479), "Pending")</f>
        <v>9</v>
      </c>
      <c r="AF479" s="138" t="str">
        <f>IFERROR(IF(OR(E479="", D479="","Pending","Pending"), "Pending", IF((E479 - D479) &lt;= 5, "On Time", "Delayed")), "Pending")</f>
        <v>Delayed</v>
      </c>
      <c r="AG479" s="24" t="str">
        <f t="shared" si="23"/>
        <v>Completed</v>
      </c>
    </row>
    <row r="480" spans="1:33">
      <c r="A480" s="24" t="s">
        <v>2014</v>
      </c>
      <c r="B480" s="24" t="s">
        <v>168</v>
      </c>
      <c r="C480" s="24" t="s">
        <v>259</v>
      </c>
      <c r="D480" s="30">
        <v>45949</v>
      </c>
      <c r="E480" s="30" t="s">
        <v>702</v>
      </c>
      <c r="F480" s="24" t="str">
        <f>VLOOKUP(B480,Custumer_Master!A:D,2,FALSE)</f>
        <v>Anita Gupta</v>
      </c>
      <c r="G480" s="24" t="str">
        <f>VLOOKUP($B480,Custumer_Master!$A:$J,6,FALSE)</f>
        <v>Female</v>
      </c>
      <c r="H480" s="30" t="str">
        <f>VLOOKUP($B480,Custumer_Master!$A:$J,7,FALSE)</f>
        <v>16/01/2002</v>
      </c>
      <c r="I480" s="24" t="str">
        <f>VLOOKUP($B480,Custumer_Master!$A:$J,9,FALSE)</f>
        <v>Pune</v>
      </c>
      <c r="J480" s="24" t="str">
        <f>VLOOKUP($B480,Custumer_Master!$A:$J,10,FALSE)</f>
        <v>West</v>
      </c>
      <c r="K480" s="24" t="str">
        <f>VLOOKUP(B480,Custumer_Master!A:D,4,FALSE)</f>
        <v>WB</v>
      </c>
      <c r="L480" s="24" t="str">
        <f>PROPER(TRIM(VLOOKUP('Final Data'!C480,Product_Master!A:F,3,FALSE)))</f>
        <v>Stationery</v>
      </c>
      <c r="M480" s="24" t="s">
        <v>263</v>
      </c>
      <c r="N480" s="34">
        <v>2</v>
      </c>
      <c r="O480" s="192">
        <f>VLOOKUP(C480,Product_Master!A:F,5,FALSE)</f>
        <v>33.75</v>
      </c>
      <c r="P480" s="33">
        <v>0.1</v>
      </c>
      <c r="Q480" s="34">
        <f t="shared" si="21"/>
        <v>60.75</v>
      </c>
      <c r="R480" s="34">
        <v>4</v>
      </c>
      <c r="S480" s="24" t="s">
        <v>2149</v>
      </c>
      <c r="T480" s="24" t="s">
        <v>49</v>
      </c>
      <c r="U480" s="24" t="s">
        <v>175</v>
      </c>
      <c r="V480" s="34">
        <v>9910913552</v>
      </c>
      <c r="W480" s="24" t="str">
        <f>VLOOKUP(C480,Product_Master!A:F,4,FALSE)</f>
        <v>TechHub</v>
      </c>
      <c r="X480" s="34">
        <f>VLOOKUP(C480,Product_Master!A:F,6,FALSE)</f>
        <v>12</v>
      </c>
      <c r="Y480" s="24" t="str">
        <f>VLOOKUP(B480,Custumer_Master!A:D,3,FALSE)</f>
        <v>Gold</v>
      </c>
      <c r="Z480" s="30">
        <f>EDATE(E480,X480)</f>
        <v>46315</v>
      </c>
      <c r="AA480" s="29" t="str">
        <f>VLOOKUP(B480,Custumer_Master!A:K,11,)</f>
        <v>January</v>
      </c>
      <c r="AB480" s="24" t="s">
        <v>2108</v>
      </c>
      <c r="AC480" s="138" t="str">
        <f>PROPER(LEFT(TRIM(F480), 3)) &amp; RIGHT(TRIM(B480), 3) &amp; PROPER(LEFT(TRIM(I480), 2))</f>
        <v>Ani004Pu</v>
      </c>
      <c r="AD480" s="154">
        <f t="shared" ca="1" si="22"/>
        <v>24</v>
      </c>
      <c r="AE480" s="154">
        <f>IFERROR(IF(OR(E480="", D480="", LOWER(TRIM(E480))="pending", LOWER(TRIM(D480))="pending"), "Pending", E480 - D480), "Pending")</f>
        <v>1</v>
      </c>
      <c r="AF480" s="138" t="str">
        <f>IFERROR(IF(OR(E480="", D480="","Pending","Pending"), "Pending", IF((E480 - D480) &lt;= 5, "On Time", "Delayed")), "Pending")</f>
        <v>On Time</v>
      </c>
      <c r="AG480" s="24" t="str">
        <f t="shared" si="23"/>
        <v>Completed</v>
      </c>
    </row>
    <row r="481" spans="1:33">
      <c r="A481" s="24" t="s">
        <v>2018</v>
      </c>
      <c r="B481" s="24" t="s">
        <v>127</v>
      </c>
      <c r="C481" s="24" t="s">
        <v>40</v>
      </c>
      <c r="D481" s="30">
        <v>46034</v>
      </c>
      <c r="E481" s="30" t="s">
        <v>587</v>
      </c>
      <c r="F481" s="24" t="str">
        <f>VLOOKUP(B481,Custumer_Master!A:D,2,FALSE)</f>
        <v>Rohit Singh</v>
      </c>
      <c r="G481" s="24" t="str">
        <f>VLOOKUP($B481,Custumer_Master!$A:$J,6,FALSE)</f>
        <v>Male</v>
      </c>
      <c r="H481" s="30" t="str">
        <f>VLOOKUP($B481,Custumer_Master!$A:$J,7,FALSE)</f>
        <v>10/05/1982</v>
      </c>
      <c r="I481" s="24" t="str">
        <f>VLOOKUP($B481,Custumer_Master!$A:$J,9,FALSE)</f>
        <v>Delhi</v>
      </c>
      <c r="J481" s="24" t="str">
        <f>VLOOKUP($B481,Custumer_Master!$A:$J,10,FALSE)</f>
        <v>North</v>
      </c>
      <c r="K481" s="24" t="str">
        <f>VLOOKUP(B481,Custumer_Master!A:D,4,FALSE)</f>
        <v>DL</v>
      </c>
      <c r="L481" s="24" t="str">
        <f>PROPER(TRIM(VLOOKUP('Final Data'!C481,Product_Master!A:F,3,FALSE)))</f>
        <v>Electronics</v>
      </c>
      <c r="M481" s="24" t="s">
        <v>47</v>
      </c>
      <c r="N481" s="34">
        <v>3</v>
      </c>
      <c r="O481" s="192">
        <f>VLOOKUP(C481,Product_Master!A:F,5,FALSE)</f>
        <v>9000</v>
      </c>
      <c r="P481" s="33">
        <v>0</v>
      </c>
      <c r="Q481" s="34">
        <f t="shared" si="21"/>
        <v>27000</v>
      </c>
      <c r="R481" s="34">
        <v>2</v>
      </c>
      <c r="S481" s="24" t="s">
        <v>2149</v>
      </c>
      <c r="T481" s="24" t="s">
        <v>151</v>
      </c>
      <c r="U481" s="24" t="s">
        <v>132</v>
      </c>
      <c r="V481" s="34">
        <v>9282751683</v>
      </c>
      <c r="W481" s="24" t="str">
        <f>VLOOKUP(C481,Product_Master!A:F,4,FALSE)</f>
        <v>Global Trade</v>
      </c>
      <c r="X481" s="34">
        <f>VLOOKUP(C481,Product_Master!A:F,6,FALSE)</f>
        <v>24</v>
      </c>
      <c r="Y481" s="24" t="str">
        <f>VLOOKUP(B481,Custumer_Master!A:D,3,FALSE)</f>
        <v>Gold</v>
      </c>
      <c r="Z481" s="30">
        <f>EDATE(E481,X481)</f>
        <v>46770</v>
      </c>
      <c r="AA481" s="29" t="str">
        <f>VLOOKUP(B481,Custumer_Master!A:K,11,)</f>
        <v>May</v>
      </c>
      <c r="AB481" s="24" t="s">
        <v>2160</v>
      </c>
      <c r="AC481" s="138" t="str">
        <f>PROPER(LEFT(TRIM(F481), 3)) &amp; RIGHT(TRIM(B481), 3) &amp; PROPER(LEFT(TRIM(I481), 2))</f>
        <v>Roh003De</v>
      </c>
      <c r="AD481" s="154">
        <f t="shared" ca="1" si="22"/>
        <v>44</v>
      </c>
      <c r="AE481" s="154">
        <f>IFERROR(IF(OR(E481="", D481="", LOWER(TRIM(E481))="pending", LOWER(TRIM(D481))="pending"), "Pending", E481 - D481), "Pending")</f>
        <v>6</v>
      </c>
      <c r="AF481" s="138" t="str">
        <f>IFERROR(IF(OR(E481="", D481="","Pending","Pending"), "Pending", IF((E481 - D481) &lt;= 5, "On Time", "Delayed")), "Pending")</f>
        <v>Delayed</v>
      </c>
      <c r="AG481" s="24" t="str">
        <f t="shared" si="23"/>
        <v>Completed</v>
      </c>
    </row>
    <row r="482" spans="1:33">
      <c r="A482" s="24" t="s">
        <v>2021</v>
      </c>
      <c r="B482" s="24" t="s">
        <v>23</v>
      </c>
      <c r="C482" s="24" t="s">
        <v>40</v>
      </c>
      <c r="D482" s="30">
        <v>45683</v>
      </c>
      <c r="E482" s="30" t="s">
        <v>1863</v>
      </c>
      <c r="F482" s="24" t="str">
        <f>VLOOKUP(B482,Custumer_Master!A:D,2,FALSE)</f>
        <v>Kavya Nair</v>
      </c>
      <c r="G482" s="24" t="str">
        <f>VLOOKUP($B482,Custumer_Master!$A:$J,6,FALSE)</f>
        <v>Female</v>
      </c>
      <c r="H482" s="30" t="str">
        <f>VLOOKUP($B482,Custumer_Master!$A:$J,7,FALSE)</f>
        <v>01/08/1976</v>
      </c>
      <c r="I482" s="24" t="str">
        <f>VLOOKUP($B482,Custumer_Master!$A:$J,9,FALSE)</f>
        <v>Hyderabad</v>
      </c>
      <c r="J482" s="24" t="str">
        <f>VLOOKUP($B482,Custumer_Master!$A:$J,10,FALSE)</f>
        <v>South</v>
      </c>
      <c r="K482" s="24" t="str">
        <f>VLOOKUP(B482,Custumer_Master!A:D,4,FALSE)</f>
        <v>WB</v>
      </c>
      <c r="L482" s="24" t="str">
        <f>PROPER(TRIM(VLOOKUP('Final Data'!C482,Product_Master!A:F,3,FALSE)))</f>
        <v>Electronics</v>
      </c>
      <c r="M482" s="24" t="s">
        <v>47</v>
      </c>
      <c r="N482" s="34">
        <v>3</v>
      </c>
      <c r="O482" s="192">
        <f>VLOOKUP(C482,Product_Master!A:F,5,FALSE)</f>
        <v>9000</v>
      </c>
      <c r="P482" s="33">
        <v>0.2</v>
      </c>
      <c r="Q482" s="34">
        <f t="shared" si="21"/>
        <v>21600</v>
      </c>
      <c r="R482" s="34">
        <v>3</v>
      </c>
      <c r="S482" s="24" t="s">
        <v>2149</v>
      </c>
      <c r="T482" s="24" t="s">
        <v>115</v>
      </c>
      <c r="U482" s="24" t="s">
        <v>50</v>
      </c>
      <c r="V482" s="34">
        <v>9939332058</v>
      </c>
      <c r="W482" s="24" t="str">
        <f>VLOOKUP(C482,Product_Master!A:F,4,FALSE)</f>
        <v>Global Trade</v>
      </c>
      <c r="X482" s="34">
        <f>VLOOKUP(C482,Product_Master!A:F,6,FALSE)</f>
        <v>24</v>
      </c>
      <c r="Y482" s="24" t="str">
        <f>VLOOKUP(B482,Custumer_Master!A:D,3,FALSE)</f>
        <v>Silver</v>
      </c>
      <c r="Z482" s="30">
        <f>EDATE(E482,X482)</f>
        <v>46419</v>
      </c>
      <c r="AA482" s="29" t="str">
        <f>VLOOKUP(B482,Custumer_Master!A:K,11,)</f>
        <v>August</v>
      </c>
      <c r="AB482" s="24" t="s">
        <v>2108</v>
      </c>
      <c r="AC482" s="138" t="str">
        <f>PROPER(LEFT(TRIM(F482), 3)) &amp; RIGHT(TRIM(B482), 3) &amp; PROPER(LEFT(TRIM(I482), 2))</f>
        <v>Kav008Hy</v>
      </c>
      <c r="AD482" s="154">
        <f t="shared" ca="1" si="22"/>
        <v>49</v>
      </c>
      <c r="AE482" s="154">
        <f>IFERROR(IF(OR(E482="", D482="", LOWER(TRIM(E482))="pending", LOWER(TRIM(D482))="pending"), "Pending", E482 - D482), "Pending")</f>
        <v>6</v>
      </c>
      <c r="AF482" s="138" t="str">
        <f>IFERROR(IF(OR(E482="", D482="","Pending","Pending"), "Pending", IF((E482 - D482) &lt;= 5, "On Time", "Delayed")), "Pending")</f>
        <v>Delayed</v>
      </c>
      <c r="AG482" s="24" t="str">
        <f t="shared" si="23"/>
        <v>Completed</v>
      </c>
    </row>
    <row r="483" spans="1:33">
      <c r="A483" s="24" t="s">
        <v>2025</v>
      </c>
      <c r="B483" s="24" t="s">
        <v>127</v>
      </c>
      <c r="C483" s="24" t="s">
        <v>169</v>
      </c>
      <c r="D483" s="30">
        <v>46119</v>
      </c>
      <c r="E483" s="30" t="s">
        <v>161</v>
      </c>
      <c r="F483" s="24" t="str">
        <f>VLOOKUP(B483,Custumer_Master!A:D,2,FALSE)</f>
        <v>Rohit Singh</v>
      </c>
      <c r="G483" s="24" t="str">
        <f>VLOOKUP($B483,Custumer_Master!$A:$J,6,FALSE)</f>
        <v>Male</v>
      </c>
      <c r="H483" s="30" t="str">
        <f>VLOOKUP($B483,Custumer_Master!$A:$J,7,FALSE)</f>
        <v>10/05/1982</v>
      </c>
      <c r="I483" s="24" t="str">
        <f>VLOOKUP($B483,Custumer_Master!$A:$J,9,FALSE)</f>
        <v>Delhi</v>
      </c>
      <c r="J483" s="24" t="str">
        <f>VLOOKUP($B483,Custumer_Master!$A:$J,10,FALSE)</f>
        <v>North</v>
      </c>
      <c r="K483" s="24" t="str">
        <f>VLOOKUP(B483,Custumer_Master!A:D,4,FALSE)</f>
        <v>DL</v>
      </c>
      <c r="L483" s="24" t="str">
        <f>PROPER(TRIM(VLOOKUP('Final Data'!C483,Product_Master!A:F,3,FALSE)))</f>
        <v>Home Appliances</v>
      </c>
      <c r="M483" s="24" t="s">
        <v>174</v>
      </c>
      <c r="N483" s="34">
        <v>9</v>
      </c>
      <c r="O483" s="192">
        <f>VLOOKUP(C483,Product_Master!A:F,5,FALSE)</f>
        <v>6375</v>
      </c>
      <c r="P483" s="33">
        <v>0.15</v>
      </c>
      <c r="Q483" s="34">
        <f t="shared" si="21"/>
        <v>48768.75</v>
      </c>
      <c r="R483" s="34">
        <v>5</v>
      </c>
      <c r="S483" s="24" t="s">
        <v>34</v>
      </c>
      <c r="T483" s="24" t="s">
        <v>49</v>
      </c>
      <c r="U483" s="24" t="s">
        <v>132</v>
      </c>
      <c r="V483" s="34">
        <v>9780626473</v>
      </c>
      <c r="W483" s="24" t="str">
        <f>VLOOKUP(C483,Product_Master!A:F,4,FALSE)</f>
        <v>TechHub</v>
      </c>
      <c r="X483" s="34">
        <f>VLOOKUP(C483,Product_Master!A:F,6,FALSE)</f>
        <v>24</v>
      </c>
      <c r="Y483" s="24" t="str">
        <f>VLOOKUP(B483,Custumer_Master!A:D,3,FALSE)</f>
        <v>Gold</v>
      </c>
      <c r="Z483" s="30">
        <f>EDATE(E483,X483)</f>
        <v>46851</v>
      </c>
      <c r="AA483" s="29" t="str">
        <f>VLOOKUP(B483,Custumer_Master!A:K,11,)</f>
        <v>May</v>
      </c>
      <c r="AB483" s="24" t="s">
        <v>2108</v>
      </c>
      <c r="AC483" s="138" t="str">
        <f>PROPER(LEFT(TRIM(F483), 3)) &amp; RIGHT(TRIM(B483), 3) &amp; PROPER(LEFT(TRIM(I483), 2))</f>
        <v>Roh003De</v>
      </c>
      <c r="AD483" s="154">
        <f t="shared" ca="1" si="22"/>
        <v>44</v>
      </c>
      <c r="AE483" s="154">
        <f>IFERROR(IF(OR(E483="", D483="", LOWER(TRIM(E483))="pending", LOWER(TRIM(D483))="pending"), "Pending", E483 - D483), "Pending")</f>
        <v>1</v>
      </c>
      <c r="AF483" s="138" t="str">
        <f>IFERROR(IF(OR(E483="", D483="","Pending","Pending"), "Pending", IF((E483 - D483) &lt;= 5, "On Time", "Delayed")), "Pending")</f>
        <v>On Time</v>
      </c>
      <c r="AG483" s="24" t="str">
        <f t="shared" si="23"/>
        <v>Completed</v>
      </c>
    </row>
    <row r="484" spans="1:33">
      <c r="A484" s="24" t="s">
        <v>2028</v>
      </c>
      <c r="B484" s="24" t="s">
        <v>71</v>
      </c>
      <c r="C484" s="24" t="s">
        <v>184</v>
      </c>
      <c r="D484" s="30">
        <v>45834</v>
      </c>
      <c r="E484" s="30" t="s">
        <v>881</v>
      </c>
      <c r="F484" s="24" t="str">
        <f>VLOOKUP(B484,Custumer_Master!A:D,2,FALSE)</f>
        <v>Mohit Verma</v>
      </c>
      <c r="G484" s="24" t="str">
        <f>VLOOKUP($B484,Custumer_Master!$A:$J,6,FALSE)</f>
        <v>Male</v>
      </c>
      <c r="H484" s="30" t="str">
        <f>VLOOKUP($B484,Custumer_Master!$A:$J,7,FALSE)</f>
        <v>13/04/1976</v>
      </c>
      <c r="I484" s="24" t="str">
        <f>VLOOKUP($B484,Custumer_Master!$A:$J,9,FALSE)</f>
        <v>Delhi</v>
      </c>
      <c r="J484" s="24" t="str">
        <f>VLOOKUP($B484,Custumer_Master!$A:$J,10,FALSE)</f>
        <v>North</v>
      </c>
      <c r="K484" s="24" t="str">
        <f>VLOOKUP(B484,Custumer_Master!A:D,4,FALSE)</f>
        <v>KA</v>
      </c>
      <c r="L484" s="24" t="str">
        <f>PROPER(TRIM(VLOOKUP('Final Data'!C484,Product_Master!A:F,3,FALSE)))</f>
        <v>Electronics</v>
      </c>
      <c r="M484" s="24" t="s">
        <v>189</v>
      </c>
      <c r="N484" s="34">
        <v>17</v>
      </c>
      <c r="O484" s="192">
        <f>VLOOKUP(C484,Product_Master!A:F,5,FALSE)</f>
        <v>525</v>
      </c>
      <c r="P484" s="33">
        <v>0</v>
      </c>
      <c r="Q484" s="34">
        <f t="shared" si="21"/>
        <v>8925</v>
      </c>
      <c r="R484" s="34">
        <v>2</v>
      </c>
      <c r="S484" s="24" t="s">
        <v>34</v>
      </c>
      <c r="T484" s="24" t="s">
        <v>61</v>
      </c>
      <c r="U484" s="24" t="s">
        <v>80</v>
      </c>
      <c r="V484" s="34">
        <v>9347298020</v>
      </c>
      <c r="W484" s="24" t="str">
        <f>VLOOKUP(C484,Product_Master!A:F,4,FALSE)</f>
        <v>TechHub</v>
      </c>
      <c r="X484" s="34">
        <f>VLOOKUP(C484,Product_Master!A:F,6,FALSE)</f>
        <v>24</v>
      </c>
      <c r="Y484" s="24" t="str">
        <f>VLOOKUP(B484,Custumer_Master!A:D,3,FALSE)</f>
        <v>Platinum</v>
      </c>
      <c r="Z484" s="30">
        <f>EDATE(E484,X484)</f>
        <v>46574</v>
      </c>
      <c r="AA484" s="29" t="str">
        <f>VLOOKUP(B484,Custumer_Master!A:K,11,)</f>
        <v>April</v>
      </c>
      <c r="AB484" s="24" t="s">
        <v>2160</v>
      </c>
      <c r="AC484" s="138" t="str">
        <f>PROPER(LEFT(TRIM(F484), 3)) &amp; RIGHT(TRIM(B484), 3) &amp; PROPER(LEFT(TRIM(I484), 2))</f>
        <v>Moh009De</v>
      </c>
      <c r="AD484" s="154">
        <f t="shared" ca="1" si="22"/>
        <v>50</v>
      </c>
      <c r="AE484" s="154">
        <f>IFERROR(IF(OR(E484="", D484="", LOWER(TRIM(E484))="pending", LOWER(TRIM(D484))="pending"), "Pending", E484 - D484), "Pending")</f>
        <v>10</v>
      </c>
      <c r="AF484" s="138" t="str">
        <f>IFERROR(IF(OR(E484="", D484="","Pending","Pending"), "Pending", IF((E484 - D484) &lt;= 5, "On Time", "Delayed")), "Pending")</f>
        <v>Delayed</v>
      </c>
      <c r="AG484" s="24" t="str">
        <f t="shared" si="23"/>
        <v>Completed</v>
      </c>
    </row>
    <row r="485" spans="1:33">
      <c r="A485" s="24" t="s">
        <v>2032</v>
      </c>
      <c r="B485" s="24" t="s">
        <v>23</v>
      </c>
      <c r="C485" s="24" t="s">
        <v>184</v>
      </c>
      <c r="D485" s="30">
        <v>45846</v>
      </c>
      <c r="E485" s="30" t="s">
        <v>1572</v>
      </c>
      <c r="F485" s="24" t="str">
        <f>VLOOKUP(B485,Custumer_Master!A:D,2,FALSE)</f>
        <v>Kavya Nair</v>
      </c>
      <c r="G485" s="24" t="str">
        <f>VLOOKUP($B485,Custumer_Master!$A:$J,6,FALSE)</f>
        <v>Female</v>
      </c>
      <c r="H485" s="30" t="str">
        <f>VLOOKUP($B485,Custumer_Master!$A:$J,7,FALSE)</f>
        <v>01/08/1976</v>
      </c>
      <c r="I485" s="24" t="str">
        <f>VLOOKUP($B485,Custumer_Master!$A:$J,9,FALSE)</f>
        <v>Hyderabad</v>
      </c>
      <c r="J485" s="24" t="str">
        <f>VLOOKUP($B485,Custumer_Master!$A:$J,10,FALSE)</f>
        <v>South</v>
      </c>
      <c r="K485" s="24" t="str">
        <f>VLOOKUP(B485,Custumer_Master!A:D,4,FALSE)</f>
        <v>WB</v>
      </c>
      <c r="L485" s="24" t="str">
        <f>PROPER(TRIM(VLOOKUP('Final Data'!C485,Product_Master!A:F,3,FALSE)))</f>
        <v>Electronics</v>
      </c>
      <c r="M485" s="24" t="s">
        <v>189</v>
      </c>
      <c r="N485" s="34">
        <v>20</v>
      </c>
      <c r="O485" s="192">
        <f>VLOOKUP(C485,Product_Master!A:F,5,FALSE)</f>
        <v>525</v>
      </c>
      <c r="P485" s="33">
        <v>0.05</v>
      </c>
      <c r="Q485" s="34">
        <f t="shared" si="21"/>
        <v>9975</v>
      </c>
      <c r="R485" s="34">
        <v>2</v>
      </c>
      <c r="S485" s="24" t="s">
        <v>2149</v>
      </c>
      <c r="T485" s="24" t="s">
        <v>35</v>
      </c>
      <c r="U485" s="24" t="s">
        <v>50</v>
      </c>
      <c r="V485" s="34">
        <v>9345328522</v>
      </c>
      <c r="W485" s="24" t="str">
        <f>VLOOKUP(C485,Product_Master!A:F,4,FALSE)</f>
        <v>TechHub</v>
      </c>
      <c r="X485" s="34">
        <f>VLOOKUP(C485,Product_Master!A:F,6,FALSE)</f>
        <v>24</v>
      </c>
      <c r="Y485" s="24" t="str">
        <f>VLOOKUP(B485,Custumer_Master!A:D,3,FALSE)</f>
        <v>Silver</v>
      </c>
      <c r="Z485" s="30">
        <f>EDATE(E485,X485)</f>
        <v>46586</v>
      </c>
      <c r="AA485" s="29" t="str">
        <f>VLOOKUP(B485,Custumer_Master!A:K,11,)</f>
        <v>August</v>
      </c>
      <c r="AB485" s="24" t="s">
        <v>2160</v>
      </c>
      <c r="AC485" s="138" t="str">
        <f>PROPER(LEFT(TRIM(F485), 3)) &amp; RIGHT(TRIM(B485), 3) &amp; PROPER(LEFT(TRIM(I485), 2))</f>
        <v>Kav008Hy</v>
      </c>
      <c r="AD485" s="154">
        <f t="shared" ca="1" si="22"/>
        <v>49</v>
      </c>
      <c r="AE485" s="154">
        <f>IFERROR(IF(OR(E485="", D485="", LOWER(TRIM(E485))="pending", LOWER(TRIM(D485))="pending"), "Pending", E485 - D485), "Pending")</f>
        <v>10</v>
      </c>
      <c r="AF485" s="138" t="str">
        <f>IFERROR(IF(OR(E485="", D485="","Pending","Pending"), "Pending", IF((E485 - D485) &lt;= 5, "On Time", "Delayed")), "Pending")</f>
        <v>Delayed</v>
      </c>
      <c r="AG485" s="24" t="str">
        <f t="shared" si="23"/>
        <v>Completed</v>
      </c>
    </row>
    <row r="486" spans="1:33">
      <c r="A486" s="24" t="s">
        <v>2035</v>
      </c>
      <c r="B486" s="24" t="s">
        <v>327</v>
      </c>
      <c r="C486" s="24" t="s">
        <v>72</v>
      </c>
      <c r="D486" s="30">
        <v>46092</v>
      </c>
      <c r="E486" s="30" t="s">
        <v>65</v>
      </c>
      <c r="F486" s="24" t="str">
        <f>VLOOKUP(B486,Custumer_Master!A:D,2,FALSE)</f>
        <v>Amit Sharma</v>
      </c>
      <c r="G486" s="24" t="str">
        <f>VLOOKUP($B486,Custumer_Master!$A:$J,6,FALSE)</f>
        <v>Male</v>
      </c>
      <c r="H486" s="30" t="str">
        <f>VLOOKUP($B486,Custumer_Master!$A:$J,7,FALSE)</f>
        <v>09/08/1991</v>
      </c>
      <c r="I486" s="24" t="str">
        <f>VLOOKUP($B486,Custumer_Master!$A:$J,9,FALSE)</f>
        <v>Pune</v>
      </c>
      <c r="J486" s="24" t="str">
        <f>VLOOKUP($B486,Custumer_Master!$A:$J,10,FALSE)</f>
        <v>West</v>
      </c>
      <c r="K486" s="24" t="str">
        <f>VLOOKUP(B486,Custumer_Master!A:D,4,FALSE)</f>
        <v>RJ</v>
      </c>
      <c r="L486" s="24" t="str">
        <f>PROPER(TRIM(VLOOKUP('Final Data'!C486,Product_Master!A:F,3,FALSE)))</f>
        <v>Electronics</v>
      </c>
      <c r="M486" s="24" t="s">
        <v>78</v>
      </c>
      <c r="N486" s="34">
        <v>13</v>
      </c>
      <c r="O486" s="192">
        <f>VLOOKUP(C486,Product_Master!A:F,5,FALSE)</f>
        <v>900</v>
      </c>
      <c r="P486" s="33">
        <v>0.2</v>
      </c>
      <c r="Q486" s="34">
        <f t="shared" si="21"/>
        <v>9360</v>
      </c>
      <c r="R486" s="34">
        <v>5</v>
      </c>
      <c r="S486" s="24" t="s">
        <v>79</v>
      </c>
      <c r="T486" s="24" t="s">
        <v>115</v>
      </c>
      <c r="U486" s="24" t="s">
        <v>332</v>
      </c>
      <c r="V486" s="34">
        <v>9160310438</v>
      </c>
      <c r="W486" s="24" t="str">
        <f>VLOOKUP(C486,Product_Master!A:F,4,FALSE)</f>
        <v>TechHub</v>
      </c>
      <c r="X486" s="34">
        <f>VLOOKUP(C486,Product_Master!A:F,6,FALSE)</f>
        <v>6</v>
      </c>
      <c r="Y486" s="24" t="str">
        <f>VLOOKUP(B486,Custumer_Master!A:D,3,FALSE)</f>
        <v>Silver</v>
      </c>
      <c r="Z486" s="30">
        <f>EDATE(E486,X486)</f>
        <v>46286</v>
      </c>
      <c r="AA486" s="29" t="str">
        <f>VLOOKUP(B486,Custumer_Master!A:K,11,)</f>
        <v>August</v>
      </c>
      <c r="AB486" s="24" t="s">
        <v>2108</v>
      </c>
      <c r="AC486" s="138" t="str">
        <f>PROPER(LEFT(TRIM(F486), 3)) &amp; RIGHT(TRIM(B486), 3) &amp; PROPER(LEFT(TRIM(I486), 2))</f>
        <v>Ami001Pu</v>
      </c>
      <c r="AD486" s="154">
        <f t="shared" ca="1" si="22"/>
        <v>34</v>
      </c>
      <c r="AE486" s="154">
        <f>IFERROR(IF(OR(E486="", D486="", LOWER(TRIM(E486))="pending", LOWER(TRIM(D486))="pending"), "Pending", E486 - D486), "Pending")</f>
        <v>10</v>
      </c>
      <c r="AF486" s="138" t="str">
        <f>IFERROR(IF(OR(E486="", D486="","Pending","Pending"), "Pending", IF((E486 - D486) &lt;= 5, "On Time", "Delayed")), "Pending")</f>
        <v>Delayed</v>
      </c>
      <c r="AG486" s="24" t="str">
        <f t="shared" si="23"/>
        <v>Completed</v>
      </c>
    </row>
    <row r="487" spans="1:33">
      <c r="A487" s="24" t="s">
        <v>2039</v>
      </c>
      <c r="B487" s="24" t="s">
        <v>100</v>
      </c>
      <c r="C487" s="24" t="s">
        <v>54</v>
      </c>
      <c r="D487" s="30">
        <v>46104</v>
      </c>
      <c r="E487" s="30" t="s">
        <v>1932</v>
      </c>
      <c r="F487" s="24" t="str">
        <f>VLOOKUP(B487,Custumer_Master!A:D,2,FALSE)</f>
        <v>Priya Patel</v>
      </c>
      <c r="G487" s="24" t="str">
        <f>VLOOKUP($B487,Custumer_Master!$A:$J,6,FALSE)</f>
        <v>Female</v>
      </c>
      <c r="H487" s="30" t="str">
        <f>VLOOKUP($B487,Custumer_Master!$A:$J,7,FALSE)</f>
        <v>07/03/1995</v>
      </c>
      <c r="I487" s="24" t="str">
        <f>VLOOKUP($B487,Custumer_Master!$A:$J,9,FALSE)</f>
        <v>Mumbai</v>
      </c>
      <c r="J487" s="24" t="str">
        <f>VLOOKUP($B487,Custumer_Master!$A:$J,10,FALSE)</f>
        <v>West</v>
      </c>
      <c r="K487" s="24" t="str">
        <f>VLOOKUP(B487,Custumer_Master!A:D,4,FALSE)</f>
        <v>WB</v>
      </c>
      <c r="L487" s="24" t="str">
        <f>PROPER(TRIM(VLOOKUP('Final Data'!C487,Product_Master!A:F,3,FALSE)))</f>
        <v>Electronics</v>
      </c>
      <c r="M487" s="24" t="s">
        <v>60</v>
      </c>
      <c r="N487" s="34">
        <v>20</v>
      </c>
      <c r="O487" s="192">
        <f>VLOOKUP(C487,Product_Master!A:F,5,FALSE)</f>
        <v>41250</v>
      </c>
      <c r="P487" s="33">
        <v>0.1</v>
      </c>
      <c r="Q487" s="34">
        <f t="shared" si="21"/>
        <v>742500</v>
      </c>
      <c r="R487" s="34">
        <v>1</v>
      </c>
      <c r="S487" s="24" t="s">
        <v>2149</v>
      </c>
      <c r="T487" s="24" t="s">
        <v>35</v>
      </c>
      <c r="U487" s="24" t="s">
        <v>144</v>
      </c>
      <c r="V487" s="34">
        <v>9343776153</v>
      </c>
      <c r="W487" s="24" t="str">
        <f>VLOOKUP(C487,Product_Master!A:F,4,FALSE)</f>
        <v>TechHub</v>
      </c>
      <c r="X487" s="34">
        <f>VLOOKUP(C487,Product_Master!A:F,6,FALSE)</f>
        <v>12</v>
      </c>
      <c r="Y487" s="24" t="str">
        <f>VLOOKUP(B487,Custumer_Master!A:D,3,FALSE)</f>
        <v>Platinum</v>
      </c>
      <c r="Z487" s="30">
        <f>EDATE(E487,X487)</f>
        <v>46475</v>
      </c>
      <c r="AA487" s="29" t="str">
        <f>VLOOKUP(B487,Custumer_Master!A:K,11,)</f>
        <v>March</v>
      </c>
      <c r="AB487" s="24" t="s">
        <v>2160</v>
      </c>
      <c r="AC487" s="138" t="str">
        <f>PROPER(LEFT(TRIM(F487), 3)) &amp; RIGHT(TRIM(B487), 3) &amp; PROPER(LEFT(TRIM(I487), 2))</f>
        <v>Pri002Mu</v>
      </c>
      <c r="AD487" s="154">
        <f t="shared" ca="1" si="22"/>
        <v>31</v>
      </c>
      <c r="AE487" s="154">
        <f>IFERROR(IF(OR(E487="", D487="", LOWER(TRIM(E487))="pending", LOWER(TRIM(D487))="pending"), "Pending", E487 - D487), "Pending")</f>
        <v>6</v>
      </c>
      <c r="AF487" s="138" t="str">
        <f>IFERROR(IF(OR(E487="", D487="","Pending","Pending"), "Pending", IF((E487 - D487) &lt;= 5, "On Time", "Delayed")), "Pending")</f>
        <v>Delayed</v>
      </c>
      <c r="AG487" s="24" t="str">
        <f t="shared" si="23"/>
        <v>Completed</v>
      </c>
    </row>
    <row r="488" spans="1:33">
      <c r="A488" s="24" t="s">
        <v>2042</v>
      </c>
      <c r="B488" s="24" t="s">
        <v>251</v>
      </c>
      <c r="C488" s="24" t="s">
        <v>72</v>
      </c>
      <c r="D488" s="30">
        <v>45961</v>
      </c>
      <c r="E488" s="30" t="s">
        <v>291</v>
      </c>
      <c r="F488" s="24" t="str">
        <f>VLOOKUP(B488,Custumer_Master!A:D,2,FALSE)</f>
        <v>Sneha Joshi</v>
      </c>
      <c r="G488" s="24" t="str">
        <f>VLOOKUP($B488,Custumer_Master!$A:$J,6,FALSE)</f>
        <v>Female</v>
      </c>
      <c r="H488" s="30" t="str">
        <f>VLOOKUP($B488,Custumer_Master!$A:$J,7,FALSE)</f>
        <v>04/04/1981</v>
      </c>
      <c r="I488" s="24" t="str">
        <f>VLOOKUP($B488,Custumer_Master!$A:$J,9,FALSE)</f>
        <v>Pune</v>
      </c>
      <c r="J488" s="24" t="str">
        <f>VLOOKUP($B488,Custumer_Master!$A:$J,10,FALSE)</f>
        <v>West</v>
      </c>
      <c r="K488" s="24" t="str">
        <f>VLOOKUP(B488,Custumer_Master!A:D,4,FALSE)</f>
        <v>WB</v>
      </c>
      <c r="L488" s="24" t="str">
        <f>PROPER(TRIM(VLOOKUP('Final Data'!C488,Product_Master!A:F,3,FALSE)))</f>
        <v>Electronics</v>
      </c>
      <c r="M488" s="24" t="s">
        <v>78</v>
      </c>
      <c r="N488" s="34">
        <v>8</v>
      </c>
      <c r="O488" s="192">
        <f>VLOOKUP(C488,Product_Master!A:F,5,FALSE)</f>
        <v>900</v>
      </c>
      <c r="P488" s="33">
        <v>0</v>
      </c>
      <c r="Q488" s="34">
        <f t="shared" si="21"/>
        <v>7200</v>
      </c>
      <c r="R488" s="34">
        <v>2</v>
      </c>
      <c r="S488" s="24" t="s">
        <v>2148</v>
      </c>
      <c r="T488" s="24" t="s">
        <v>151</v>
      </c>
      <c r="U488" s="24" t="s">
        <v>256</v>
      </c>
      <c r="V488" s="34">
        <v>9458599727</v>
      </c>
      <c r="W488" s="24" t="str">
        <f>VLOOKUP(C488,Product_Master!A:F,4,FALSE)</f>
        <v>TechHub</v>
      </c>
      <c r="X488" s="34">
        <f>VLOOKUP(C488,Product_Master!A:F,6,FALSE)</f>
        <v>6</v>
      </c>
      <c r="Y488" s="24" t="str">
        <f>VLOOKUP(B488,Custumer_Master!A:D,3,FALSE)</f>
        <v>Gold</v>
      </c>
      <c r="Z488" s="30">
        <f>EDATE(E488,X488)</f>
        <v>46147</v>
      </c>
      <c r="AA488" s="29" t="str">
        <f>VLOOKUP(B488,Custumer_Master!A:K,11,)</f>
        <v>April</v>
      </c>
      <c r="AB488" s="24" t="s">
        <v>2160</v>
      </c>
      <c r="AC488" s="138" t="str">
        <f>PROPER(LEFT(TRIM(F488), 3)) &amp; RIGHT(TRIM(B488), 3) &amp; PROPER(LEFT(TRIM(I488), 2))</f>
        <v>Sne006Pu</v>
      </c>
      <c r="AD488" s="154">
        <f t="shared" ca="1" si="22"/>
        <v>45</v>
      </c>
      <c r="AE488" s="154">
        <f>IFERROR(IF(OR(E488="", D488="", LOWER(TRIM(E488))="pending", LOWER(TRIM(D488))="pending"), "Pending", E488 - D488), "Pending")</f>
        <v>5</v>
      </c>
      <c r="AF488" s="138" t="str">
        <f>IFERROR(IF(OR(E488="", D488="","Pending","Pending"), "Pending", IF((E488 - D488) &lt;= 5, "On Time", "Delayed")), "Pending")</f>
        <v>On Time</v>
      </c>
      <c r="AG488" s="24" t="str">
        <f t="shared" si="23"/>
        <v>Completed</v>
      </c>
    </row>
    <row r="489" spans="1:33">
      <c r="A489" s="24" t="s">
        <v>2045</v>
      </c>
      <c r="B489" s="24" t="s">
        <v>53</v>
      </c>
      <c r="C489" s="24" t="s">
        <v>222</v>
      </c>
      <c r="D489" s="30">
        <v>46147</v>
      </c>
      <c r="E489" s="30" t="s">
        <v>1238</v>
      </c>
      <c r="F489" s="24" t="str">
        <f>VLOOKUP(B489,Custumer_Master!A:D,2,FALSE)</f>
        <v>Pooja Shah</v>
      </c>
      <c r="G489" s="24" t="str">
        <f>VLOOKUP($B489,Custumer_Master!$A:$J,6,FALSE)</f>
        <v>Female</v>
      </c>
      <c r="H489" s="30" t="str">
        <f>VLOOKUP($B489,Custumer_Master!$A:$J,7,FALSE)</f>
        <v>16/09/1994</v>
      </c>
      <c r="I489" s="24" t="str">
        <f>VLOOKUP($B489,Custumer_Master!$A:$J,9,FALSE)</f>
        <v>Bengaluru</v>
      </c>
      <c r="J489" s="24" t="str">
        <f>VLOOKUP($B489,Custumer_Master!$A:$J,10,FALSE)</f>
        <v>South</v>
      </c>
      <c r="K489" s="24" t="str">
        <f>VLOOKUP(B489,Custumer_Master!A:D,4,FALSE)</f>
        <v>WB</v>
      </c>
      <c r="L489" s="24" t="str">
        <f>PROPER(TRIM(VLOOKUP('Final Data'!C489,Product_Master!A:F,3,FALSE)))</f>
        <v>Stationery</v>
      </c>
      <c r="M489" s="24" t="s">
        <v>227</v>
      </c>
      <c r="N489" s="34">
        <v>18</v>
      </c>
      <c r="O489" s="192">
        <f>VLOOKUP(C489,Product_Master!A:F,5,FALSE)</f>
        <v>15</v>
      </c>
      <c r="P489" s="33">
        <v>0.1</v>
      </c>
      <c r="Q489" s="34">
        <f t="shared" si="21"/>
        <v>243</v>
      </c>
      <c r="R489" s="34">
        <v>5</v>
      </c>
      <c r="S489" s="24" t="s">
        <v>79</v>
      </c>
      <c r="T489" s="24" t="s">
        <v>2145</v>
      </c>
      <c r="U489" s="24" t="s">
        <v>62</v>
      </c>
      <c r="V489" s="34">
        <v>9218660140</v>
      </c>
      <c r="W489" s="24" t="str">
        <f>VLOOKUP(C489,Product_Master!A:F,4,FALSE)</f>
        <v>Prime Supplies</v>
      </c>
      <c r="X489" s="34">
        <f>VLOOKUP(C489,Product_Master!A:F,6,FALSE)</f>
        <v>12</v>
      </c>
      <c r="Y489" s="24" t="str">
        <f>VLOOKUP(B489,Custumer_Master!A:D,3,FALSE)</f>
        <v>Silver</v>
      </c>
      <c r="Z489" s="30">
        <f>EDATE(E489,X489)</f>
        <v>46516</v>
      </c>
      <c r="AA489" s="29" t="str">
        <f>VLOOKUP(B489,Custumer_Master!A:K,11,)</f>
        <v>September</v>
      </c>
      <c r="AB489" s="24" t="s">
        <v>2108</v>
      </c>
      <c r="AC489" s="138" t="str">
        <f>PROPER(LEFT(TRIM(F489), 3)) &amp; RIGHT(TRIM(B489), 3) &amp; PROPER(LEFT(TRIM(I489), 2))</f>
        <v>Poo010Be</v>
      </c>
      <c r="AD489" s="154">
        <f t="shared" ca="1" si="22"/>
        <v>31</v>
      </c>
      <c r="AE489" s="154">
        <f>IFERROR(IF(OR(E489="", D489="", LOWER(TRIM(E489))="pending", LOWER(TRIM(D489))="pending"), "Pending", E489 - D489), "Pending")</f>
        <v>4</v>
      </c>
      <c r="AF489" s="138" t="str">
        <f>IFERROR(IF(OR(E489="", D489="","Pending","Pending"), "Pending", IF((E489 - D489) &lt;= 5, "On Time", "Delayed")), "Pending")</f>
        <v>On Time</v>
      </c>
      <c r="AG489" s="24" t="str">
        <f t="shared" si="23"/>
        <v>Completed</v>
      </c>
    </row>
    <row r="490" spans="1:33">
      <c r="A490" s="24" t="s">
        <v>2050</v>
      </c>
      <c r="B490" s="24" t="s">
        <v>168</v>
      </c>
      <c r="C490" s="24" t="s">
        <v>40</v>
      </c>
      <c r="D490" s="30">
        <v>45711</v>
      </c>
      <c r="E490" s="30" t="s">
        <v>272</v>
      </c>
      <c r="F490" s="24" t="str">
        <f>VLOOKUP(B490,Custumer_Master!A:D,2,FALSE)</f>
        <v>Anita Gupta</v>
      </c>
      <c r="G490" s="24" t="str">
        <f>VLOOKUP($B490,Custumer_Master!$A:$J,6,FALSE)</f>
        <v>Female</v>
      </c>
      <c r="H490" s="30" t="str">
        <f>VLOOKUP($B490,Custumer_Master!$A:$J,7,FALSE)</f>
        <v>16/01/2002</v>
      </c>
      <c r="I490" s="24" t="str">
        <f>VLOOKUP($B490,Custumer_Master!$A:$J,9,FALSE)</f>
        <v>Pune</v>
      </c>
      <c r="J490" s="24" t="str">
        <f>VLOOKUP($B490,Custumer_Master!$A:$J,10,FALSE)</f>
        <v>West</v>
      </c>
      <c r="K490" s="24" t="str">
        <f>VLOOKUP(B490,Custumer_Master!A:D,4,FALSE)</f>
        <v>WB</v>
      </c>
      <c r="L490" s="24" t="str">
        <f>PROPER(TRIM(VLOOKUP('Final Data'!C490,Product_Master!A:F,3,FALSE)))</f>
        <v>Electronics</v>
      </c>
      <c r="M490" s="24" t="s">
        <v>47</v>
      </c>
      <c r="N490" s="34">
        <v>11</v>
      </c>
      <c r="O490" s="192">
        <f>VLOOKUP(C490,Product_Master!A:F,5,FALSE)</f>
        <v>9000</v>
      </c>
      <c r="P490" s="33">
        <v>0.1</v>
      </c>
      <c r="Q490" s="34">
        <f t="shared" si="21"/>
        <v>89100</v>
      </c>
      <c r="R490" s="34">
        <v>1</v>
      </c>
      <c r="S490" s="24" t="s">
        <v>79</v>
      </c>
      <c r="T490" s="24" t="s">
        <v>49</v>
      </c>
      <c r="U490" s="24" t="s">
        <v>175</v>
      </c>
      <c r="V490" s="34">
        <v>9341979199</v>
      </c>
      <c r="W490" s="24" t="str">
        <f>VLOOKUP(C490,Product_Master!A:F,4,FALSE)</f>
        <v>Global Trade</v>
      </c>
      <c r="X490" s="34">
        <f>VLOOKUP(C490,Product_Master!A:F,6,FALSE)</f>
        <v>24</v>
      </c>
      <c r="Y490" s="24" t="str">
        <f>VLOOKUP(B490,Custumer_Master!A:D,3,FALSE)</f>
        <v>Gold</v>
      </c>
      <c r="Z490" s="30">
        <f>EDATE(E490,X490)</f>
        <v>46453</v>
      </c>
      <c r="AA490" s="29" t="str">
        <f>VLOOKUP(B490,Custumer_Master!A:K,11,)</f>
        <v>January</v>
      </c>
      <c r="AB490" s="24" t="s">
        <v>2160</v>
      </c>
      <c r="AC490" s="138" t="str">
        <f>PROPER(LEFT(TRIM(F490), 3)) &amp; RIGHT(TRIM(B490), 3) &amp; PROPER(LEFT(TRIM(I490), 2))</f>
        <v>Ani004Pu</v>
      </c>
      <c r="AD490" s="154">
        <f t="shared" ca="1" si="22"/>
        <v>24</v>
      </c>
      <c r="AE490" s="154">
        <f>IFERROR(IF(OR(E490="", D490="", LOWER(TRIM(E490))="pending", LOWER(TRIM(D490))="pending"), "Pending", E490 - D490), "Pending")</f>
        <v>12</v>
      </c>
      <c r="AF490" s="138" t="str">
        <f>IFERROR(IF(OR(E490="", D490="","Pending","Pending"), "Pending", IF((E490 - D490) &lt;= 5, "On Time", "Delayed")), "Pending")</f>
        <v>Delayed</v>
      </c>
      <c r="AG490" s="24" t="str">
        <f t="shared" si="23"/>
        <v>Completed</v>
      </c>
    </row>
    <row r="491" spans="1:33">
      <c r="A491" s="24" t="s">
        <v>2054</v>
      </c>
      <c r="B491" s="24" t="s">
        <v>327</v>
      </c>
      <c r="C491" s="24" t="s">
        <v>169</v>
      </c>
      <c r="D491" s="30">
        <v>45672</v>
      </c>
      <c r="E491" s="30" t="s">
        <v>1378</v>
      </c>
      <c r="F491" s="24" t="str">
        <f>VLOOKUP(B491,Custumer_Master!A:D,2,FALSE)</f>
        <v>Amit Sharma</v>
      </c>
      <c r="G491" s="24" t="str">
        <f>VLOOKUP($B491,Custumer_Master!$A:$J,6,FALSE)</f>
        <v>Male</v>
      </c>
      <c r="H491" s="30" t="str">
        <f>VLOOKUP($B491,Custumer_Master!$A:$J,7,FALSE)</f>
        <v>09/08/1991</v>
      </c>
      <c r="I491" s="24" t="str">
        <f>VLOOKUP($B491,Custumer_Master!$A:$J,9,FALSE)</f>
        <v>Pune</v>
      </c>
      <c r="J491" s="24" t="str">
        <f>VLOOKUP($B491,Custumer_Master!$A:$J,10,FALSE)</f>
        <v>West</v>
      </c>
      <c r="K491" s="24" t="str">
        <f>VLOOKUP(B491,Custumer_Master!A:D,4,FALSE)</f>
        <v>RJ</v>
      </c>
      <c r="L491" s="24" t="str">
        <f>PROPER(TRIM(VLOOKUP('Final Data'!C491,Product_Master!A:F,3,FALSE)))</f>
        <v>Home Appliances</v>
      </c>
      <c r="M491" s="24" t="s">
        <v>174</v>
      </c>
      <c r="N491" s="34">
        <v>2</v>
      </c>
      <c r="O491" s="192">
        <f>VLOOKUP(C491,Product_Master!A:F,5,FALSE)</f>
        <v>6375</v>
      </c>
      <c r="P491" s="33">
        <v>0.05</v>
      </c>
      <c r="Q491" s="34">
        <f t="shared" si="21"/>
        <v>12112.5</v>
      </c>
      <c r="R491" s="34">
        <v>1</v>
      </c>
      <c r="S491" s="24" t="s">
        <v>79</v>
      </c>
      <c r="T491" s="24" t="s">
        <v>61</v>
      </c>
      <c r="U491" s="24" t="s">
        <v>332</v>
      </c>
      <c r="V491" s="34">
        <v>9823080381</v>
      </c>
      <c r="W491" s="24" t="str">
        <f>VLOOKUP(C491,Product_Master!A:F,4,FALSE)</f>
        <v>TechHub</v>
      </c>
      <c r="X491" s="34">
        <f>VLOOKUP(C491,Product_Master!A:F,6,FALSE)</f>
        <v>24</v>
      </c>
      <c r="Y491" s="24" t="str">
        <f>VLOOKUP(B491,Custumer_Master!A:D,3,FALSE)</f>
        <v>Silver</v>
      </c>
      <c r="Z491" s="30">
        <f>EDATE(E491,X491)</f>
        <v>46404</v>
      </c>
      <c r="AA491" s="29" t="str">
        <f>VLOOKUP(B491,Custumer_Master!A:K,11,)</f>
        <v>August</v>
      </c>
      <c r="AB491" s="24" t="s">
        <v>2160</v>
      </c>
      <c r="AC491" s="138" t="str">
        <f>PROPER(LEFT(TRIM(F491), 3)) &amp; RIGHT(TRIM(B491), 3) &amp; PROPER(LEFT(TRIM(I491), 2))</f>
        <v>Ami001Pu</v>
      </c>
      <c r="AD491" s="154">
        <f t="shared" ca="1" si="22"/>
        <v>34</v>
      </c>
      <c r="AE491" s="154">
        <f>IFERROR(IF(OR(E491="", D491="", LOWER(TRIM(E491))="pending", LOWER(TRIM(D491))="pending"), "Pending", E491 - D491), "Pending")</f>
        <v>2</v>
      </c>
      <c r="AF491" s="138" t="str">
        <f>IFERROR(IF(OR(E491="", D491="","Pending","Pending"), "Pending", IF((E491 - D491) &lt;= 5, "On Time", "Delayed")), "Pending")</f>
        <v>On Time</v>
      </c>
      <c r="AG491" s="24" t="str">
        <f t="shared" si="23"/>
        <v>Completed</v>
      </c>
    </row>
    <row r="492" spans="1:33">
      <c r="A492" s="24" t="s">
        <v>2057</v>
      </c>
      <c r="B492" s="24" t="s">
        <v>100</v>
      </c>
      <c r="C492" s="24" t="s">
        <v>24</v>
      </c>
      <c r="D492" s="30">
        <v>45746</v>
      </c>
      <c r="E492" s="30" t="s">
        <v>1507</v>
      </c>
      <c r="F492" s="24" t="str">
        <f>VLOOKUP(B492,Custumer_Master!A:D,2,FALSE)</f>
        <v>Priya Patel</v>
      </c>
      <c r="G492" s="24" t="str">
        <f>VLOOKUP($B492,Custumer_Master!$A:$J,6,FALSE)</f>
        <v>Female</v>
      </c>
      <c r="H492" s="30" t="str">
        <f>VLOOKUP($B492,Custumer_Master!$A:$J,7,FALSE)</f>
        <v>07/03/1995</v>
      </c>
      <c r="I492" s="24" t="str">
        <f>VLOOKUP($B492,Custumer_Master!$A:$J,9,FALSE)</f>
        <v>Mumbai</v>
      </c>
      <c r="J492" s="24" t="str">
        <f>VLOOKUP($B492,Custumer_Master!$A:$J,10,FALSE)</f>
        <v>West</v>
      </c>
      <c r="K492" s="24" t="str">
        <f>VLOOKUP(B492,Custumer_Master!A:D,4,FALSE)</f>
        <v>WB</v>
      </c>
      <c r="L492" s="24" t="str">
        <f>PROPER(TRIM(VLOOKUP('Final Data'!C492,Product_Master!A:F,3,FALSE)))</f>
        <v>Home Appliances</v>
      </c>
      <c r="M492" s="24" t="s">
        <v>33</v>
      </c>
      <c r="N492" s="34">
        <v>7</v>
      </c>
      <c r="O492" s="192">
        <f>VLOOKUP(C492,Product_Master!A:F,5,FALSE)</f>
        <v>1650</v>
      </c>
      <c r="P492" s="33">
        <v>0</v>
      </c>
      <c r="Q492" s="34">
        <f t="shared" si="21"/>
        <v>11550</v>
      </c>
      <c r="R492" s="34">
        <v>5</v>
      </c>
      <c r="S492" s="24" t="s">
        <v>2148</v>
      </c>
      <c r="T492" s="24" t="s">
        <v>35</v>
      </c>
      <c r="U492" s="24" t="s">
        <v>144</v>
      </c>
      <c r="V492" s="34">
        <v>9981183477</v>
      </c>
      <c r="W492" s="24" t="str">
        <f>VLOOKUP(C492,Product_Master!A:F,4,FALSE)</f>
        <v>Global Trade</v>
      </c>
      <c r="X492" s="34">
        <f>VLOOKUP(C492,Product_Master!A:F,6,FALSE)</f>
        <v>24</v>
      </c>
      <c r="Y492" s="24" t="str">
        <f>VLOOKUP(B492,Custumer_Master!A:D,3,FALSE)</f>
        <v>Platinum</v>
      </c>
      <c r="Z492" s="30">
        <f>EDATE(E492,X492)</f>
        <v>46485</v>
      </c>
      <c r="AA492" s="29" t="str">
        <f>VLOOKUP(B492,Custumer_Master!A:K,11,)</f>
        <v>March</v>
      </c>
      <c r="AB492" s="24" t="s">
        <v>2108</v>
      </c>
      <c r="AC492" s="138" t="str">
        <f>PROPER(LEFT(TRIM(F492), 3)) &amp; RIGHT(TRIM(B492), 3) &amp; PROPER(LEFT(TRIM(I492), 2))</f>
        <v>Pri002Mu</v>
      </c>
      <c r="AD492" s="154">
        <f t="shared" ca="1" si="22"/>
        <v>31</v>
      </c>
      <c r="AE492" s="154">
        <f>IFERROR(IF(OR(E492="", D492="", LOWER(TRIM(E492))="pending", LOWER(TRIM(D492))="pending"), "Pending", E492 - D492), "Pending")</f>
        <v>9</v>
      </c>
      <c r="AF492" s="138" t="str">
        <f>IFERROR(IF(OR(E492="", D492="","Pending","Pending"), "Pending", IF((E492 - D492) &lt;= 5, "On Time", "Delayed")), "Pending")</f>
        <v>Delayed</v>
      </c>
      <c r="AG492" s="24" t="str">
        <f t="shared" si="23"/>
        <v>Completed</v>
      </c>
    </row>
    <row r="493" spans="1:33">
      <c r="A493" s="24" t="s">
        <v>2061</v>
      </c>
      <c r="B493" s="24" t="s">
        <v>83</v>
      </c>
      <c r="C493" s="24" t="s">
        <v>169</v>
      </c>
      <c r="D493" s="30">
        <v>46136</v>
      </c>
      <c r="E493" s="30" t="s">
        <v>1098</v>
      </c>
      <c r="F493" s="24" t="str">
        <f>VLOOKUP(B493,Custumer_Master!A:D,2,FALSE)</f>
        <v>Arjun Rao</v>
      </c>
      <c r="G493" s="24" t="str">
        <f>VLOOKUP($B493,Custumer_Master!$A:$J,6,FALSE)</f>
        <v>Male</v>
      </c>
      <c r="H493" s="30" t="str">
        <f>VLOOKUP($B493,Custumer_Master!$A:$J,7,FALSE)</f>
        <v>07/02/1988</v>
      </c>
      <c r="I493" s="24" t="str">
        <f>VLOOKUP($B493,Custumer_Master!$A:$J,9,FALSE)</f>
        <v>Hyderabad</v>
      </c>
      <c r="J493" s="24" t="str">
        <f>VLOOKUP($B493,Custumer_Master!$A:$J,10,FALSE)</f>
        <v>South</v>
      </c>
      <c r="K493" s="24" t="str">
        <f>VLOOKUP(B493,Custumer_Master!A:D,4,FALSE)</f>
        <v>RJ</v>
      </c>
      <c r="L493" s="24" t="str">
        <f>PROPER(TRIM(VLOOKUP('Final Data'!C493,Product_Master!A:F,3,FALSE)))</f>
        <v>Home Appliances</v>
      </c>
      <c r="M493" s="24" t="s">
        <v>174</v>
      </c>
      <c r="N493" s="34">
        <v>20</v>
      </c>
      <c r="O493" s="192">
        <f>VLOOKUP(C493,Product_Master!A:F,5,FALSE)</f>
        <v>6375</v>
      </c>
      <c r="P493" s="33">
        <v>0</v>
      </c>
      <c r="Q493" s="34">
        <f t="shared" si="21"/>
        <v>127500</v>
      </c>
      <c r="R493" s="34">
        <v>3</v>
      </c>
      <c r="S493" s="24" t="s">
        <v>2148</v>
      </c>
      <c r="T493" s="24" t="s">
        <v>49</v>
      </c>
      <c r="U493" s="24" t="s">
        <v>89</v>
      </c>
      <c r="V493" s="34">
        <v>9281596011</v>
      </c>
      <c r="W493" s="24" t="str">
        <f>VLOOKUP(C493,Product_Master!A:F,4,FALSE)</f>
        <v>TechHub</v>
      </c>
      <c r="X493" s="34">
        <f>VLOOKUP(C493,Product_Master!A:F,6,FALSE)</f>
        <v>24</v>
      </c>
      <c r="Y493" s="24" t="str">
        <f>VLOOKUP(B493,Custumer_Master!A:D,3,FALSE)</f>
        <v>Silver</v>
      </c>
      <c r="Z493" s="30">
        <f>EDATE(E493,X493)</f>
        <v>46875</v>
      </c>
      <c r="AA493" s="29" t="str">
        <f>VLOOKUP(B493,Custumer_Master!A:K,11,)</f>
        <v>February</v>
      </c>
      <c r="AB493" s="24" t="s">
        <v>2112</v>
      </c>
      <c r="AC493" s="138" t="str">
        <f>PROPER(LEFT(TRIM(F493), 3)) &amp; RIGHT(TRIM(B493), 3) &amp; PROPER(LEFT(TRIM(I493), 2))</f>
        <v>Arj007Hy</v>
      </c>
      <c r="AD493" s="154">
        <f t="shared" ca="1" si="22"/>
        <v>38</v>
      </c>
      <c r="AE493" s="154">
        <f>IFERROR(IF(OR(E493="", D493="", LOWER(TRIM(E493))="pending", LOWER(TRIM(D493))="pending"), "Pending", E493 - D493), "Pending")</f>
        <v>8</v>
      </c>
      <c r="AF493" s="138" t="str">
        <f>IFERROR(IF(OR(E493="", D493="","Pending","Pending"), "Pending", IF((E493 - D493) &lt;= 5, "On Time", "Delayed")), "Pending")</f>
        <v>Delayed</v>
      </c>
      <c r="AG493" s="24" t="str">
        <f t="shared" si="23"/>
        <v>Completed</v>
      </c>
    </row>
    <row r="494" spans="1:33">
      <c r="A494" s="24" t="s">
        <v>2064</v>
      </c>
      <c r="B494" s="24" t="s">
        <v>127</v>
      </c>
      <c r="C494" s="24" t="s">
        <v>72</v>
      </c>
      <c r="D494" s="30">
        <v>45858</v>
      </c>
      <c r="E494" s="30" t="s">
        <v>839</v>
      </c>
      <c r="F494" s="24" t="str">
        <f>VLOOKUP(B494,Custumer_Master!A:D,2,FALSE)</f>
        <v>Rohit Singh</v>
      </c>
      <c r="G494" s="24" t="str">
        <f>VLOOKUP($B494,Custumer_Master!$A:$J,6,FALSE)</f>
        <v>Male</v>
      </c>
      <c r="H494" s="30" t="str">
        <f>VLOOKUP($B494,Custumer_Master!$A:$J,7,FALSE)</f>
        <v>10/05/1982</v>
      </c>
      <c r="I494" s="24" t="str">
        <f>VLOOKUP($B494,Custumer_Master!$A:$J,9,FALSE)</f>
        <v>Delhi</v>
      </c>
      <c r="J494" s="24" t="str">
        <f>VLOOKUP($B494,Custumer_Master!$A:$J,10,FALSE)</f>
        <v>North</v>
      </c>
      <c r="K494" s="24" t="str">
        <f>VLOOKUP(B494,Custumer_Master!A:D,4,FALSE)</f>
        <v>DL</v>
      </c>
      <c r="L494" s="24" t="str">
        <f>PROPER(TRIM(VLOOKUP('Final Data'!C494,Product_Master!A:F,3,FALSE)))</f>
        <v>Electronics</v>
      </c>
      <c r="M494" s="24" t="s">
        <v>78</v>
      </c>
      <c r="N494" s="34">
        <v>11</v>
      </c>
      <c r="O494" s="192">
        <f>VLOOKUP(C494,Product_Master!A:F,5,FALSE)</f>
        <v>900</v>
      </c>
      <c r="P494" s="33">
        <v>0.05</v>
      </c>
      <c r="Q494" s="34">
        <f t="shared" si="21"/>
        <v>9405</v>
      </c>
      <c r="R494" s="34">
        <v>2</v>
      </c>
      <c r="S494" s="24" t="s">
        <v>34</v>
      </c>
      <c r="T494" s="24" t="s">
        <v>35</v>
      </c>
      <c r="U494" s="24" t="s">
        <v>132</v>
      </c>
      <c r="V494" s="34">
        <v>9211734022</v>
      </c>
      <c r="W494" s="24" t="str">
        <f>VLOOKUP(C494,Product_Master!A:F,4,FALSE)</f>
        <v>TechHub</v>
      </c>
      <c r="X494" s="34">
        <f>VLOOKUP(C494,Product_Master!A:F,6,FALSE)</f>
        <v>6</v>
      </c>
      <c r="Y494" s="24" t="str">
        <f>VLOOKUP(B494,Custumer_Master!A:D,3,FALSE)</f>
        <v>Gold</v>
      </c>
      <c r="Z494" s="30">
        <f>EDATE(E494,X494)</f>
        <v>46051</v>
      </c>
      <c r="AA494" s="29" t="str">
        <f>VLOOKUP(B494,Custumer_Master!A:K,11,)</f>
        <v>May</v>
      </c>
      <c r="AB494" s="24" t="s">
        <v>2160</v>
      </c>
      <c r="AC494" s="138" t="str">
        <f>PROPER(LEFT(TRIM(F494), 3)) &amp; RIGHT(TRIM(B494), 3) &amp; PROPER(LEFT(TRIM(I494), 2))</f>
        <v>Roh003De</v>
      </c>
      <c r="AD494" s="154">
        <f t="shared" ca="1" si="22"/>
        <v>44</v>
      </c>
      <c r="AE494" s="154">
        <f>IFERROR(IF(OR(E494="", D494="", LOWER(TRIM(E494))="pending", LOWER(TRIM(D494))="pending"), "Pending", E494 - D494), "Pending")</f>
        <v>9</v>
      </c>
      <c r="AF494" s="138" t="str">
        <f>IFERROR(IF(OR(E494="", D494="","Pending","Pending"), "Pending", IF((E494 - D494) &lt;= 5, "On Time", "Delayed")), "Pending")</f>
        <v>Delayed</v>
      </c>
      <c r="AG494" s="24" t="str">
        <f t="shared" si="23"/>
        <v>Completed</v>
      </c>
    </row>
    <row r="495" spans="1:33">
      <c r="A495" s="24" t="s">
        <v>2068</v>
      </c>
      <c r="B495" s="24" t="s">
        <v>83</v>
      </c>
      <c r="C495" s="24" t="s">
        <v>184</v>
      </c>
      <c r="D495" s="30">
        <v>45867</v>
      </c>
      <c r="E495" s="30" t="s">
        <v>756</v>
      </c>
      <c r="F495" s="24" t="str">
        <f>VLOOKUP(B495,Custumer_Master!A:D,2,FALSE)</f>
        <v>Arjun Rao</v>
      </c>
      <c r="G495" s="24" t="str">
        <f>VLOOKUP($B495,Custumer_Master!$A:$J,6,FALSE)</f>
        <v>Male</v>
      </c>
      <c r="H495" s="30" t="str">
        <f>VLOOKUP($B495,Custumer_Master!$A:$J,7,FALSE)</f>
        <v>07/02/1988</v>
      </c>
      <c r="I495" s="24" t="str">
        <f>VLOOKUP($B495,Custumer_Master!$A:$J,9,FALSE)</f>
        <v>Hyderabad</v>
      </c>
      <c r="J495" s="24" t="str">
        <f>VLOOKUP($B495,Custumer_Master!$A:$J,10,FALSE)</f>
        <v>South</v>
      </c>
      <c r="K495" s="24" t="str">
        <f>VLOOKUP(B495,Custumer_Master!A:D,4,FALSE)</f>
        <v>RJ</v>
      </c>
      <c r="L495" s="24" t="str">
        <f>PROPER(TRIM(VLOOKUP('Final Data'!C495,Product_Master!A:F,3,FALSE)))</f>
        <v>Electronics</v>
      </c>
      <c r="M495" s="24" t="s">
        <v>189</v>
      </c>
      <c r="N495" s="34">
        <v>14</v>
      </c>
      <c r="O495" s="192">
        <f>VLOOKUP(C495,Product_Master!A:F,5,FALSE)</f>
        <v>525</v>
      </c>
      <c r="P495" s="33">
        <v>0</v>
      </c>
      <c r="Q495" s="34">
        <f t="shared" si="21"/>
        <v>7350</v>
      </c>
      <c r="R495" s="34">
        <v>2</v>
      </c>
      <c r="S495" s="24" t="s">
        <v>79</v>
      </c>
      <c r="T495" s="24" t="s">
        <v>151</v>
      </c>
      <c r="U495" s="24" t="s">
        <v>89</v>
      </c>
      <c r="V495" s="34">
        <v>9447151666</v>
      </c>
      <c r="W495" s="24" t="str">
        <f>VLOOKUP(C495,Product_Master!A:F,4,FALSE)</f>
        <v>TechHub</v>
      </c>
      <c r="X495" s="34">
        <f>VLOOKUP(C495,Product_Master!A:F,6,FALSE)</f>
        <v>24</v>
      </c>
      <c r="Y495" s="24" t="str">
        <f>VLOOKUP(B495,Custumer_Master!A:D,3,FALSE)</f>
        <v>Silver</v>
      </c>
      <c r="Z495" s="30">
        <f>EDATE(E495,X495)</f>
        <v>46600</v>
      </c>
      <c r="AA495" s="29" t="str">
        <f>VLOOKUP(B495,Custumer_Master!A:K,11,)</f>
        <v>February</v>
      </c>
      <c r="AB495" s="24" t="s">
        <v>2160</v>
      </c>
      <c r="AC495" s="138" t="str">
        <f>PROPER(LEFT(TRIM(F495), 3)) &amp; RIGHT(TRIM(B495), 3) &amp; PROPER(LEFT(TRIM(I495), 2))</f>
        <v>Arj007Hy</v>
      </c>
      <c r="AD495" s="154">
        <f t="shared" ca="1" si="22"/>
        <v>38</v>
      </c>
      <c r="AE495" s="154">
        <f>IFERROR(IF(OR(E495="", D495="", LOWER(TRIM(E495))="pending", LOWER(TRIM(D495))="pending"), "Pending", E495 - D495), "Pending")</f>
        <v>3</v>
      </c>
      <c r="AF495" s="138" t="str">
        <f>IFERROR(IF(OR(E495="", D495="","Pending","Pending"), "Pending", IF((E495 - D495) &lt;= 5, "On Time", "Delayed")), "Pending")</f>
        <v>On Time</v>
      </c>
      <c r="AG495" s="24" t="str">
        <f t="shared" si="23"/>
        <v>Completed</v>
      </c>
    </row>
    <row r="496" spans="1:33">
      <c r="A496" s="24" t="s">
        <v>2071</v>
      </c>
      <c r="B496" s="24" t="s">
        <v>71</v>
      </c>
      <c r="C496" s="24" t="s">
        <v>72</v>
      </c>
      <c r="D496" s="30">
        <v>45951</v>
      </c>
      <c r="E496" s="30" t="s">
        <v>1650</v>
      </c>
      <c r="F496" s="24" t="str">
        <f>VLOOKUP(B496,Custumer_Master!A:D,2,FALSE)</f>
        <v>Mohit Verma</v>
      </c>
      <c r="G496" s="24" t="str">
        <f>VLOOKUP($B496,Custumer_Master!$A:$J,6,FALSE)</f>
        <v>Male</v>
      </c>
      <c r="H496" s="30" t="str">
        <f>VLOOKUP($B496,Custumer_Master!$A:$J,7,FALSE)</f>
        <v>13/04/1976</v>
      </c>
      <c r="I496" s="24" t="str">
        <f>VLOOKUP($B496,Custumer_Master!$A:$J,9,FALSE)</f>
        <v>Delhi</v>
      </c>
      <c r="J496" s="24" t="str">
        <f>VLOOKUP($B496,Custumer_Master!$A:$J,10,FALSE)</f>
        <v>North</v>
      </c>
      <c r="K496" s="24" t="str">
        <f>VLOOKUP(B496,Custumer_Master!A:D,4,FALSE)</f>
        <v>KA</v>
      </c>
      <c r="L496" s="24" t="str">
        <f>PROPER(TRIM(VLOOKUP('Final Data'!C496,Product_Master!A:F,3,FALSE)))</f>
        <v>Electronics</v>
      </c>
      <c r="M496" s="24" t="s">
        <v>78</v>
      </c>
      <c r="N496" s="34">
        <v>16</v>
      </c>
      <c r="O496" s="192">
        <f>VLOOKUP(C496,Product_Master!A:F,5,FALSE)</f>
        <v>900</v>
      </c>
      <c r="P496" s="33">
        <v>0.15</v>
      </c>
      <c r="Q496" s="34">
        <f t="shared" si="21"/>
        <v>12240</v>
      </c>
      <c r="R496" s="34">
        <v>4</v>
      </c>
      <c r="S496" s="24" t="s">
        <v>34</v>
      </c>
      <c r="T496" s="24" t="s">
        <v>151</v>
      </c>
      <c r="U496" s="24" t="s">
        <v>80</v>
      </c>
      <c r="V496" s="34">
        <v>9345342793</v>
      </c>
      <c r="W496" s="24" t="str">
        <f>VLOOKUP(C496,Product_Master!A:F,4,FALSE)</f>
        <v>TechHub</v>
      </c>
      <c r="X496" s="34">
        <f>VLOOKUP(C496,Product_Master!A:F,6,FALSE)</f>
        <v>6</v>
      </c>
      <c r="Y496" s="24" t="str">
        <f>VLOOKUP(B496,Custumer_Master!A:D,3,FALSE)</f>
        <v>Platinum</v>
      </c>
      <c r="Z496" s="30">
        <f>EDATE(E496,X496)</f>
        <v>46143</v>
      </c>
      <c r="AA496" s="29" t="str">
        <f>VLOOKUP(B496,Custumer_Master!A:K,11,)</f>
        <v>April</v>
      </c>
      <c r="AB496" s="24" t="s">
        <v>2108</v>
      </c>
      <c r="AC496" s="138" t="str">
        <f>PROPER(LEFT(TRIM(F496), 3)) &amp; RIGHT(TRIM(B496), 3) &amp; PROPER(LEFT(TRIM(I496), 2))</f>
        <v>Moh009De</v>
      </c>
      <c r="AD496" s="154">
        <f t="shared" ca="1" si="22"/>
        <v>50</v>
      </c>
      <c r="AE496" s="154">
        <f>IFERROR(IF(OR(E496="", D496="", LOWER(TRIM(E496))="pending", LOWER(TRIM(D496))="pending"), "Pending", E496 - D496), "Pending")</f>
        <v>11</v>
      </c>
      <c r="AF496" s="138" t="str">
        <f>IFERROR(IF(OR(E496="", D496="","Pending","Pending"), "Pending", IF((E496 - D496) &lt;= 5, "On Time", "Delayed")), "Pending")</f>
        <v>Delayed</v>
      </c>
      <c r="AG496" s="24" t="str">
        <f t="shared" si="23"/>
        <v>Completed</v>
      </c>
    </row>
    <row r="497" spans="1:33">
      <c r="A497" s="24" t="s">
        <v>2074</v>
      </c>
      <c r="B497" s="24" t="s">
        <v>168</v>
      </c>
      <c r="C497" s="24" t="s">
        <v>24</v>
      </c>
      <c r="D497" s="30">
        <v>46098</v>
      </c>
      <c r="E497" s="30" t="s">
        <v>1932</v>
      </c>
      <c r="F497" s="24" t="str">
        <f>VLOOKUP(B497,Custumer_Master!A:D,2,FALSE)</f>
        <v>Anita Gupta</v>
      </c>
      <c r="G497" s="24" t="str">
        <f>VLOOKUP($B497,Custumer_Master!$A:$J,6,FALSE)</f>
        <v>Female</v>
      </c>
      <c r="H497" s="30" t="str">
        <f>VLOOKUP($B497,Custumer_Master!$A:$J,7,FALSE)</f>
        <v>16/01/2002</v>
      </c>
      <c r="I497" s="24" t="str">
        <f>VLOOKUP($B497,Custumer_Master!$A:$J,9,FALSE)</f>
        <v>Pune</v>
      </c>
      <c r="J497" s="24" t="str">
        <f>VLOOKUP($B497,Custumer_Master!$A:$J,10,FALSE)</f>
        <v>West</v>
      </c>
      <c r="K497" s="24" t="str">
        <f>VLOOKUP(B497,Custumer_Master!A:D,4,FALSE)</f>
        <v>WB</v>
      </c>
      <c r="L497" s="24" t="str">
        <f>PROPER(TRIM(VLOOKUP('Final Data'!C497,Product_Master!A:F,3,FALSE)))</f>
        <v>Home Appliances</v>
      </c>
      <c r="M497" s="24" t="s">
        <v>33</v>
      </c>
      <c r="N497" s="34">
        <v>20</v>
      </c>
      <c r="O497" s="192">
        <f>VLOOKUP(C497,Product_Master!A:F,5,FALSE)</f>
        <v>1650</v>
      </c>
      <c r="P497" s="33">
        <v>0</v>
      </c>
      <c r="Q497" s="34">
        <f t="shared" si="21"/>
        <v>33000</v>
      </c>
      <c r="R497" s="34">
        <v>5</v>
      </c>
      <c r="S497" s="24" t="s">
        <v>34</v>
      </c>
      <c r="T497" s="24" t="s">
        <v>35</v>
      </c>
      <c r="U497" s="24" t="s">
        <v>175</v>
      </c>
      <c r="V497" s="34">
        <v>9329668173</v>
      </c>
      <c r="W497" s="24" t="str">
        <f>VLOOKUP(C497,Product_Master!A:F,4,FALSE)</f>
        <v>Global Trade</v>
      </c>
      <c r="X497" s="34">
        <f>VLOOKUP(C497,Product_Master!A:F,6,FALSE)</f>
        <v>24</v>
      </c>
      <c r="Y497" s="24" t="str">
        <f>VLOOKUP(B497,Custumer_Master!A:D,3,FALSE)</f>
        <v>Gold</v>
      </c>
      <c r="Z497" s="30">
        <f>EDATE(E497,X497)</f>
        <v>46841</v>
      </c>
      <c r="AA497" s="29" t="str">
        <f>VLOOKUP(B497,Custumer_Master!A:K,11,)</f>
        <v>January</v>
      </c>
      <c r="AB497" s="24" t="s">
        <v>2108</v>
      </c>
      <c r="AC497" s="138" t="str">
        <f>PROPER(LEFT(TRIM(F497), 3)) &amp; RIGHT(TRIM(B497), 3) &amp; PROPER(LEFT(TRIM(I497), 2))</f>
        <v>Ani004Pu</v>
      </c>
      <c r="AD497" s="154">
        <f t="shared" ca="1" si="22"/>
        <v>24</v>
      </c>
      <c r="AE497" s="154">
        <f>IFERROR(IF(OR(E497="", D497="", LOWER(TRIM(E497))="pending", LOWER(TRIM(D497))="pending"), "Pending", E497 - D497), "Pending")</f>
        <v>12</v>
      </c>
      <c r="AF497" s="138" t="str">
        <f>IFERROR(IF(OR(E497="", D497="","Pending","Pending"), "Pending", IF((E497 - D497) &lt;= 5, "On Time", "Delayed")), "Pending")</f>
        <v>Delayed</v>
      </c>
      <c r="AG497" s="24" t="str">
        <f t="shared" si="23"/>
        <v>Completed</v>
      </c>
    </row>
    <row r="498" spans="1:33">
      <c r="A498" s="24" t="s">
        <v>2078</v>
      </c>
      <c r="B498" s="24" t="s">
        <v>83</v>
      </c>
      <c r="C498" s="24" t="s">
        <v>40</v>
      </c>
      <c r="D498" s="30">
        <v>45711</v>
      </c>
      <c r="E498" s="30" t="s">
        <v>272</v>
      </c>
      <c r="F498" s="24" t="str">
        <f>VLOOKUP(B498,Custumer_Master!A:D,2,FALSE)</f>
        <v>Arjun Rao</v>
      </c>
      <c r="G498" s="24" t="str">
        <f>VLOOKUP($B498,Custumer_Master!$A:$J,6,FALSE)</f>
        <v>Male</v>
      </c>
      <c r="H498" s="30" t="str">
        <f>VLOOKUP($B498,Custumer_Master!$A:$J,7,FALSE)</f>
        <v>07/02/1988</v>
      </c>
      <c r="I498" s="24" t="str">
        <f>VLOOKUP($B498,Custumer_Master!$A:$J,9,FALSE)</f>
        <v>Hyderabad</v>
      </c>
      <c r="J498" s="24" t="str">
        <f>VLOOKUP($B498,Custumer_Master!$A:$J,10,FALSE)</f>
        <v>South</v>
      </c>
      <c r="K498" s="24" t="str">
        <f>VLOOKUP(B498,Custumer_Master!A:D,4,FALSE)</f>
        <v>RJ</v>
      </c>
      <c r="L498" s="24" t="str">
        <f>PROPER(TRIM(VLOOKUP('Final Data'!C498,Product_Master!A:F,3,FALSE)))</f>
        <v>Electronics</v>
      </c>
      <c r="M498" s="24" t="s">
        <v>47</v>
      </c>
      <c r="N498" s="34">
        <v>12</v>
      </c>
      <c r="O498" s="192">
        <f>VLOOKUP(C498,Product_Master!A:F,5,FALSE)</f>
        <v>9000</v>
      </c>
      <c r="P498" s="33">
        <v>0.15</v>
      </c>
      <c r="Q498" s="34">
        <f t="shared" si="21"/>
        <v>91800</v>
      </c>
      <c r="R498" s="34">
        <v>5</v>
      </c>
      <c r="S498" s="24" t="s">
        <v>34</v>
      </c>
      <c r="T498" s="24" t="s">
        <v>151</v>
      </c>
      <c r="U498" s="24" t="s">
        <v>89</v>
      </c>
      <c r="V498" s="34">
        <v>9294740227</v>
      </c>
      <c r="W498" s="24" t="str">
        <f>VLOOKUP(C498,Product_Master!A:F,4,FALSE)</f>
        <v>Global Trade</v>
      </c>
      <c r="X498" s="34">
        <f>VLOOKUP(C498,Product_Master!A:F,6,FALSE)</f>
        <v>24</v>
      </c>
      <c r="Y498" s="24" t="str">
        <f>VLOOKUP(B498,Custumer_Master!A:D,3,FALSE)</f>
        <v>Silver</v>
      </c>
      <c r="Z498" s="30">
        <f>EDATE(E498,X498)</f>
        <v>46453</v>
      </c>
      <c r="AA498" s="29" t="str">
        <f>VLOOKUP(B498,Custumer_Master!A:K,11,)</f>
        <v>February</v>
      </c>
      <c r="AB498" s="24" t="s">
        <v>2112</v>
      </c>
      <c r="AC498" s="138" t="str">
        <f>PROPER(LEFT(TRIM(F498), 3)) &amp; RIGHT(TRIM(B498), 3) &amp; PROPER(LEFT(TRIM(I498), 2))</f>
        <v>Arj007Hy</v>
      </c>
      <c r="AD498" s="154">
        <f t="shared" ca="1" si="22"/>
        <v>38</v>
      </c>
      <c r="AE498" s="154">
        <f>IFERROR(IF(OR(E498="", D498="", LOWER(TRIM(E498))="pending", LOWER(TRIM(D498))="pending"), "Pending", E498 - D498), "Pending")</f>
        <v>12</v>
      </c>
      <c r="AF498" s="138" t="str">
        <f>IFERROR(IF(OR(E498="", D498="","Pending","Pending"), "Pending", IF((E498 - D498) &lt;= 5, "On Time", "Delayed")), "Pending")</f>
        <v>Delayed</v>
      </c>
      <c r="AG498" s="24" t="str">
        <f t="shared" si="23"/>
        <v>Completed</v>
      </c>
    </row>
    <row r="499" spans="1:33">
      <c r="A499" s="24" t="s">
        <v>2081</v>
      </c>
      <c r="B499" s="24" t="s">
        <v>221</v>
      </c>
      <c r="C499" s="24" t="s">
        <v>72</v>
      </c>
      <c r="D499" s="30">
        <v>46002</v>
      </c>
      <c r="E499" s="30" t="s">
        <v>611</v>
      </c>
      <c r="F499" s="24" t="str">
        <f>VLOOKUP(B499,Custumer_Master!A:D,2,FALSE)</f>
        <v>Vikas Mehta</v>
      </c>
      <c r="G499" s="24" t="str">
        <f>VLOOKUP($B499,Custumer_Master!$A:$J,6,FALSE)</f>
        <v>Male</v>
      </c>
      <c r="H499" s="30" t="str">
        <f>VLOOKUP($B499,Custumer_Master!$A:$J,7,FALSE)</f>
        <v>03/08/1991</v>
      </c>
      <c r="I499" s="24" t="str">
        <f>VLOOKUP($B499,Custumer_Master!$A:$J,9,FALSE)</f>
        <v>Mumbai</v>
      </c>
      <c r="J499" s="24" t="str">
        <f>VLOOKUP($B499,Custumer_Master!$A:$J,10,FALSE)</f>
        <v>West</v>
      </c>
      <c r="K499" s="24" t="str">
        <f>VLOOKUP(B499,Custumer_Master!A:D,4,FALSE)</f>
        <v>DL</v>
      </c>
      <c r="L499" s="24" t="str">
        <f>PROPER(TRIM(VLOOKUP('Final Data'!C499,Product_Master!A:F,3,FALSE)))</f>
        <v>Electronics</v>
      </c>
      <c r="M499" s="24" t="s">
        <v>78</v>
      </c>
      <c r="N499" s="34">
        <v>3</v>
      </c>
      <c r="O499" s="192">
        <f>VLOOKUP(C499,Product_Master!A:F,5,FALSE)</f>
        <v>900</v>
      </c>
      <c r="P499" s="33">
        <v>0.2</v>
      </c>
      <c r="Q499" s="34">
        <f t="shared" si="21"/>
        <v>2160</v>
      </c>
      <c r="R499" s="34">
        <v>2</v>
      </c>
      <c r="S499" s="24" t="s">
        <v>2148</v>
      </c>
      <c r="T499" s="24" t="s">
        <v>115</v>
      </c>
      <c r="U499" s="24" t="s">
        <v>228</v>
      </c>
      <c r="V499" s="34">
        <v>9549426303</v>
      </c>
      <c r="W499" s="24" t="str">
        <f>VLOOKUP(C499,Product_Master!A:F,4,FALSE)</f>
        <v>TechHub</v>
      </c>
      <c r="X499" s="34">
        <f>VLOOKUP(C499,Product_Master!A:F,6,FALSE)</f>
        <v>6</v>
      </c>
      <c r="Y499" s="24" t="str">
        <f>VLOOKUP(B499,Custumer_Master!A:D,3,FALSE)</f>
        <v>Gold</v>
      </c>
      <c r="Z499" s="30">
        <f>EDATE(E499,X499)</f>
        <v>46193</v>
      </c>
      <c r="AA499" s="29" t="str">
        <f>VLOOKUP(B499,Custumer_Master!A:K,11,)</f>
        <v>August</v>
      </c>
      <c r="AB499" s="24" t="s">
        <v>2160</v>
      </c>
      <c r="AC499" s="138" t="str">
        <f>PROPER(LEFT(TRIM(F499), 3)) &amp; RIGHT(TRIM(B499), 3) &amp; PROPER(LEFT(TRIM(I499), 2))</f>
        <v>Vik005Mu</v>
      </c>
      <c r="AD499" s="154">
        <f t="shared" ca="1" si="22"/>
        <v>34</v>
      </c>
      <c r="AE499" s="154">
        <f>IFERROR(IF(OR(E499="", D499="", LOWER(TRIM(E499))="pending", LOWER(TRIM(D499))="pending"), "Pending", E499 - D499), "Pending")</f>
        <v>9</v>
      </c>
      <c r="AF499" s="138" t="str">
        <f>IFERROR(IF(OR(E499="", D499="","Pending","Pending"), "Pending", IF((E499 - D499) &lt;= 5, "On Time", "Delayed")), "Pending")</f>
        <v>Delayed</v>
      </c>
      <c r="AG499" s="24" t="str">
        <f t="shared" si="23"/>
        <v>Completed</v>
      </c>
    </row>
    <row r="500" spans="1:33">
      <c r="A500" s="24" t="s">
        <v>2084</v>
      </c>
      <c r="B500" s="24" t="s">
        <v>100</v>
      </c>
      <c r="C500" s="24" t="s">
        <v>54</v>
      </c>
      <c r="D500" s="30">
        <v>45842</v>
      </c>
      <c r="E500" s="30" t="s">
        <v>2085</v>
      </c>
      <c r="F500" s="24" t="str">
        <f>VLOOKUP(B500,Custumer_Master!A:D,2,FALSE)</f>
        <v>Priya Patel</v>
      </c>
      <c r="G500" s="24" t="str">
        <f>VLOOKUP($B500,Custumer_Master!$A:$J,6,FALSE)</f>
        <v>Female</v>
      </c>
      <c r="H500" s="30" t="str">
        <f>VLOOKUP($B500,Custumer_Master!$A:$J,7,FALSE)</f>
        <v>07/03/1995</v>
      </c>
      <c r="I500" s="24" t="str">
        <f>VLOOKUP($B500,Custumer_Master!$A:$J,9,FALSE)</f>
        <v>Mumbai</v>
      </c>
      <c r="J500" s="24" t="str">
        <f>VLOOKUP($B500,Custumer_Master!$A:$J,10,FALSE)</f>
        <v>West</v>
      </c>
      <c r="K500" s="24" t="str">
        <f>VLOOKUP(B500,Custumer_Master!A:D,4,FALSE)</f>
        <v>WB</v>
      </c>
      <c r="L500" s="24" t="str">
        <f>PROPER(TRIM(VLOOKUP('Final Data'!C500,Product_Master!A:F,3,FALSE)))</f>
        <v>Electronics</v>
      </c>
      <c r="M500" s="24" t="s">
        <v>60</v>
      </c>
      <c r="N500" s="34">
        <v>6</v>
      </c>
      <c r="O500" s="192">
        <f>VLOOKUP(C500,Product_Master!A:F,5,FALSE)</f>
        <v>41250</v>
      </c>
      <c r="P500" s="33">
        <v>0.2</v>
      </c>
      <c r="Q500" s="34">
        <f t="shared" si="21"/>
        <v>198000</v>
      </c>
      <c r="R500" s="34">
        <v>3</v>
      </c>
      <c r="S500" s="24" t="s">
        <v>34</v>
      </c>
      <c r="T500" s="24" t="s">
        <v>151</v>
      </c>
      <c r="U500" s="24" t="s">
        <v>144</v>
      </c>
      <c r="V500" s="34">
        <v>9374249303</v>
      </c>
      <c r="W500" s="24" t="str">
        <f>VLOOKUP(C500,Product_Master!A:F,4,FALSE)</f>
        <v>TechHub</v>
      </c>
      <c r="X500" s="34">
        <f>VLOOKUP(C500,Product_Master!A:F,6,FALSE)</f>
        <v>12</v>
      </c>
      <c r="Y500" s="24" t="str">
        <f>VLOOKUP(B500,Custumer_Master!A:D,3,FALSE)</f>
        <v>Platinum</v>
      </c>
      <c r="Z500" s="30">
        <f>EDATE(E500,X500)</f>
        <v>46208</v>
      </c>
      <c r="AA500" s="29" t="str">
        <f>VLOOKUP(B500,Custumer_Master!A:K,11,)</f>
        <v>March</v>
      </c>
      <c r="AB500" s="24" t="s">
        <v>2112</v>
      </c>
      <c r="AC500" s="138" t="str">
        <f>PROPER(LEFT(TRIM(F500), 3)) &amp; RIGHT(TRIM(B500), 3) &amp; PROPER(LEFT(TRIM(I500), 2))</f>
        <v>Pri002Mu</v>
      </c>
      <c r="AD500" s="154">
        <f t="shared" ca="1" si="22"/>
        <v>31</v>
      </c>
      <c r="AE500" s="154">
        <f>IFERROR(IF(OR(E500="", D500="", LOWER(TRIM(E500))="pending", LOWER(TRIM(D500))="pending"), "Pending", E500 - D500), "Pending")</f>
        <v>1</v>
      </c>
      <c r="AF500" s="138" t="str">
        <f>IFERROR(IF(OR(E500="", D500="","Pending","Pending"), "Pending", IF((E500 - D500) &lt;= 5, "On Time", "Delayed")), "Pending")</f>
        <v>On Time</v>
      </c>
      <c r="AG500" s="24" t="str">
        <f t="shared" si="23"/>
        <v>Completed</v>
      </c>
    </row>
    <row r="501" spans="1:33">
      <c r="A501" s="24" t="s">
        <v>2089</v>
      </c>
      <c r="B501" s="24" t="s">
        <v>100</v>
      </c>
      <c r="C501" s="24" t="s">
        <v>92</v>
      </c>
      <c r="D501" s="30">
        <v>45916</v>
      </c>
      <c r="E501" s="30" t="s">
        <v>129</v>
      </c>
      <c r="F501" s="24" t="str">
        <f>VLOOKUP(B501,Custumer_Master!A:D,2,FALSE)</f>
        <v>Priya Patel</v>
      </c>
      <c r="G501" s="24" t="str">
        <f>VLOOKUP($B501,Custumer_Master!$A:$J,6,FALSE)</f>
        <v>Female</v>
      </c>
      <c r="H501" s="30" t="str">
        <f>VLOOKUP($B501,Custumer_Master!$A:$J,7,FALSE)</f>
        <v>07/03/1995</v>
      </c>
      <c r="I501" s="24" t="str">
        <f>VLOOKUP($B501,Custumer_Master!$A:$J,9,FALSE)</f>
        <v>Mumbai</v>
      </c>
      <c r="J501" s="24" t="str">
        <f>VLOOKUP($B501,Custumer_Master!$A:$J,10,FALSE)</f>
        <v>West</v>
      </c>
      <c r="K501" s="24" t="str">
        <f>VLOOKUP(B501,Custumer_Master!A:D,4,FALSE)</f>
        <v>WB</v>
      </c>
      <c r="L501" s="24" t="str">
        <f>PROPER(TRIM(VLOOKUP('Final Data'!C501,Product_Master!A:F,3,FALSE)))</f>
        <v>Home Appliances</v>
      </c>
      <c r="M501" s="24" t="s">
        <v>97</v>
      </c>
      <c r="N501" s="34">
        <v>20</v>
      </c>
      <c r="O501" s="192">
        <f>VLOOKUP(C501,Product_Master!A:F,5,FALSE)</f>
        <v>2625</v>
      </c>
      <c r="P501" s="33">
        <v>0</v>
      </c>
      <c r="Q501" s="34">
        <f t="shared" si="21"/>
        <v>52500</v>
      </c>
      <c r="R501" s="34">
        <v>1</v>
      </c>
      <c r="S501" s="24" t="s">
        <v>2148</v>
      </c>
      <c r="T501" s="24" t="s">
        <v>151</v>
      </c>
      <c r="U501" s="24" t="s">
        <v>144</v>
      </c>
      <c r="V501" s="34">
        <v>9810334941</v>
      </c>
      <c r="W501" s="24" t="str">
        <f>VLOOKUP(C501,Product_Master!A:F,4,FALSE)</f>
        <v>Global Trade</v>
      </c>
      <c r="X501" s="34">
        <f>VLOOKUP(C501,Product_Master!A:F,6,FALSE)</f>
        <v>6</v>
      </c>
      <c r="Y501" s="24" t="str">
        <f>VLOOKUP(B501,Custumer_Master!A:D,3,FALSE)</f>
        <v>Platinum</v>
      </c>
      <c r="Z501" s="30">
        <f>EDATE(E501,X501)</f>
        <v>46104</v>
      </c>
      <c r="AA501" s="29" t="str">
        <f>VLOOKUP(B501,Custumer_Master!A:K,11,)</f>
        <v>March</v>
      </c>
      <c r="AB501" s="24" t="s">
        <v>2160</v>
      </c>
      <c r="AC501" s="138" t="str">
        <f>PROPER(LEFT(TRIM(F501), 3)) &amp; RIGHT(TRIM(B501), 3) &amp; PROPER(LEFT(TRIM(I501), 2))</f>
        <v>Pri002Mu</v>
      </c>
      <c r="AD501" s="154">
        <f t="shared" ca="1" si="22"/>
        <v>31</v>
      </c>
      <c r="AE501" s="154">
        <f>IFERROR(IF(OR(E501="", D501="", LOWER(TRIM(E501))="pending", LOWER(TRIM(D501))="pending"), "Pending", E501 - D501), "Pending")</f>
        <v>7</v>
      </c>
      <c r="AF501" s="138" t="str">
        <f>IFERROR(IF(OR(E501="", D501="","Pending","Pending"), "Pending", IF((E501 - D501) &lt;= 5, "On Time", "Delayed")), "Pending")</f>
        <v>Delayed</v>
      </c>
      <c r="AG501" s="24" t="str">
        <f t="shared" si="23"/>
        <v>Completed</v>
      </c>
    </row>
    <row r="502" spans="1:33" s="39" customFormat="1">
      <c r="A502" s="38"/>
      <c r="B502" s="38"/>
      <c r="C502" s="38"/>
      <c r="D502" s="48"/>
      <c r="E502" s="48"/>
      <c r="O502" s="153"/>
      <c r="Q502" s="153"/>
      <c r="R502" s="153"/>
      <c r="AB502" s="38"/>
      <c r="AE502" s="153"/>
    </row>
    <row r="503" spans="1:33" s="39" customFormat="1">
      <c r="A503" s="38"/>
      <c r="B503" s="38"/>
      <c r="C503" s="38"/>
      <c r="D503" s="48"/>
      <c r="E503" s="48"/>
      <c r="O503" s="153"/>
      <c r="Q503" s="153"/>
      <c r="R503" s="153"/>
      <c r="AB503" s="38"/>
      <c r="AE503" s="153"/>
    </row>
    <row r="504" spans="1:33" s="39" customFormat="1">
      <c r="A504" s="38"/>
      <c r="B504" s="38"/>
      <c r="C504" s="38"/>
      <c r="D504" s="48"/>
      <c r="E504" s="48"/>
      <c r="O504" s="153"/>
      <c r="Q504" s="153"/>
      <c r="R504" s="153"/>
      <c r="AB504" s="38"/>
      <c r="AE504" s="153"/>
    </row>
    <row r="505" spans="1:33" s="39" customFormat="1">
      <c r="A505" s="38"/>
      <c r="B505" s="38"/>
      <c r="C505" s="38"/>
      <c r="D505" s="48"/>
      <c r="E505" s="48"/>
      <c r="O505" s="153"/>
      <c r="Q505" s="153"/>
      <c r="R505" s="153"/>
      <c r="AB505" s="38"/>
      <c r="AE505" s="153"/>
    </row>
    <row r="506" spans="1:33" s="39" customFormat="1">
      <c r="A506" s="38"/>
      <c r="B506" s="38"/>
      <c r="C506" s="38"/>
      <c r="D506" s="48"/>
      <c r="E506" s="48"/>
      <c r="O506" s="153"/>
      <c r="Q506" s="153"/>
      <c r="R506" s="153"/>
      <c r="AB506" s="38"/>
      <c r="AE506" s="153"/>
    </row>
    <row r="507" spans="1:33" s="39" customFormat="1">
      <c r="A507" s="38"/>
      <c r="B507" s="38"/>
      <c r="C507" s="38"/>
      <c r="D507" s="48"/>
      <c r="E507" s="48"/>
      <c r="O507" s="153"/>
      <c r="Q507" s="153"/>
      <c r="R507" s="153"/>
      <c r="AB507" s="38"/>
      <c r="AE507" s="153"/>
    </row>
    <row r="508" spans="1:33" s="39" customFormat="1">
      <c r="A508" s="38"/>
      <c r="B508" s="38"/>
      <c r="C508" s="38"/>
      <c r="D508" s="48"/>
      <c r="E508" s="48"/>
      <c r="O508" s="153"/>
      <c r="Q508" s="153"/>
      <c r="R508" s="153"/>
      <c r="AB508" s="38"/>
      <c r="AE508" s="153"/>
    </row>
    <row r="509" spans="1:33" s="39" customFormat="1">
      <c r="A509" s="38"/>
      <c r="B509" s="38"/>
      <c r="C509" s="38"/>
      <c r="D509" s="48"/>
      <c r="E509" s="48"/>
      <c r="O509" s="153"/>
      <c r="Q509" s="153"/>
      <c r="R509" s="153"/>
      <c r="AB509" s="38"/>
      <c r="AE509" s="153"/>
    </row>
    <row r="510" spans="1:33" s="39" customFormat="1">
      <c r="A510" s="38"/>
      <c r="B510" s="38"/>
      <c r="C510" s="38"/>
      <c r="D510" s="48"/>
      <c r="E510" s="48"/>
      <c r="O510" s="153"/>
      <c r="Q510" s="153"/>
      <c r="R510" s="153"/>
      <c r="AB510" s="38"/>
      <c r="AE510" s="153"/>
    </row>
    <row r="511" spans="1:33" s="39" customFormat="1">
      <c r="A511" s="38"/>
      <c r="B511" s="38"/>
      <c r="C511" s="38"/>
      <c r="D511" s="48"/>
      <c r="E511" s="48"/>
      <c r="O511" s="153"/>
      <c r="Q511" s="153"/>
      <c r="R511" s="153"/>
      <c r="AB511" s="38"/>
      <c r="AE511" s="153"/>
    </row>
    <row r="512" spans="1:33" s="39" customFormat="1">
      <c r="A512" s="38"/>
      <c r="B512" s="38"/>
      <c r="C512" s="38"/>
      <c r="D512" s="48"/>
      <c r="E512" s="48"/>
      <c r="O512" s="153"/>
      <c r="Q512" s="153"/>
      <c r="R512" s="153"/>
      <c r="AB512" s="38"/>
      <c r="AE512" s="153"/>
    </row>
    <row r="513" spans="1:31" s="39" customFormat="1">
      <c r="A513" s="38"/>
      <c r="B513" s="38"/>
      <c r="C513" s="38"/>
      <c r="D513" s="48"/>
      <c r="E513" s="48"/>
      <c r="O513" s="153"/>
      <c r="Q513" s="153"/>
      <c r="R513" s="153"/>
      <c r="AB513" s="38"/>
      <c r="AE513" s="153"/>
    </row>
    <row r="514" spans="1:31" s="39" customFormat="1">
      <c r="A514" s="38"/>
      <c r="B514" s="38"/>
      <c r="C514" s="38"/>
      <c r="D514" s="48"/>
      <c r="E514" s="48"/>
      <c r="O514" s="153"/>
      <c r="Q514" s="153"/>
      <c r="R514" s="153"/>
      <c r="AB514" s="38"/>
      <c r="AE514" s="153"/>
    </row>
    <row r="515" spans="1:31" s="39" customFormat="1">
      <c r="A515" s="38"/>
      <c r="B515" s="38"/>
      <c r="C515" s="38"/>
      <c r="D515" s="48"/>
      <c r="E515" s="48"/>
      <c r="O515" s="153"/>
      <c r="Q515" s="153"/>
      <c r="R515" s="153"/>
      <c r="AB515" s="38"/>
      <c r="AE515" s="153"/>
    </row>
    <row r="516" spans="1:31" s="39" customFormat="1">
      <c r="A516" s="38"/>
      <c r="B516" s="38"/>
      <c r="C516" s="38"/>
      <c r="D516" s="48"/>
      <c r="E516" s="48"/>
      <c r="O516" s="153"/>
      <c r="Q516" s="153"/>
      <c r="R516" s="153"/>
      <c r="AB516" s="38"/>
      <c r="AE516" s="153"/>
    </row>
    <row r="517" spans="1:31" s="39" customFormat="1">
      <c r="A517" s="38"/>
      <c r="B517" s="38"/>
      <c r="C517" s="38"/>
      <c r="D517" s="48"/>
      <c r="E517" s="48"/>
      <c r="O517" s="153"/>
      <c r="Q517" s="153"/>
      <c r="R517" s="153"/>
      <c r="AB517" s="38"/>
      <c r="AE517" s="153"/>
    </row>
    <row r="518" spans="1:31" s="39" customFormat="1">
      <c r="A518" s="38"/>
      <c r="B518" s="38"/>
      <c r="C518" s="38"/>
      <c r="D518" s="48"/>
      <c r="E518" s="48"/>
      <c r="O518" s="153"/>
      <c r="Q518" s="153"/>
      <c r="R518" s="153"/>
      <c r="AB518" s="38"/>
      <c r="AE518" s="153"/>
    </row>
    <row r="519" spans="1:31" s="39" customFormat="1">
      <c r="A519" s="38"/>
      <c r="B519" s="38"/>
      <c r="C519" s="38"/>
      <c r="D519" s="48"/>
      <c r="E519" s="48"/>
      <c r="O519" s="153"/>
      <c r="Q519" s="153"/>
      <c r="R519" s="153"/>
      <c r="AB519" s="38"/>
      <c r="AE519" s="153"/>
    </row>
    <row r="520" spans="1:31" s="39" customFormat="1">
      <c r="A520" s="38"/>
      <c r="B520" s="38"/>
      <c r="C520" s="38"/>
      <c r="D520" s="48"/>
      <c r="E520" s="48"/>
      <c r="O520" s="153"/>
      <c r="Q520" s="153"/>
      <c r="R520" s="153"/>
      <c r="AB520" s="38"/>
      <c r="AE520" s="153"/>
    </row>
    <row r="521" spans="1:31" s="39" customFormat="1">
      <c r="A521" s="38"/>
      <c r="B521" s="38"/>
      <c r="C521" s="38"/>
      <c r="D521" s="48"/>
      <c r="E521" s="48"/>
      <c r="O521" s="153"/>
      <c r="Q521" s="153"/>
      <c r="R521" s="153"/>
      <c r="AB521" s="38"/>
      <c r="AE521" s="153"/>
    </row>
    <row r="522" spans="1:31" s="39" customFormat="1">
      <c r="A522" s="38"/>
      <c r="B522" s="38"/>
      <c r="C522" s="38"/>
      <c r="D522" s="48"/>
      <c r="E522" s="48"/>
      <c r="O522" s="153"/>
      <c r="Q522" s="153"/>
      <c r="R522" s="153"/>
      <c r="AB522" s="38"/>
      <c r="AE522" s="153"/>
    </row>
    <row r="523" spans="1:31" s="39" customFormat="1">
      <c r="A523" s="38"/>
      <c r="B523" s="38"/>
      <c r="C523" s="38"/>
      <c r="D523" s="48"/>
      <c r="E523" s="48"/>
      <c r="O523" s="153"/>
      <c r="Q523" s="153"/>
      <c r="R523" s="153"/>
      <c r="AB523" s="38"/>
      <c r="AE523" s="153"/>
    </row>
    <row r="524" spans="1:31" s="39" customFormat="1">
      <c r="A524" s="38"/>
      <c r="B524" s="38"/>
      <c r="C524" s="38"/>
      <c r="D524" s="48"/>
      <c r="E524" s="48"/>
      <c r="O524" s="153"/>
      <c r="Q524" s="153"/>
      <c r="R524" s="153"/>
      <c r="AB524" s="38"/>
      <c r="AE524" s="153"/>
    </row>
    <row r="525" spans="1:31" s="39" customFormat="1">
      <c r="A525" s="38"/>
      <c r="B525" s="38"/>
      <c r="C525" s="38"/>
      <c r="D525" s="48"/>
      <c r="E525" s="48"/>
      <c r="O525" s="153"/>
      <c r="Q525" s="153"/>
      <c r="R525" s="153"/>
      <c r="AB525" s="38"/>
      <c r="AE525" s="153"/>
    </row>
    <row r="526" spans="1:31" s="39" customFormat="1">
      <c r="A526" s="38"/>
      <c r="B526" s="38"/>
      <c r="C526" s="38"/>
      <c r="D526" s="48"/>
      <c r="E526" s="48"/>
      <c r="O526" s="153"/>
      <c r="Q526" s="153"/>
      <c r="R526" s="153"/>
      <c r="AB526" s="38"/>
      <c r="AE526" s="153"/>
    </row>
    <row r="527" spans="1:31" s="39" customFormat="1">
      <c r="A527" s="38"/>
      <c r="B527" s="38"/>
      <c r="C527" s="38"/>
      <c r="D527" s="48"/>
      <c r="E527" s="48"/>
      <c r="O527" s="153"/>
      <c r="Q527" s="153"/>
      <c r="R527" s="153"/>
      <c r="AB527" s="38"/>
      <c r="AE527" s="153"/>
    </row>
    <row r="528" spans="1:31" s="39" customFormat="1">
      <c r="A528" s="38"/>
      <c r="B528" s="38"/>
      <c r="C528" s="38"/>
      <c r="D528" s="48"/>
      <c r="E528" s="48"/>
      <c r="O528" s="153"/>
      <c r="Q528" s="153"/>
      <c r="R528" s="153"/>
      <c r="AB528" s="38"/>
      <c r="AE528" s="153"/>
    </row>
    <row r="529" spans="1:31" s="39" customFormat="1">
      <c r="A529" s="38"/>
      <c r="B529" s="38"/>
      <c r="C529" s="38"/>
      <c r="D529" s="48"/>
      <c r="E529" s="48"/>
      <c r="O529" s="153"/>
      <c r="Q529" s="153"/>
      <c r="R529" s="153"/>
      <c r="AB529" s="38"/>
      <c r="AE529" s="153"/>
    </row>
    <row r="530" spans="1:31" s="39" customFormat="1">
      <c r="A530" s="38"/>
      <c r="B530" s="38"/>
      <c r="C530" s="38"/>
      <c r="D530" s="48"/>
      <c r="E530" s="48"/>
      <c r="O530" s="153"/>
      <c r="Q530" s="153"/>
      <c r="R530" s="153"/>
      <c r="AB530" s="38"/>
      <c r="AE530" s="153"/>
    </row>
    <row r="531" spans="1:31" s="39" customFormat="1">
      <c r="A531" s="38"/>
      <c r="B531" s="38"/>
      <c r="C531" s="38"/>
      <c r="D531" s="48"/>
      <c r="E531" s="48"/>
      <c r="O531" s="153"/>
      <c r="Q531" s="153"/>
      <c r="R531" s="153"/>
      <c r="AB531" s="38"/>
      <c r="AE531" s="153"/>
    </row>
    <row r="532" spans="1:31" s="39" customFormat="1">
      <c r="A532" s="38"/>
      <c r="B532" s="38"/>
      <c r="C532" s="38"/>
      <c r="D532" s="48"/>
      <c r="E532" s="48"/>
      <c r="O532" s="153"/>
      <c r="Q532" s="153"/>
      <c r="R532" s="153"/>
      <c r="AB532" s="38"/>
      <c r="AE532" s="153"/>
    </row>
    <row r="533" spans="1:31" s="39" customFormat="1">
      <c r="A533" s="38"/>
      <c r="B533" s="38"/>
      <c r="C533" s="38"/>
      <c r="D533" s="48"/>
      <c r="E533" s="48"/>
      <c r="O533" s="153"/>
      <c r="Q533" s="153"/>
      <c r="R533" s="153"/>
      <c r="AB533" s="38"/>
      <c r="AE533" s="153"/>
    </row>
    <row r="534" spans="1:31" s="39" customFormat="1">
      <c r="A534" s="38"/>
      <c r="B534" s="38"/>
      <c r="C534" s="38"/>
      <c r="D534" s="48"/>
      <c r="E534" s="48"/>
      <c r="O534" s="153"/>
      <c r="Q534" s="153"/>
      <c r="R534" s="153"/>
      <c r="AB534" s="38"/>
      <c r="AE534" s="153"/>
    </row>
    <row r="535" spans="1:31" s="39" customFormat="1">
      <c r="A535" s="38"/>
      <c r="B535" s="38"/>
      <c r="C535" s="38"/>
      <c r="D535" s="48"/>
      <c r="E535" s="48"/>
      <c r="O535" s="153"/>
      <c r="Q535" s="153"/>
      <c r="R535" s="153"/>
      <c r="AB535" s="38"/>
      <c r="AE535" s="153"/>
    </row>
    <row r="536" spans="1:31" s="39" customFormat="1">
      <c r="A536" s="38"/>
      <c r="B536" s="38"/>
      <c r="C536" s="38"/>
      <c r="D536" s="48"/>
      <c r="E536" s="48"/>
      <c r="O536" s="153"/>
      <c r="Q536" s="153"/>
      <c r="R536" s="153"/>
      <c r="AB536" s="38"/>
      <c r="AE536" s="153"/>
    </row>
    <row r="537" spans="1:31" s="39" customFormat="1">
      <c r="A537" s="38"/>
      <c r="B537" s="38"/>
      <c r="C537" s="38"/>
      <c r="D537" s="48"/>
      <c r="E537" s="48"/>
      <c r="O537" s="153"/>
      <c r="Q537" s="153"/>
      <c r="R537" s="153"/>
      <c r="AB537" s="38"/>
      <c r="AE537" s="153"/>
    </row>
    <row r="538" spans="1:31" s="39" customFormat="1">
      <c r="A538" s="38"/>
      <c r="B538" s="38"/>
      <c r="C538" s="38"/>
      <c r="D538" s="48"/>
      <c r="E538" s="48"/>
      <c r="O538" s="153"/>
      <c r="Q538" s="153"/>
      <c r="R538" s="153"/>
      <c r="AB538" s="38"/>
      <c r="AE538" s="153"/>
    </row>
    <row r="539" spans="1:31" s="39" customFormat="1">
      <c r="A539" s="38"/>
      <c r="B539" s="38"/>
      <c r="C539" s="38"/>
      <c r="D539" s="48"/>
      <c r="E539" s="48"/>
      <c r="O539" s="153"/>
      <c r="Q539" s="153"/>
      <c r="R539" s="153"/>
      <c r="AB539" s="38"/>
      <c r="AE539" s="153"/>
    </row>
    <row r="540" spans="1:31" s="39" customFormat="1">
      <c r="A540" s="38"/>
      <c r="B540" s="38"/>
      <c r="C540" s="38"/>
      <c r="D540" s="48"/>
      <c r="E540" s="48"/>
      <c r="O540" s="153"/>
      <c r="Q540" s="153"/>
      <c r="R540" s="153"/>
      <c r="AB540" s="38"/>
      <c r="AE540" s="153"/>
    </row>
    <row r="541" spans="1:31" s="39" customFormat="1">
      <c r="A541" s="38"/>
      <c r="B541" s="38"/>
      <c r="C541" s="38"/>
      <c r="D541" s="48"/>
      <c r="E541" s="48"/>
      <c r="O541" s="153"/>
      <c r="Q541" s="153"/>
      <c r="R541" s="153"/>
      <c r="AB541" s="38"/>
      <c r="AE541" s="153"/>
    </row>
    <row r="542" spans="1:31" s="39" customFormat="1">
      <c r="A542" s="38"/>
      <c r="B542" s="38"/>
      <c r="C542" s="38"/>
      <c r="D542" s="48"/>
      <c r="E542" s="48"/>
      <c r="O542" s="153"/>
      <c r="Q542" s="153"/>
      <c r="R542" s="153"/>
      <c r="AB542" s="38"/>
      <c r="AE542" s="153"/>
    </row>
    <row r="543" spans="1:31" s="39" customFormat="1">
      <c r="A543" s="38"/>
      <c r="B543" s="38"/>
      <c r="C543" s="38"/>
      <c r="D543" s="48"/>
      <c r="E543" s="48"/>
      <c r="O543" s="153"/>
      <c r="Q543" s="153"/>
      <c r="R543" s="153"/>
      <c r="AB543" s="38"/>
      <c r="AE543" s="153"/>
    </row>
    <row r="544" spans="1:31" s="39" customFormat="1">
      <c r="A544" s="38"/>
      <c r="B544" s="38"/>
      <c r="C544" s="38"/>
      <c r="D544" s="48"/>
      <c r="E544" s="48"/>
      <c r="O544" s="153"/>
      <c r="Q544" s="153"/>
      <c r="R544" s="153"/>
      <c r="AB544" s="38"/>
      <c r="AE544" s="153"/>
    </row>
    <row r="545" spans="1:31" s="39" customFormat="1">
      <c r="A545" s="38"/>
      <c r="B545" s="38"/>
      <c r="C545" s="38"/>
      <c r="D545" s="48"/>
      <c r="E545" s="48"/>
      <c r="O545" s="153"/>
      <c r="Q545" s="153"/>
      <c r="R545" s="153"/>
      <c r="AB545" s="38"/>
      <c r="AE545" s="153"/>
    </row>
    <row r="546" spans="1:31" s="39" customFormat="1">
      <c r="A546" s="38"/>
      <c r="B546" s="38"/>
      <c r="C546" s="38"/>
      <c r="D546" s="48"/>
      <c r="E546" s="48"/>
      <c r="O546" s="153"/>
      <c r="Q546" s="153"/>
      <c r="R546" s="153"/>
      <c r="AB546" s="38"/>
      <c r="AE546" s="153"/>
    </row>
    <row r="547" spans="1:31" s="39" customFormat="1">
      <c r="A547" s="38"/>
      <c r="B547" s="38"/>
      <c r="C547" s="38"/>
      <c r="D547" s="48"/>
      <c r="E547" s="48"/>
      <c r="O547" s="153"/>
      <c r="Q547" s="153"/>
      <c r="R547" s="153"/>
      <c r="AB547" s="38"/>
      <c r="AE547" s="153"/>
    </row>
    <row r="548" spans="1:31" s="39" customFormat="1">
      <c r="A548" s="38"/>
      <c r="B548" s="38"/>
      <c r="C548" s="38"/>
      <c r="D548" s="48"/>
      <c r="E548" s="48"/>
      <c r="O548" s="153"/>
      <c r="Q548" s="153"/>
      <c r="R548" s="153"/>
      <c r="AB548" s="38"/>
      <c r="AE548" s="153"/>
    </row>
    <row r="549" spans="1:31" s="39" customFormat="1">
      <c r="A549" s="38"/>
      <c r="B549" s="38"/>
      <c r="C549" s="38"/>
      <c r="D549" s="48"/>
      <c r="E549" s="48"/>
      <c r="O549" s="153"/>
      <c r="Q549" s="153"/>
      <c r="R549" s="153"/>
      <c r="AB549" s="38"/>
      <c r="AE549" s="153"/>
    </row>
    <row r="550" spans="1:31" s="39" customFormat="1">
      <c r="A550" s="38"/>
      <c r="B550" s="38"/>
      <c r="C550" s="38"/>
      <c r="D550" s="48"/>
      <c r="E550" s="48"/>
      <c r="O550" s="153"/>
      <c r="Q550" s="153"/>
      <c r="R550" s="153"/>
      <c r="AB550" s="38"/>
      <c r="AE550" s="153"/>
    </row>
    <row r="551" spans="1:31" s="39" customFormat="1">
      <c r="A551" s="38"/>
      <c r="B551" s="38"/>
      <c r="C551" s="38"/>
      <c r="D551" s="48"/>
      <c r="E551" s="48"/>
      <c r="O551" s="153"/>
      <c r="Q551" s="153"/>
      <c r="R551" s="153"/>
      <c r="AB551" s="38"/>
      <c r="AE551" s="153"/>
    </row>
    <row r="552" spans="1:31" s="39" customFormat="1">
      <c r="A552" s="38"/>
      <c r="B552" s="38"/>
      <c r="C552" s="38"/>
      <c r="D552" s="48"/>
      <c r="E552" s="48"/>
      <c r="O552" s="153"/>
      <c r="Q552" s="153"/>
      <c r="R552" s="153"/>
      <c r="AB552" s="38"/>
      <c r="AE552" s="153"/>
    </row>
    <row r="553" spans="1:31" s="39" customFormat="1">
      <c r="A553" s="38"/>
      <c r="B553" s="38"/>
      <c r="C553" s="38"/>
      <c r="D553" s="48"/>
      <c r="E553" s="48"/>
      <c r="O553" s="153"/>
      <c r="Q553" s="153"/>
      <c r="R553" s="153"/>
      <c r="AB553" s="38"/>
      <c r="AE553" s="153"/>
    </row>
    <row r="554" spans="1:31" s="39" customFormat="1">
      <c r="A554" s="38"/>
      <c r="B554" s="38"/>
      <c r="C554" s="38"/>
      <c r="D554" s="48"/>
      <c r="E554" s="48"/>
      <c r="O554" s="153"/>
      <c r="Q554" s="153"/>
      <c r="R554" s="153"/>
      <c r="AB554" s="38"/>
      <c r="AE554" s="153"/>
    </row>
    <row r="555" spans="1:31" s="39" customFormat="1">
      <c r="A555" s="38"/>
      <c r="B555" s="38"/>
      <c r="C555" s="38"/>
      <c r="D555" s="48"/>
      <c r="E555" s="48"/>
      <c r="O555" s="153"/>
      <c r="Q555" s="153"/>
      <c r="R555" s="153"/>
      <c r="AB555" s="38"/>
      <c r="AE555" s="153"/>
    </row>
    <row r="556" spans="1:31" s="39" customFormat="1">
      <c r="A556" s="38"/>
      <c r="B556" s="38"/>
      <c r="C556" s="38"/>
      <c r="D556" s="48"/>
      <c r="E556" s="48"/>
      <c r="O556" s="153"/>
      <c r="Q556" s="153"/>
      <c r="R556" s="153"/>
      <c r="AB556" s="38"/>
      <c r="AE556" s="153"/>
    </row>
    <row r="557" spans="1:31" s="39" customFormat="1">
      <c r="A557" s="38"/>
      <c r="B557" s="38"/>
      <c r="C557" s="38"/>
      <c r="D557" s="48"/>
      <c r="E557" s="48"/>
      <c r="O557" s="153"/>
      <c r="Q557" s="153"/>
      <c r="R557" s="153"/>
      <c r="AB557" s="38"/>
      <c r="AE557" s="153"/>
    </row>
    <row r="558" spans="1:31" s="39" customFormat="1">
      <c r="A558" s="38"/>
      <c r="B558" s="38"/>
      <c r="C558" s="38"/>
      <c r="D558" s="48"/>
      <c r="E558" s="48"/>
      <c r="O558" s="153"/>
      <c r="Q558" s="153"/>
      <c r="R558" s="153"/>
      <c r="AB558" s="38"/>
      <c r="AE558" s="153"/>
    </row>
    <row r="559" spans="1:31" s="39" customFormat="1">
      <c r="A559" s="38"/>
      <c r="B559" s="38"/>
      <c r="C559" s="38"/>
      <c r="D559" s="48"/>
      <c r="E559" s="48"/>
      <c r="O559" s="153"/>
      <c r="Q559" s="153"/>
      <c r="R559" s="153"/>
      <c r="AB559" s="38"/>
      <c r="AE559" s="153"/>
    </row>
    <row r="560" spans="1:31" s="39" customFormat="1">
      <c r="A560" s="38"/>
      <c r="B560" s="38"/>
      <c r="C560" s="38"/>
      <c r="D560" s="48"/>
      <c r="E560" s="48"/>
      <c r="O560" s="153"/>
      <c r="Q560" s="153"/>
      <c r="R560" s="153"/>
      <c r="AB560" s="38"/>
      <c r="AE560" s="153"/>
    </row>
    <row r="561" spans="1:31" s="39" customFormat="1">
      <c r="A561" s="38"/>
      <c r="B561" s="38"/>
      <c r="C561" s="38"/>
      <c r="D561" s="48"/>
      <c r="E561" s="48"/>
      <c r="O561" s="153"/>
      <c r="Q561" s="153"/>
      <c r="R561" s="153"/>
      <c r="AB561" s="38"/>
      <c r="AE561" s="153"/>
    </row>
    <row r="562" spans="1:31" s="39" customFormat="1">
      <c r="A562" s="38"/>
      <c r="B562" s="38"/>
      <c r="C562" s="38"/>
      <c r="D562" s="48"/>
      <c r="E562" s="48"/>
      <c r="O562" s="153"/>
      <c r="Q562" s="153"/>
      <c r="R562" s="153"/>
      <c r="AB562" s="38"/>
      <c r="AE562" s="153"/>
    </row>
    <row r="563" spans="1:31" s="39" customFormat="1">
      <c r="A563" s="38"/>
      <c r="B563" s="38"/>
      <c r="C563" s="38"/>
      <c r="D563" s="48"/>
      <c r="E563" s="48"/>
      <c r="O563" s="153"/>
      <c r="Q563" s="153"/>
      <c r="R563" s="153"/>
      <c r="AB563" s="38"/>
      <c r="AE563" s="153"/>
    </row>
    <row r="564" spans="1:31" s="39" customFormat="1">
      <c r="A564" s="38"/>
      <c r="B564" s="38"/>
      <c r="C564" s="38"/>
      <c r="D564" s="48"/>
      <c r="E564" s="48"/>
      <c r="O564" s="153"/>
      <c r="Q564" s="153"/>
      <c r="R564" s="153"/>
      <c r="AB564" s="38"/>
      <c r="AE564" s="153"/>
    </row>
    <row r="565" spans="1:31" s="39" customFormat="1">
      <c r="A565" s="38"/>
      <c r="B565" s="38"/>
      <c r="C565" s="38"/>
      <c r="D565" s="48"/>
      <c r="E565" s="48"/>
      <c r="O565" s="153"/>
      <c r="Q565" s="153"/>
      <c r="R565" s="153"/>
      <c r="AB565" s="38"/>
      <c r="AE565" s="153"/>
    </row>
    <row r="566" spans="1:31" s="39" customFormat="1">
      <c r="A566" s="38"/>
      <c r="B566" s="38"/>
      <c r="C566" s="38"/>
      <c r="D566" s="48"/>
      <c r="E566" s="48"/>
      <c r="O566" s="153"/>
      <c r="Q566" s="153"/>
      <c r="R566" s="153"/>
      <c r="AB566" s="38"/>
      <c r="AE566" s="153"/>
    </row>
    <row r="567" spans="1:31" s="39" customFormat="1">
      <c r="A567" s="38"/>
      <c r="B567" s="38"/>
      <c r="C567" s="38"/>
      <c r="D567" s="48"/>
      <c r="E567" s="48"/>
      <c r="O567" s="153"/>
      <c r="Q567" s="153"/>
      <c r="R567" s="153"/>
      <c r="AB567" s="38"/>
      <c r="AE567" s="153"/>
    </row>
    <row r="568" spans="1:31" s="39" customFormat="1">
      <c r="A568" s="38"/>
      <c r="B568" s="38"/>
      <c r="C568" s="38"/>
      <c r="D568" s="48"/>
      <c r="E568" s="48"/>
      <c r="O568" s="153"/>
      <c r="Q568" s="153"/>
      <c r="R568" s="153"/>
      <c r="AB568" s="38"/>
      <c r="AE568" s="153"/>
    </row>
    <row r="569" spans="1:31" s="39" customFormat="1">
      <c r="A569" s="38"/>
      <c r="B569" s="38"/>
      <c r="C569" s="38"/>
      <c r="D569" s="48"/>
      <c r="E569" s="48"/>
      <c r="O569" s="153"/>
      <c r="Q569" s="153"/>
      <c r="R569" s="153"/>
      <c r="AB569" s="38"/>
      <c r="AE569" s="153"/>
    </row>
    <row r="570" spans="1:31" s="39" customFormat="1">
      <c r="A570" s="38"/>
      <c r="B570" s="38"/>
      <c r="C570" s="38"/>
      <c r="D570" s="48"/>
      <c r="E570" s="48"/>
      <c r="O570" s="153"/>
      <c r="Q570" s="153"/>
      <c r="R570" s="153"/>
      <c r="AB570" s="38"/>
      <c r="AE570" s="153"/>
    </row>
    <row r="571" spans="1:31" s="39" customFormat="1">
      <c r="A571" s="38"/>
      <c r="B571" s="38"/>
      <c r="C571" s="38"/>
      <c r="D571" s="48"/>
      <c r="E571" s="48"/>
      <c r="O571" s="153"/>
      <c r="Q571" s="153"/>
      <c r="R571" s="153"/>
      <c r="AB571" s="38"/>
      <c r="AE571" s="153"/>
    </row>
    <row r="572" spans="1:31" s="39" customFormat="1">
      <c r="A572" s="38"/>
      <c r="B572" s="38"/>
      <c r="C572" s="38"/>
      <c r="D572" s="48"/>
      <c r="E572" s="48"/>
      <c r="O572" s="153"/>
      <c r="Q572" s="153"/>
      <c r="R572" s="153"/>
      <c r="AB572" s="38"/>
      <c r="AE572" s="153"/>
    </row>
    <row r="573" spans="1:31" s="39" customFormat="1">
      <c r="A573" s="38"/>
      <c r="B573" s="38"/>
      <c r="C573" s="38"/>
      <c r="D573" s="48"/>
      <c r="E573" s="48"/>
      <c r="O573" s="153"/>
      <c r="Q573" s="153"/>
      <c r="R573" s="153"/>
      <c r="AB573" s="38"/>
      <c r="AE573" s="153"/>
    </row>
    <row r="574" spans="1:31" s="39" customFormat="1">
      <c r="A574" s="38"/>
      <c r="B574" s="38"/>
      <c r="C574" s="38"/>
      <c r="D574" s="48"/>
      <c r="E574" s="48"/>
      <c r="O574" s="153"/>
      <c r="Q574" s="153"/>
      <c r="R574" s="153"/>
      <c r="AB574" s="38"/>
      <c r="AE574" s="153"/>
    </row>
    <row r="575" spans="1:31" s="39" customFormat="1">
      <c r="A575" s="38"/>
      <c r="B575" s="38"/>
      <c r="C575" s="38"/>
      <c r="D575" s="48"/>
      <c r="E575" s="48"/>
      <c r="O575" s="153"/>
      <c r="Q575" s="153"/>
      <c r="R575" s="153"/>
      <c r="AB575" s="38"/>
      <c r="AE575" s="153"/>
    </row>
    <row r="576" spans="1:31" s="39" customFormat="1">
      <c r="A576" s="38"/>
      <c r="B576" s="38"/>
      <c r="C576" s="38"/>
      <c r="D576" s="48"/>
      <c r="E576" s="48"/>
      <c r="O576" s="153"/>
      <c r="Q576" s="153"/>
      <c r="R576" s="153"/>
      <c r="AB576" s="38"/>
      <c r="AE576" s="153"/>
    </row>
    <row r="577" spans="1:31" s="39" customFormat="1">
      <c r="A577" s="38"/>
      <c r="B577" s="38"/>
      <c r="C577" s="38"/>
      <c r="D577" s="48"/>
      <c r="E577" s="48"/>
      <c r="O577" s="153"/>
      <c r="Q577" s="153"/>
      <c r="R577" s="153"/>
      <c r="AB577" s="38"/>
      <c r="AE577" s="153"/>
    </row>
    <row r="578" spans="1:31" s="39" customFormat="1">
      <c r="A578" s="38"/>
      <c r="B578" s="38"/>
      <c r="C578" s="38"/>
      <c r="D578" s="48"/>
      <c r="E578" s="48"/>
      <c r="O578" s="153"/>
      <c r="Q578" s="153"/>
      <c r="R578" s="153"/>
      <c r="AB578" s="38"/>
      <c r="AE578" s="153"/>
    </row>
    <row r="579" spans="1:31" s="39" customFormat="1">
      <c r="A579" s="38"/>
      <c r="B579" s="38"/>
      <c r="C579" s="38"/>
      <c r="D579" s="48"/>
      <c r="E579" s="48"/>
      <c r="O579" s="153"/>
      <c r="Q579" s="153"/>
      <c r="R579" s="153"/>
      <c r="AB579" s="38"/>
      <c r="AE579" s="153"/>
    </row>
    <row r="580" spans="1:31" s="39" customFormat="1">
      <c r="A580" s="38"/>
      <c r="B580" s="38"/>
      <c r="C580" s="38"/>
      <c r="D580" s="48"/>
      <c r="E580" s="48"/>
      <c r="O580" s="153"/>
      <c r="Q580" s="153"/>
      <c r="R580" s="153"/>
      <c r="AB580" s="38"/>
      <c r="AE580" s="153"/>
    </row>
    <row r="581" spans="1:31" s="39" customFormat="1">
      <c r="A581" s="38"/>
      <c r="B581" s="38"/>
      <c r="C581" s="38"/>
      <c r="D581" s="48"/>
      <c r="E581" s="48"/>
      <c r="O581" s="153"/>
      <c r="Q581" s="153"/>
      <c r="R581" s="153"/>
      <c r="AB581" s="38"/>
      <c r="AE581" s="153"/>
    </row>
    <row r="582" spans="1:31" s="39" customFormat="1">
      <c r="A582" s="38"/>
      <c r="B582" s="38"/>
      <c r="C582" s="38"/>
      <c r="D582" s="48"/>
      <c r="E582" s="48"/>
      <c r="O582" s="153"/>
      <c r="Q582" s="153"/>
      <c r="R582" s="153"/>
      <c r="AB582" s="38"/>
      <c r="AE582" s="153"/>
    </row>
    <row r="583" spans="1:31" s="39" customFormat="1">
      <c r="A583" s="38"/>
      <c r="B583" s="38"/>
      <c r="C583" s="38"/>
      <c r="D583" s="48"/>
      <c r="E583" s="48"/>
      <c r="O583" s="153"/>
      <c r="Q583" s="153"/>
      <c r="R583" s="153"/>
      <c r="AB583" s="38"/>
      <c r="AE583" s="153"/>
    </row>
    <row r="584" spans="1:31" s="39" customFormat="1">
      <c r="A584" s="38"/>
      <c r="B584" s="38"/>
      <c r="C584" s="38"/>
      <c r="D584" s="48"/>
      <c r="E584" s="48"/>
      <c r="O584" s="153"/>
      <c r="Q584" s="153"/>
      <c r="R584" s="153"/>
      <c r="AB584" s="38"/>
      <c r="AE584" s="153"/>
    </row>
    <row r="585" spans="1:31" s="39" customFormat="1">
      <c r="A585" s="38"/>
      <c r="B585" s="38"/>
      <c r="C585" s="38"/>
      <c r="D585" s="48"/>
      <c r="E585" s="48"/>
      <c r="O585" s="153"/>
      <c r="Q585" s="153"/>
      <c r="R585" s="153"/>
      <c r="AB585" s="38"/>
      <c r="AE585" s="153"/>
    </row>
    <row r="586" spans="1:31" s="39" customFormat="1">
      <c r="A586" s="38"/>
      <c r="B586" s="38"/>
      <c r="C586" s="38"/>
      <c r="D586" s="48"/>
      <c r="E586" s="48"/>
      <c r="O586" s="153"/>
      <c r="Q586" s="153"/>
      <c r="R586" s="153"/>
      <c r="AB586" s="38"/>
      <c r="AE586" s="153"/>
    </row>
    <row r="587" spans="1:31" s="39" customFormat="1">
      <c r="A587" s="38"/>
      <c r="B587" s="38"/>
      <c r="C587" s="38"/>
      <c r="D587" s="48"/>
      <c r="E587" s="48"/>
      <c r="O587" s="153"/>
      <c r="Q587" s="153"/>
      <c r="R587" s="153"/>
      <c r="AB587" s="38"/>
      <c r="AE587" s="153"/>
    </row>
    <row r="588" spans="1:31" s="39" customFormat="1">
      <c r="A588" s="38"/>
      <c r="B588" s="38"/>
      <c r="C588" s="38"/>
      <c r="D588" s="48"/>
      <c r="E588" s="48"/>
      <c r="O588" s="153"/>
      <c r="Q588" s="153"/>
      <c r="R588" s="153"/>
      <c r="AB588" s="38"/>
      <c r="AE588" s="153"/>
    </row>
    <row r="589" spans="1:31" s="39" customFormat="1">
      <c r="A589" s="38"/>
      <c r="B589" s="38"/>
      <c r="C589" s="38"/>
      <c r="D589" s="48"/>
      <c r="E589" s="48"/>
      <c r="O589" s="153"/>
      <c r="Q589" s="153"/>
      <c r="R589" s="153"/>
      <c r="AB589" s="38"/>
      <c r="AE589" s="153"/>
    </row>
    <row r="590" spans="1:31" s="39" customFormat="1">
      <c r="A590" s="38"/>
      <c r="B590" s="38"/>
      <c r="C590" s="38"/>
      <c r="D590" s="48"/>
      <c r="E590" s="48"/>
      <c r="O590" s="153"/>
      <c r="Q590" s="153"/>
      <c r="R590" s="153"/>
      <c r="AB590" s="38"/>
      <c r="AE590" s="153"/>
    </row>
    <row r="591" spans="1:31" s="39" customFormat="1">
      <c r="A591" s="38"/>
      <c r="B591" s="38"/>
      <c r="C591" s="38"/>
      <c r="D591" s="48"/>
      <c r="E591" s="48"/>
      <c r="O591" s="153"/>
      <c r="Q591" s="153"/>
      <c r="R591" s="153"/>
      <c r="AB591" s="38"/>
      <c r="AE591" s="153"/>
    </row>
    <row r="592" spans="1:31" s="39" customFormat="1">
      <c r="A592" s="38"/>
      <c r="B592" s="38"/>
      <c r="C592" s="38"/>
      <c r="D592" s="48"/>
      <c r="E592" s="48"/>
      <c r="O592" s="153"/>
      <c r="Q592" s="153"/>
      <c r="R592" s="153"/>
      <c r="AB592" s="38"/>
      <c r="AE592" s="153"/>
    </row>
    <row r="593" spans="1:31" s="39" customFormat="1">
      <c r="A593" s="38"/>
      <c r="B593" s="38"/>
      <c r="C593" s="38"/>
      <c r="D593" s="48"/>
      <c r="E593" s="48"/>
      <c r="O593" s="153"/>
      <c r="Q593" s="153"/>
      <c r="R593" s="153"/>
      <c r="AB593" s="38"/>
      <c r="AE593" s="153"/>
    </row>
    <row r="594" spans="1:31" s="39" customFormat="1">
      <c r="A594" s="38"/>
      <c r="B594" s="38"/>
      <c r="C594" s="38"/>
      <c r="D594" s="48"/>
      <c r="E594" s="48"/>
      <c r="O594" s="153"/>
      <c r="Q594" s="153"/>
      <c r="R594" s="153"/>
      <c r="AB594" s="38"/>
      <c r="AE594" s="153"/>
    </row>
    <row r="595" spans="1:31" s="39" customFormat="1">
      <c r="A595" s="38"/>
      <c r="B595" s="38"/>
      <c r="C595" s="38"/>
      <c r="D595" s="48"/>
      <c r="E595" s="48"/>
      <c r="O595" s="153"/>
      <c r="Q595" s="153"/>
      <c r="R595" s="153"/>
      <c r="AB595" s="38"/>
      <c r="AE595" s="153"/>
    </row>
    <row r="596" spans="1:31" s="39" customFormat="1">
      <c r="A596" s="38"/>
      <c r="B596" s="38"/>
      <c r="C596" s="38"/>
      <c r="D596" s="48"/>
      <c r="E596" s="48"/>
      <c r="O596" s="153"/>
      <c r="Q596" s="153"/>
      <c r="R596" s="153"/>
      <c r="AB596" s="38"/>
      <c r="AE596" s="153"/>
    </row>
    <row r="597" spans="1:31" s="39" customFormat="1">
      <c r="A597" s="38"/>
      <c r="B597" s="38"/>
      <c r="C597" s="38"/>
      <c r="D597" s="48"/>
      <c r="E597" s="48"/>
      <c r="O597" s="153"/>
      <c r="Q597" s="153"/>
      <c r="R597" s="153"/>
      <c r="AB597" s="38"/>
      <c r="AE597" s="153"/>
    </row>
    <row r="598" spans="1:31" s="39" customFormat="1">
      <c r="A598" s="38"/>
      <c r="B598" s="38"/>
      <c r="C598" s="38"/>
      <c r="D598" s="48"/>
      <c r="E598" s="48"/>
      <c r="O598" s="153"/>
      <c r="Q598" s="153"/>
      <c r="R598" s="153"/>
      <c r="AB598" s="38"/>
      <c r="AE598" s="153"/>
    </row>
    <row r="599" spans="1:31" s="39" customFormat="1">
      <c r="A599" s="38"/>
      <c r="B599" s="38"/>
      <c r="C599" s="38"/>
      <c r="D599" s="48"/>
      <c r="E599" s="48"/>
      <c r="O599" s="153"/>
      <c r="Q599" s="153"/>
      <c r="R599" s="153"/>
      <c r="AB599" s="38"/>
      <c r="AE599" s="153"/>
    </row>
    <row r="600" spans="1:31" s="39" customFormat="1">
      <c r="A600" s="38"/>
      <c r="B600" s="38"/>
      <c r="C600" s="38"/>
      <c r="D600" s="48"/>
      <c r="E600" s="48"/>
      <c r="O600" s="153"/>
      <c r="Q600" s="153"/>
      <c r="R600" s="153"/>
      <c r="AB600" s="38"/>
      <c r="AE600" s="153"/>
    </row>
    <row r="601" spans="1:31" s="39" customFormat="1">
      <c r="A601" s="38"/>
      <c r="B601" s="38"/>
      <c r="C601" s="38"/>
      <c r="D601" s="48"/>
      <c r="E601" s="48"/>
      <c r="O601" s="153"/>
      <c r="Q601" s="153"/>
      <c r="R601" s="153"/>
      <c r="AB601" s="38"/>
      <c r="AE601" s="153"/>
    </row>
    <row r="602" spans="1:31" s="39" customFormat="1">
      <c r="A602" s="38"/>
      <c r="B602" s="38"/>
      <c r="C602" s="38"/>
      <c r="D602" s="48"/>
      <c r="E602" s="48"/>
      <c r="O602" s="153"/>
      <c r="Q602" s="153"/>
      <c r="R602" s="153"/>
      <c r="AB602" s="38"/>
      <c r="AE602" s="153"/>
    </row>
    <row r="603" spans="1:31" s="39" customFormat="1">
      <c r="A603" s="38"/>
      <c r="B603" s="38"/>
      <c r="C603" s="38"/>
      <c r="D603" s="48"/>
      <c r="E603" s="48"/>
      <c r="O603" s="153"/>
      <c r="Q603" s="153"/>
      <c r="R603" s="153"/>
      <c r="AB603" s="38"/>
      <c r="AE603" s="153"/>
    </row>
    <row r="604" spans="1:31" s="39" customFormat="1">
      <c r="A604" s="38"/>
      <c r="B604" s="38"/>
      <c r="C604" s="38"/>
      <c r="D604" s="48"/>
      <c r="E604" s="48"/>
      <c r="O604" s="153"/>
      <c r="Q604" s="153"/>
      <c r="R604" s="153"/>
      <c r="AB604" s="38"/>
      <c r="AE604" s="153"/>
    </row>
    <row r="605" spans="1:31" s="39" customFormat="1">
      <c r="A605" s="38"/>
      <c r="B605" s="38"/>
      <c r="C605" s="38"/>
      <c r="D605" s="48"/>
      <c r="E605" s="48"/>
      <c r="O605" s="153"/>
      <c r="Q605" s="153"/>
      <c r="R605" s="153"/>
      <c r="AB605" s="38"/>
      <c r="AE605" s="153"/>
    </row>
    <row r="606" spans="1:31" s="39" customFormat="1">
      <c r="A606" s="38"/>
      <c r="B606" s="38"/>
      <c r="C606" s="38"/>
      <c r="D606" s="48"/>
      <c r="E606" s="48"/>
      <c r="O606" s="153"/>
      <c r="Q606" s="153"/>
      <c r="R606" s="153"/>
      <c r="AB606" s="38"/>
      <c r="AE606" s="153"/>
    </row>
    <row r="607" spans="1:31" s="39" customFormat="1">
      <c r="A607" s="38"/>
      <c r="B607" s="38"/>
      <c r="C607" s="38"/>
      <c r="D607" s="48"/>
      <c r="E607" s="48"/>
      <c r="O607" s="153"/>
      <c r="Q607" s="153"/>
      <c r="R607" s="153"/>
      <c r="AB607" s="38"/>
      <c r="AE607" s="153"/>
    </row>
    <row r="608" spans="1:31" s="39" customFormat="1">
      <c r="A608" s="38"/>
      <c r="B608" s="38"/>
      <c r="C608" s="38"/>
      <c r="D608" s="48"/>
      <c r="E608" s="48"/>
      <c r="O608" s="153"/>
      <c r="Q608" s="153"/>
      <c r="R608" s="153"/>
      <c r="AB608" s="38"/>
      <c r="AE608" s="153"/>
    </row>
    <row r="609" spans="1:31" s="39" customFormat="1">
      <c r="A609" s="38"/>
      <c r="B609" s="38"/>
      <c r="C609" s="38"/>
      <c r="D609" s="48"/>
      <c r="E609" s="48"/>
      <c r="O609" s="153"/>
      <c r="Q609" s="153"/>
      <c r="R609" s="153"/>
      <c r="AB609" s="38"/>
      <c r="AE609" s="153"/>
    </row>
    <row r="610" spans="1:31" s="39" customFormat="1">
      <c r="A610" s="38"/>
      <c r="B610" s="38"/>
      <c r="C610" s="38"/>
      <c r="D610" s="48"/>
      <c r="E610" s="48"/>
      <c r="O610" s="153"/>
      <c r="Q610" s="153"/>
      <c r="R610" s="153"/>
      <c r="AB610" s="38"/>
      <c r="AE610" s="153"/>
    </row>
    <row r="611" spans="1:31" s="39" customFormat="1">
      <c r="A611" s="38"/>
      <c r="B611" s="38"/>
      <c r="C611" s="38"/>
      <c r="D611" s="48"/>
      <c r="E611" s="48"/>
      <c r="O611" s="153"/>
      <c r="Q611" s="153"/>
      <c r="R611" s="153"/>
      <c r="AB611" s="38"/>
      <c r="AE611" s="153"/>
    </row>
    <row r="612" spans="1:31" s="39" customFormat="1">
      <c r="A612" s="38"/>
      <c r="B612" s="38"/>
      <c r="C612" s="38"/>
      <c r="D612" s="48"/>
      <c r="E612" s="48"/>
      <c r="O612" s="153"/>
      <c r="Q612" s="153"/>
      <c r="R612" s="153"/>
      <c r="AB612" s="38"/>
      <c r="AE612" s="153"/>
    </row>
    <row r="613" spans="1:31" s="39" customFormat="1">
      <c r="A613" s="38"/>
      <c r="B613" s="38"/>
      <c r="C613" s="38"/>
      <c r="D613" s="48"/>
      <c r="E613" s="48"/>
      <c r="O613" s="153"/>
      <c r="Q613" s="153"/>
      <c r="R613" s="153"/>
      <c r="AB613" s="38"/>
      <c r="AE613" s="153"/>
    </row>
    <row r="614" spans="1:31" s="39" customFormat="1">
      <c r="A614" s="38"/>
      <c r="B614" s="38"/>
      <c r="C614" s="38"/>
      <c r="D614" s="48"/>
      <c r="E614" s="48"/>
      <c r="O614" s="153"/>
      <c r="Q614" s="153"/>
      <c r="R614" s="153"/>
      <c r="AB614" s="38"/>
      <c r="AE614" s="153"/>
    </row>
    <row r="615" spans="1:31" s="39" customFormat="1">
      <c r="A615" s="38"/>
      <c r="B615" s="38"/>
      <c r="C615" s="38"/>
      <c r="D615" s="48"/>
      <c r="E615" s="48"/>
      <c r="O615" s="153"/>
      <c r="Q615" s="153"/>
      <c r="R615" s="153"/>
      <c r="AB615" s="38"/>
      <c r="AE615" s="153"/>
    </row>
    <row r="616" spans="1:31" s="39" customFormat="1">
      <c r="A616" s="38"/>
      <c r="B616" s="38"/>
      <c r="C616" s="38"/>
      <c r="D616" s="48"/>
      <c r="E616" s="48"/>
      <c r="O616" s="153"/>
      <c r="Q616" s="153"/>
      <c r="R616" s="153"/>
      <c r="AB616" s="38"/>
      <c r="AE616" s="153"/>
    </row>
    <row r="617" spans="1:31" s="39" customFormat="1">
      <c r="A617" s="38"/>
      <c r="B617" s="38"/>
      <c r="C617" s="38"/>
      <c r="D617" s="48"/>
      <c r="E617" s="48"/>
      <c r="O617" s="153"/>
      <c r="Q617" s="153"/>
      <c r="R617" s="153"/>
      <c r="AB617" s="38"/>
      <c r="AE617" s="153"/>
    </row>
    <row r="618" spans="1:31" s="39" customFormat="1">
      <c r="A618" s="38"/>
      <c r="B618" s="38"/>
      <c r="C618" s="38"/>
      <c r="D618" s="48"/>
      <c r="E618" s="48"/>
      <c r="O618" s="153"/>
      <c r="Q618" s="153"/>
      <c r="R618" s="153"/>
      <c r="AB618" s="38"/>
      <c r="AE618" s="153"/>
    </row>
    <row r="619" spans="1:31" s="39" customFormat="1">
      <c r="A619" s="38"/>
      <c r="B619" s="38"/>
      <c r="C619" s="38"/>
      <c r="D619" s="48"/>
      <c r="E619" s="48"/>
      <c r="O619" s="153"/>
      <c r="Q619" s="153"/>
      <c r="R619" s="153"/>
      <c r="AB619" s="38"/>
      <c r="AE619" s="153"/>
    </row>
    <row r="620" spans="1:31" s="39" customFormat="1">
      <c r="A620" s="38"/>
      <c r="B620" s="38"/>
      <c r="C620" s="38"/>
      <c r="D620" s="48"/>
      <c r="E620" s="48"/>
      <c r="O620" s="153"/>
      <c r="Q620" s="153"/>
      <c r="R620" s="153"/>
      <c r="AB620" s="38"/>
      <c r="AE620" s="153"/>
    </row>
    <row r="621" spans="1:31" s="39" customFormat="1">
      <c r="A621" s="38"/>
      <c r="B621" s="38"/>
      <c r="C621" s="38"/>
      <c r="D621" s="48"/>
      <c r="E621" s="48"/>
      <c r="O621" s="153"/>
      <c r="Q621" s="153"/>
      <c r="R621" s="153"/>
      <c r="AB621" s="38"/>
      <c r="AE621" s="153"/>
    </row>
    <row r="622" spans="1:31" s="39" customFormat="1">
      <c r="A622" s="38"/>
      <c r="B622" s="38"/>
      <c r="C622" s="38"/>
      <c r="D622" s="48"/>
      <c r="E622" s="48"/>
      <c r="O622" s="153"/>
      <c r="Q622" s="153"/>
      <c r="R622" s="153"/>
      <c r="AB622" s="38"/>
      <c r="AE622" s="153"/>
    </row>
    <row r="623" spans="1:31" s="39" customFormat="1">
      <c r="A623" s="38"/>
      <c r="B623" s="38"/>
      <c r="C623" s="38"/>
      <c r="D623" s="48"/>
      <c r="E623" s="48"/>
      <c r="O623" s="153"/>
      <c r="Q623" s="153"/>
      <c r="R623" s="153"/>
      <c r="AB623" s="38"/>
      <c r="AE623" s="153"/>
    </row>
    <row r="624" spans="1:31" s="39" customFormat="1">
      <c r="A624" s="38"/>
      <c r="B624" s="38"/>
      <c r="C624" s="38"/>
      <c r="D624" s="48"/>
      <c r="E624" s="48"/>
      <c r="O624" s="153"/>
      <c r="Q624" s="153"/>
      <c r="R624" s="153"/>
      <c r="AB624" s="38"/>
      <c r="AE624" s="153"/>
    </row>
    <row r="625" spans="1:31" s="39" customFormat="1">
      <c r="A625" s="38"/>
      <c r="B625" s="38"/>
      <c r="C625" s="38"/>
      <c r="D625" s="48"/>
      <c r="E625" s="48"/>
      <c r="O625" s="153"/>
      <c r="Q625" s="153"/>
      <c r="R625" s="153"/>
      <c r="AB625" s="38"/>
      <c r="AE625" s="153"/>
    </row>
    <row r="626" spans="1:31" s="39" customFormat="1">
      <c r="A626" s="38"/>
      <c r="B626" s="38"/>
      <c r="C626" s="38"/>
      <c r="D626" s="48"/>
      <c r="E626" s="48"/>
      <c r="O626" s="153"/>
      <c r="Q626" s="153"/>
      <c r="R626" s="153"/>
      <c r="AB626" s="38"/>
      <c r="AE626" s="153"/>
    </row>
    <row r="627" spans="1:31" s="39" customFormat="1">
      <c r="A627" s="38"/>
      <c r="B627" s="38"/>
      <c r="C627" s="38"/>
      <c r="D627" s="48"/>
      <c r="E627" s="48"/>
      <c r="O627" s="153"/>
      <c r="Q627" s="153"/>
      <c r="R627" s="153"/>
      <c r="AB627" s="38"/>
      <c r="AE627" s="153"/>
    </row>
    <row r="628" spans="1:31" s="39" customFormat="1">
      <c r="A628" s="38"/>
      <c r="B628" s="38"/>
      <c r="C628" s="38"/>
      <c r="D628" s="48"/>
      <c r="E628" s="48"/>
      <c r="O628" s="153"/>
      <c r="Q628" s="153"/>
      <c r="R628" s="153"/>
      <c r="AB628" s="38"/>
      <c r="AE628" s="153"/>
    </row>
    <row r="629" spans="1:31" s="39" customFormat="1">
      <c r="A629" s="38"/>
      <c r="B629" s="38"/>
      <c r="C629" s="38"/>
      <c r="D629" s="48"/>
      <c r="E629" s="48"/>
      <c r="O629" s="153"/>
      <c r="Q629" s="153"/>
      <c r="R629" s="153"/>
      <c r="AB629" s="38"/>
      <c r="AE629" s="153"/>
    </row>
    <row r="630" spans="1:31" s="39" customFormat="1">
      <c r="A630" s="38"/>
      <c r="B630" s="38"/>
      <c r="C630" s="38"/>
      <c r="D630" s="48"/>
      <c r="E630" s="48"/>
      <c r="O630" s="153"/>
      <c r="Q630" s="153"/>
      <c r="R630" s="153"/>
      <c r="AB630" s="38"/>
      <c r="AE630" s="153"/>
    </row>
    <row r="631" spans="1:31" s="39" customFormat="1">
      <c r="A631" s="38"/>
      <c r="B631" s="38"/>
      <c r="C631" s="38"/>
      <c r="D631" s="48"/>
      <c r="E631" s="48"/>
      <c r="O631" s="153"/>
      <c r="Q631" s="153"/>
      <c r="R631" s="153"/>
      <c r="AB631" s="38"/>
      <c r="AE631" s="153"/>
    </row>
    <row r="632" spans="1:31" s="39" customFormat="1">
      <c r="A632" s="38"/>
      <c r="B632" s="38"/>
      <c r="C632" s="38"/>
      <c r="D632" s="48"/>
      <c r="E632" s="48"/>
      <c r="O632" s="153"/>
      <c r="Q632" s="153"/>
      <c r="R632" s="153"/>
      <c r="AB632" s="38"/>
      <c r="AE632" s="153"/>
    </row>
    <row r="633" spans="1:31" s="39" customFormat="1">
      <c r="A633" s="38"/>
      <c r="B633" s="38"/>
      <c r="C633" s="38"/>
      <c r="D633" s="48"/>
      <c r="E633" s="48"/>
      <c r="O633" s="153"/>
      <c r="Q633" s="153"/>
      <c r="R633" s="153"/>
      <c r="AB633" s="38"/>
      <c r="AE633" s="153"/>
    </row>
    <row r="634" spans="1:31" s="39" customFormat="1">
      <c r="A634" s="38"/>
      <c r="B634" s="38"/>
      <c r="C634" s="38"/>
      <c r="D634" s="48"/>
      <c r="E634" s="48"/>
      <c r="O634" s="153"/>
      <c r="Q634" s="153"/>
      <c r="R634" s="153"/>
      <c r="AB634" s="38"/>
      <c r="AE634" s="153"/>
    </row>
    <row r="635" spans="1:31" s="39" customFormat="1">
      <c r="A635" s="38"/>
      <c r="B635" s="38"/>
      <c r="C635" s="38"/>
      <c r="D635" s="48"/>
      <c r="E635" s="48"/>
      <c r="O635" s="153"/>
      <c r="Q635" s="153"/>
      <c r="R635" s="153"/>
      <c r="AB635" s="38"/>
      <c r="AE635" s="153"/>
    </row>
    <row r="636" spans="1:31" s="39" customFormat="1">
      <c r="A636" s="38"/>
      <c r="B636" s="38"/>
      <c r="C636" s="38"/>
      <c r="D636" s="48"/>
      <c r="E636" s="48"/>
      <c r="O636" s="153"/>
      <c r="Q636" s="153"/>
      <c r="R636" s="153"/>
      <c r="AB636" s="38"/>
      <c r="AE636" s="153"/>
    </row>
    <row r="637" spans="1:31" s="39" customFormat="1">
      <c r="A637" s="38"/>
      <c r="B637" s="38"/>
      <c r="C637" s="38"/>
      <c r="D637" s="48"/>
      <c r="E637" s="48"/>
      <c r="O637" s="153"/>
      <c r="Q637" s="153"/>
      <c r="R637" s="153"/>
      <c r="AB637" s="38"/>
      <c r="AE637" s="153"/>
    </row>
    <row r="638" spans="1:31" s="39" customFormat="1">
      <c r="A638" s="38"/>
      <c r="B638" s="38"/>
      <c r="C638" s="38"/>
      <c r="D638" s="48"/>
      <c r="E638" s="48"/>
      <c r="O638" s="153"/>
      <c r="Q638" s="153"/>
      <c r="R638" s="153"/>
      <c r="AB638" s="38"/>
      <c r="AE638" s="153"/>
    </row>
    <row r="639" spans="1:31" s="39" customFormat="1">
      <c r="A639" s="38"/>
      <c r="B639" s="38"/>
      <c r="C639" s="38"/>
      <c r="D639" s="48"/>
      <c r="E639" s="48"/>
      <c r="O639" s="153"/>
      <c r="Q639" s="153"/>
      <c r="R639" s="153"/>
      <c r="AB639" s="38"/>
      <c r="AE639" s="153"/>
    </row>
    <row r="640" spans="1:31" s="39" customFormat="1">
      <c r="A640" s="38"/>
      <c r="B640" s="38"/>
      <c r="C640" s="38"/>
      <c r="D640" s="48"/>
      <c r="E640" s="48"/>
      <c r="O640" s="153"/>
      <c r="Q640" s="153"/>
      <c r="R640" s="153"/>
      <c r="AB640" s="38"/>
      <c r="AE640" s="153"/>
    </row>
    <row r="641" spans="1:31" s="39" customFormat="1">
      <c r="A641" s="38"/>
      <c r="B641" s="38"/>
      <c r="C641" s="38"/>
      <c r="D641" s="48"/>
      <c r="E641" s="48"/>
      <c r="O641" s="153"/>
      <c r="Q641" s="153"/>
      <c r="R641" s="153"/>
      <c r="AB641" s="38"/>
      <c r="AE641" s="153"/>
    </row>
    <row r="642" spans="1:31" s="39" customFormat="1">
      <c r="A642" s="38"/>
      <c r="B642" s="38"/>
      <c r="C642" s="38"/>
      <c r="D642" s="48"/>
      <c r="E642" s="48"/>
      <c r="O642" s="153"/>
      <c r="Q642" s="153"/>
      <c r="R642" s="153"/>
      <c r="AB642" s="38"/>
      <c r="AE642" s="153"/>
    </row>
    <row r="643" spans="1:31" s="39" customFormat="1">
      <c r="A643" s="38"/>
      <c r="B643" s="38"/>
      <c r="C643" s="38"/>
      <c r="D643" s="48"/>
      <c r="E643" s="48"/>
      <c r="O643" s="153"/>
      <c r="Q643" s="153"/>
      <c r="R643" s="153"/>
      <c r="AB643" s="38"/>
      <c r="AE643" s="153"/>
    </row>
    <row r="644" spans="1:31" s="39" customFormat="1">
      <c r="A644" s="38"/>
      <c r="B644" s="38"/>
      <c r="C644" s="38"/>
      <c r="D644" s="48"/>
      <c r="E644" s="48"/>
      <c r="O644" s="153"/>
      <c r="Q644" s="153"/>
      <c r="R644" s="153"/>
      <c r="AB644" s="38"/>
      <c r="AE644" s="153"/>
    </row>
    <row r="645" spans="1:31" s="39" customFormat="1">
      <c r="A645" s="38"/>
      <c r="B645" s="38"/>
      <c r="C645" s="38"/>
      <c r="D645" s="48"/>
      <c r="E645" s="48"/>
      <c r="O645" s="153"/>
      <c r="Q645" s="153"/>
      <c r="R645" s="153"/>
      <c r="AB645" s="38"/>
      <c r="AE645" s="153"/>
    </row>
    <row r="646" spans="1:31" s="39" customFormat="1">
      <c r="A646" s="38"/>
      <c r="B646" s="38"/>
      <c r="C646" s="38"/>
      <c r="D646" s="48"/>
      <c r="E646" s="48"/>
      <c r="O646" s="153"/>
      <c r="Q646" s="153"/>
      <c r="R646" s="153"/>
      <c r="AB646" s="38"/>
      <c r="AE646" s="153"/>
    </row>
    <row r="647" spans="1:31" s="39" customFormat="1">
      <c r="A647" s="38"/>
      <c r="B647" s="38"/>
      <c r="C647" s="38"/>
      <c r="D647" s="48"/>
      <c r="E647" s="48"/>
      <c r="O647" s="153"/>
      <c r="Q647" s="153"/>
      <c r="R647" s="153"/>
      <c r="AB647" s="38"/>
      <c r="AE647" s="153"/>
    </row>
    <row r="648" spans="1:31" s="39" customFormat="1">
      <c r="A648" s="38"/>
      <c r="B648" s="38"/>
      <c r="C648" s="38"/>
      <c r="D648" s="48"/>
      <c r="E648" s="48"/>
      <c r="O648" s="153"/>
      <c r="Q648" s="153"/>
      <c r="R648" s="153"/>
      <c r="AB648" s="38"/>
      <c r="AE648" s="153"/>
    </row>
    <row r="649" spans="1:31" s="39" customFormat="1">
      <c r="A649" s="38"/>
      <c r="B649" s="38"/>
      <c r="C649" s="38"/>
      <c r="D649" s="48"/>
      <c r="E649" s="48"/>
      <c r="O649" s="153"/>
      <c r="Q649" s="153"/>
      <c r="R649" s="153"/>
      <c r="AB649" s="38"/>
      <c r="AE649" s="153"/>
    </row>
    <row r="650" spans="1:31" s="39" customFormat="1">
      <c r="A650" s="38"/>
      <c r="B650" s="38"/>
      <c r="C650" s="38"/>
      <c r="D650" s="48"/>
      <c r="E650" s="48"/>
      <c r="O650" s="153"/>
      <c r="Q650" s="153"/>
      <c r="R650" s="153"/>
      <c r="AB650" s="38"/>
      <c r="AE650" s="153"/>
    </row>
    <row r="651" spans="1:31" s="39" customFormat="1">
      <c r="A651" s="38"/>
      <c r="B651" s="38"/>
      <c r="C651" s="38"/>
      <c r="D651" s="48"/>
      <c r="E651" s="48"/>
      <c r="O651" s="153"/>
      <c r="Q651" s="153"/>
      <c r="R651" s="153"/>
      <c r="AB651" s="38"/>
      <c r="AE651" s="153"/>
    </row>
    <row r="652" spans="1:31" s="39" customFormat="1">
      <c r="A652" s="38"/>
      <c r="B652" s="38"/>
      <c r="C652" s="38"/>
      <c r="D652" s="48"/>
      <c r="E652" s="48"/>
      <c r="O652" s="153"/>
      <c r="Q652" s="153"/>
      <c r="R652" s="153"/>
      <c r="AB652" s="38"/>
      <c r="AE652" s="153"/>
    </row>
    <row r="653" spans="1:31" s="39" customFormat="1">
      <c r="A653" s="38"/>
      <c r="B653" s="38"/>
      <c r="C653" s="38"/>
      <c r="D653" s="48"/>
      <c r="E653" s="48"/>
      <c r="O653" s="153"/>
      <c r="Q653" s="153"/>
      <c r="R653" s="153"/>
      <c r="AB653" s="38"/>
      <c r="AE653" s="153"/>
    </row>
    <row r="654" spans="1:31" s="39" customFormat="1">
      <c r="A654" s="38"/>
      <c r="B654" s="38"/>
      <c r="C654" s="38"/>
      <c r="D654" s="48"/>
      <c r="E654" s="48"/>
      <c r="O654" s="153"/>
      <c r="Q654" s="153"/>
      <c r="R654" s="153"/>
      <c r="AB654" s="38"/>
      <c r="AE654" s="153"/>
    </row>
    <row r="655" spans="1:31" s="39" customFormat="1">
      <c r="A655" s="38"/>
      <c r="B655" s="38"/>
      <c r="C655" s="38"/>
      <c r="D655" s="48"/>
      <c r="E655" s="48"/>
      <c r="O655" s="153"/>
      <c r="Q655" s="153"/>
      <c r="R655" s="153"/>
      <c r="AB655" s="38"/>
      <c r="AE655" s="153"/>
    </row>
    <row r="656" spans="1:31" s="39" customFormat="1">
      <c r="A656" s="38"/>
      <c r="B656" s="38"/>
      <c r="C656" s="38"/>
      <c r="D656" s="48"/>
      <c r="E656" s="48"/>
      <c r="O656" s="153"/>
      <c r="Q656" s="153"/>
      <c r="R656" s="153"/>
      <c r="AB656" s="38"/>
      <c r="AE656" s="153"/>
    </row>
    <row r="657" spans="1:31" s="39" customFormat="1">
      <c r="A657" s="38"/>
      <c r="B657" s="38"/>
      <c r="C657" s="38"/>
      <c r="D657" s="48"/>
      <c r="E657" s="48"/>
      <c r="O657" s="153"/>
      <c r="Q657" s="153"/>
      <c r="R657" s="153"/>
      <c r="AB657" s="38"/>
      <c r="AE657" s="153"/>
    </row>
    <row r="658" spans="1:31" s="39" customFormat="1">
      <c r="A658" s="38"/>
      <c r="B658" s="38"/>
      <c r="C658" s="38"/>
      <c r="D658" s="48"/>
      <c r="E658" s="48"/>
      <c r="O658" s="153"/>
      <c r="Q658" s="153"/>
      <c r="R658" s="153"/>
      <c r="AB658" s="38"/>
      <c r="AE658" s="153"/>
    </row>
    <row r="659" spans="1:31" s="39" customFormat="1">
      <c r="A659" s="38"/>
      <c r="B659" s="38"/>
      <c r="C659" s="38"/>
      <c r="D659" s="48"/>
      <c r="E659" s="48"/>
      <c r="O659" s="153"/>
      <c r="Q659" s="153"/>
      <c r="R659" s="153"/>
      <c r="AB659" s="38"/>
      <c r="AE659" s="153"/>
    </row>
    <row r="660" spans="1:31" s="39" customFormat="1">
      <c r="A660" s="38"/>
      <c r="B660" s="38"/>
      <c r="C660" s="38"/>
      <c r="D660" s="48"/>
      <c r="E660" s="48"/>
      <c r="O660" s="153"/>
      <c r="Q660" s="153"/>
      <c r="R660" s="153"/>
      <c r="AB660" s="38"/>
      <c r="AE660" s="153"/>
    </row>
    <row r="661" spans="1:31" s="39" customFormat="1">
      <c r="A661" s="38"/>
      <c r="B661" s="38"/>
      <c r="C661" s="38"/>
      <c r="D661" s="48"/>
      <c r="E661" s="48"/>
      <c r="O661" s="153"/>
      <c r="Q661" s="153"/>
      <c r="R661" s="153"/>
      <c r="AB661" s="38"/>
      <c r="AE661" s="153"/>
    </row>
    <row r="662" spans="1:31" s="39" customFormat="1">
      <c r="A662" s="38"/>
      <c r="B662" s="38"/>
      <c r="C662" s="38"/>
      <c r="D662" s="48"/>
      <c r="E662" s="48"/>
      <c r="O662" s="153"/>
      <c r="Q662" s="153"/>
      <c r="R662" s="153"/>
      <c r="AB662" s="38"/>
      <c r="AE662" s="153"/>
    </row>
    <row r="663" spans="1:31" s="39" customFormat="1">
      <c r="A663" s="38"/>
      <c r="B663" s="38"/>
      <c r="C663" s="38"/>
      <c r="D663" s="48"/>
      <c r="E663" s="48"/>
      <c r="O663" s="153"/>
      <c r="Q663" s="153"/>
      <c r="R663" s="153"/>
      <c r="AB663" s="38"/>
      <c r="AE663" s="153"/>
    </row>
    <row r="664" spans="1:31" s="39" customFormat="1">
      <c r="A664" s="38"/>
      <c r="B664" s="38"/>
      <c r="C664" s="38"/>
      <c r="D664" s="48"/>
      <c r="E664" s="48"/>
      <c r="O664" s="153"/>
      <c r="Q664" s="153"/>
      <c r="R664" s="153"/>
      <c r="AB664" s="38"/>
      <c r="AE664" s="153"/>
    </row>
    <row r="665" spans="1:31" s="39" customFormat="1">
      <c r="A665" s="38"/>
      <c r="B665" s="38"/>
      <c r="C665" s="38"/>
      <c r="D665" s="48"/>
      <c r="E665" s="48"/>
      <c r="O665" s="153"/>
      <c r="Q665" s="153"/>
      <c r="R665" s="153"/>
      <c r="AB665" s="38"/>
      <c r="AE665" s="153"/>
    </row>
    <row r="666" spans="1:31" s="39" customFormat="1">
      <c r="A666" s="38"/>
      <c r="B666" s="38"/>
      <c r="C666" s="38"/>
      <c r="D666" s="48"/>
      <c r="E666" s="48"/>
      <c r="O666" s="153"/>
      <c r="Q666" s="153"/>
      <c r="R666" s="153"/>
      <c r="AB666" s="38"/>
      <c r="AE666" s="153"/>
    </row>
    <row r="667" spans="1:31" s="39" customFormat="1">
      <c r="A667" s="38"/>
      <c r="B667" s="38"/>
      <c r="C667" s="38"/>
      <c r="D667" s="48"/>
      <c r="E667" s="48"/>
      <c r="O667" s="153"/>
      <c r="Q667" s="153"/>
      <c r="R667" s="153"/>
      <c r="AB667" s="38"/>
      <c r="AE667" s="153"/>
    </row>
    <row r="668" spans="1:31" s="39" customFormat="1">
      <c r="A668" s="38"/>
      <c r="B668" s="38"/>
      <c r="C668" s="38"/>
      <c r="D668" s="48"/>
      <c r="E668" s="48"/>
      <c r="O668" s="153"/>
      <c r="Q668" s="153"/>
      <c r="R668" s="153"/>
      <c r="AB668" s="38"/>
      <c r="AE668" s="153"/>
    </row>
    <row r="669" spans="1:31" s="39" customFormat="1">
      <c r="A669" s="38"/>
      <c r="B669" s="38"/>
      <c r="C669" s="38"/>
      <c r="D669" s="48"/>
      <c r="E669" s="48"/>
      <c r="O669" s="153"/>
      <c r="Q669" s="153"/>
      <c r="R669" s="153"/>
      <c r="AB669" s="38"/>
      <c r="AE669" s="153"/>
    </row>
    <row r="670" spans="1:31" s="39" customFormat="1">
      <c r="A670" s="38"/>
      <c r="B670" s="38"/>
      <c r="C670" s="38"/>
      <c r="D670" s="48"/>
      <c r="E670" s="48"/>
      <c r="O670" s="153"/>
      <c r="Q670" s="153"/>
      <c r="R670" s="153"/>
      <c r="AB670" s="38"/>
      <c r="AE670" s="153"/>
    </row>
    <row r="671" spans="1:31" s="39" customFormat="1">
      <c r="A671" s="38"/>
      <c r="B671" s="38"/>
      <c r="C671" s="38"/>
      <c r="D671" s="48"/>
      <c r="E671" s="48"/>
      <c r="O671" s="153"/>
      <c r="Q671" s="153"/>
      <c r="R671" s="153"/>
      <c r="AB671" s="38"/>
      <c r="AE671" s="153"/>
    </row>
    <row r="672" spans="1:31" s="39" customFormat="1">
      <c r="A672" s="38"/>
      <c r="B672" s="38"/>
      <c r="C672" s="38"/>
      <c r="D672" s="48"/>
      <c r="E672" s="48"/>
      <c r="O672" s="153"/>
      <c r="Q672" s="153"/>
      <c r="R672" s="153"/>
      <c r="AB672" s="38"/>
      <c r="AE672" s="153"/>
    </row>
    <row r="673" spans="1:31" s="39" customFormat="1">
      <c r="A673" s="38"/>
      <c r="B673" s="38"/>
      <c r="C673" s="38"/>
      <c r="D673" s="48"/>
      <c r="E673" s="48"/>
      <c r="O673" s="153"/>
      <c r="Q673" s="153"/>
      <c r="R673" s="153"/>
      <c r="AB673" s="38"/>
      <c r="AE673" s="153"/>
    </row>
    <row r="674" spans="1:31" s="39" customFormat="1">
      <c r="A674" s="38"/>
      <c r="B674" s="38"/>
      <c r="C674" s="38"/>
      <c r="D674" s="48"/>
      <c r="E674" s="48"/>
      <c r="O674" s="153"/>
      <c r="Q674" s="153"/>
      <c r="R674" s="153"/>
      <c r="AB674" s="38"/>
      <c r="AE674" s="153"/>
    </row>
    <row r="675" spans="1:31" s="39" customFormat="1">
      <c r="A675" s="38"/>
      <c r="B675" s="38"/>
      <c r="C675" s="38"/>
      <c r="D675" s="48"/>
      <c r="E675" s="48"/>
      <c r="O675" s="153"/>
      <c r="Q675" s="153"/>
      <c r="R675" s="153"/>
      <c r="AB675" s="38"/>
      <c r="AE675" s="153"/>
    </row>
    <row r="676" spans="1:31" s="39" customFormat="1">
      <c r="A676" s="38"/>
      <c r="B676" s="38"/>
      <c r="C676" s="38"/>
      <c r="D676" s="48"/>
      <c r="E676" s="48"/>
      <c r="O676" s="153"/>
      <c r="Q676" s="153"/>
      <c r="R676" s="153"/>
      <c r="AB676" s="38"/>
      <c r="AE676" s="153"/>
    </row>
    <row r="677" spans="1:31" s="39" customFormat="1">
      <c r="A677" s="38"/>
      <c r="B677" s="38"/>
      <c r="C677" s="38"/>
      <c r="D677" s="48"/>
      <c r="E677" s="48"/>
      <c r="O677" s="153"/>
      <c r="Q677" s="153"/>
      <c r="R677" s="153"/>
      <c r="AB677" s="38"/>
      <c r="AE677" s="153"/>
    </row>
    <row r="678" spans="1:31" s="39" customFormat="1">
      <c r="A678" s="38"/>
      <c r="B678" s="38"/>
      <c r="C678" s="38"/>
      <c r="D678" s="48"/>
      <c r="E678" s="48"/>
      <c r="O678" s="153"/>
      <c r="Q678" s="153"/>
      <c r="R678" s="153"/>
      <c r="AB678" s="38"/>
      <c r="AE678" s="153"/>
    </row>
    <row r="679" spans="1:31" s="39" customFormat="1">
      <c r="A679" s="38"/>
      <c r="B679" s="38"/>
      <c r="C679" s="38"/>
      <c r="D679" s="48"/>
      <c r="E679" s="48"/>
      <c r="O679" s="153"/>
      <c r="Q679" s="153"/>
      <c r="R679" s="153"/>
      <c r="AB679" s="38"/>
      <c r="AE679" s="153"/>
    </row>
    <row r="680" spans="1:31" s="39" customFormat="1">
      <c r="A680" s="38"/>
      <c r="B680" s="38"/>
      <c r="C680" s="38"/>
      <c r="D680" s="48"/>
      <c r="E680" s="48"/>
      <c r="O680" s="153"/>
      <c r="Q680" s="153"/>
      <c r="R680" s="153"/>
      <c r="AB680" s="38"/>
      <c r="AE680" s="153"/>
    </row>
    <row r="681" spans="1:31" s="39" customFormat="1">
      <c r="A681" s="38"/>
      <c r="B681" s="38"/>
      <c r="C681" s="38"/>
      <c r="D681" s="48"/>
      <c r="E681" s="48"/>
      <c r="O681" s="153"/>
      <c r="Q681" s="153"/>
      <c r="R681" s="153"/>
      <c r="AB681" s="38"/>
      <c r="AE681" s="153"/>
    </row>
    <row r="682" spans="1:31" s="39" customFormat="1">
      <c r="A682" s="38"/>
      <c r="B682" s="38"/>
      <c r="C682" s="38"/>
      <c r="D682" s="48"/>
      <c r="E682" s="48"/>
      <c r="O682" s="153"/>
      <c r="Q682" s="153"/>
      <c r="R682" s="153"/>
      <c r="AB682" s="38"/>
      <c r="AE682" s="153"/>
    </row>
    <row r="683" spans="1:31" s="39" customFormat="1">
      <c r="A683" s="38"/>
      <c r="B683" s="38"/>
      <c r="C683" s="38"/>
      <c r="D683" s="48"/>
      <c r="E683" s="48"/>
      <c r="O683" s="153"/>
      <c r="Q683" s="153"/>
      <c r="R683" s="153"/>
      <c r="AB683" s="38"/>
      <c r="AE683" s="153"/>
    </row>
    <row r="684" spans="1:31" s="39" customFormat="1">
      <c r="A684" s="38"/>
      <c r="B684" s="38"/>
      <c r="C684" s="38"/>
      <c r="D684" s="48"/>
      <c r="E684" s="48"/>
      <c r="O684" s="153"/>
      <c r="Q684" s="153"/>
      <c r="R684" s="153"/>
      <c r="AB684" s="38"/>
      <c r="AE684" s="153"/>
    </row>
    <row r="685" spans="1:31" s="39" customFormat="1">
      <c r="A685" s="38"/>
      <c r="B685" s="38"/>
      <c r="C685" s="38"/>
      <c r="D685" s="48"/>
      <c r="E685" s="48"/>
      <c r="O685" s="153"/>
      <c r="Q685" s="153"/>
      <c r="R685" s="153"/>
      <c r="AB685" s="38"/>
      <c r="AE685" s="153"/>
    </row>
    <row r="686" spans="1:31" s="39" customFormat="1">
      <c r="A686" s="38"/>
      <c r="B686" s="38"/>
      <c r="C686" s="38"/>
      <c r="D686" s="48"/>
      <c r="E686" s="48"/>
      <c r="O686" s="153"/>
      <c r="Q686" s="153"/>
      <c r="R686" s="153"/>
      <c r="AB686" s="38"/>
      <c r="AE686" s="153"/>
    </row>
    <row r="687" spans="1:31" s="39" customFormat="1">
      <c r="A687" s="38"/>
      <c r="B687" s="38"/>
      <c r="C687" s="38"/>
      <c r="D687" s="48"/>
      <c r="E687" s="48"/>
      <c r="O687" s="153"/>
      <c r="Q687" s="153"/>
      <c r="R687" s="153"/>
      <c r="AB687" s="38"/>
      <c r="AE687" s="153"/>
    </row>
    <row r="688" spans="1:31" s="39" customFormat="1">
      <c r="A688" s="38"/>
      <c r="B688" s="38"/>
      <c r="C688" s="38"/>
      <c r="D688" s="48"/>
      <c r="E688" s="48"/>
      <c r="O688" s="153"/>
      <c r="Q688" s="153"/>
      <c r="R688" s="153"/>
      <c r="AB688" s="38"/>
      <c r="AE688" s="153"/>
    </row>
    <row r="689" spans="1:31" s="39" customFormat="1">
      <c r="A689" s="38"/>
      <c r="B689" s="38"/>
      <c r="C689" s="38"/>
      <c r="D689" s="48"/>
      <c r="E689" s="48"/>
      <c r="O689" s="153"/>
      <c r="Q689" s="153"/>
      <c r="R689" s="153"/>
      <c r="AB689" s="38"/>
      <c r="AE689" s="153"/>
    </row>
    <row r="690" spans="1:31" s="39" customFormat="1">
      <c r="A690" s="38"/>
      <c r="B690" s="38"/>
      <c r="C690" s="38"/>
      <c r="D690" s="48"/>
      <c r="E690" s="48"/>
      <c r="O690" s="153"/>
      <c r="Q690" s="153"/>
      <c r="R690" s="153"/>
      <c r="AB690" s="38"/>
      <c r="AE690" s="153"/>
    </row>
    <row r="691" spans="1:31" s="39" customFormat="1">
      <c r="A691" s="38"/>
      <c r="B691" s="38"/>
      <c r="C691" s="38"/>
      <c r="D691" s="48"/>
      <c r="E691" s="48"/>
      <c r="O691" s="153"/>
      <c r="Q691" s="153"/>
      <c r="R691" s="153"/>
      <c r="AB691" s="38"/>
      <c r="AE691" s="153"/>
    </row>
    <row r="692" spans="1:31" s="39" customFormat="1">
      <c r="A692" s="38"/>
      <c r="B692" s="38"/>
      <c r="C692" s="38"/>
      <c r="D692" s="48"/>
      <c r="E692" s="48"/>
      <c r="O692" s="153"/>
      <c r="Q692" s="153"/>
      <c r="R692" s="153"/>
      <c r="AB692" s="38"/>
      <c r="AE692" s="153"/>
    </row>
    <row r="693" spans="1:31" s="39" customFormat="1">
      <c r="A693" s="38"/>
      <c r="B693" s="38"/>
      <c r="C693" s="38"/>
      <c r="D693" s="48"/>
      <c r="E693" s="48"/>
      <c r="O693" s="153"/>
      <c r="Q693" s="153"/>
      <c r="R693" s="153"/>
      <c r="AB693" s="38"/>
      <c r="AE693" s="153"/>
    </row>
    <row r="694" spans="1:31" s="39" customFormat="1">
      <c r="A694" s="38"/>
      <c r="B694" s="38"/>
      <c r="C694" s="38"/>
      <c r="D694" s="48"/>
      <c r="E694" s="48"/>
      <c r="O694" s="153"/>
      <c r="Q694" s="153"/>
      <c r="R694" s="153"/>
      <c r="AB694" s="38"/>
      <c r="AE694" s="153"/>
    </row>
    <row r="695" spans="1:31" s="39" customFormat="1">
      <c r="A695" s="38"/>
      <c r="B695" s="38"/>
      <c r="C695" s="38"/>
      <c r="D695" s="48"/>
      <c r="E695" s="48"/>
      <c r="O695" s="153"/>
      <c r="Q695" s="153"/>
      <c r="R695" s="153"/>
      <c r="AB695" s="38"/>
      <c r="AE695" s="153"/>
    </row>
    <row r="696" spans="1:31" s="39" customFormat="1">
      <c r="A696" s="38"/>
      <c r="B696" s="38"/>
      <c r="C696" s="38"/>
      <c r="D696" s="48"/>
      <c r="E696" s="48"/>
      <c r="O696" s="153"/>
      <c r="Q696" s="153"/>
      <c r="R696" s="153"/>
      <c r="AB696" s="38"/>
      <c r="AE696" s="153"/>
    </row>
    <row r="697" spans="1:31" s="39" customFormat="1">
      <c r="A697" s="38"/>
      <c r="B697" s="38"/>
      <c r="C697" s="38"/>
      <c r="D697" s="48"/>
      <c r="E697" s="48"/>
      <c r="O697" s="153"/>
      <c r="Q697" s="153"/>
      <c r="R697" s="153"/>
      <c r="AB697" s="38"/>
      <c r="AE697" s="153"/>
    </row>
    <row r="698" spans="1:31" s="39" customFormat="1">
      <c r="A698" s="38"/>
      <c r="B698" s="38"/>
      <c r="C698" s="38"/>
      <c r="D698" s="48"/>
      <c r="E698" s="48"/>
      <c r="O698" s="153"/>
      <c r="Q698" s="153"/>
      <c r="R698" s="153"/>
      <c r="AB698" s="38"/>
      <c r="AE698" s="153"/>
    </row>
    <row r="699" spans="1:31" s="39" customFormat="1">
      <c r="A699" s="38"/>
      <c r="B699" s="38"/>
      <c r="C699" s="38"/>
      <c r="D699" s="48"/>
      <c r="E699" s="48"/>
      <c r="O699" s="153"/>
      <c r="Q699" s="153"/>
      <c r="R699" s="153"/>
      <c r="AB699" s="38"/>
      <c r="AE699" s="153"/>
    </row>
    <row r="700" spans="1:31" s="39" customFormat="1">
      <c r="A700" s="38"/>
      <c r="B700" s="38"/>
      <c r="C700" s="38"/>
      <c r="D700" s="48"/>
      <c r="E700" s="48"/>
      <c r="O700" s="153"/>
      <c r="Q700" s="153"/>
      <c r="R700" s="153"/>
      <c r="AB700" s="38"/>
      <c r="AE700" s="153"/>
    </row>
    <row r="701" spans="1:31" s="39" customFormat="1">
      <c r="A701" s="38"/>
      <c r="B701" s="38"/>
      <c r="C701" s="38"/>
      <c r="D701" s="48"/>
      <c r="E701" s="48"/>
      <c r="O701" s="153"/>
      <c r="Q701" s="153"/>
      <c r="R701" s="153"/>
      <c r="AB701" s="38"/>
      <c r="AE701" s="153"/>
    </row>
    <row r="702" spans="1:31" s="39" customFormat="1">
      <c r="A702" s="38"/>
      <c r="B702" s="38"/>
      <c r="C702" s="38"/>
      <c r="D702" s="48"/>
      <c r="E702" s="48"/>
      <c r="O702" s="153"/>
      <c r="Q702" s="153"/>
      <c r="R702" s="153"/>
      <c r="AB702" s="38"/>
      <c r="AE702" s="153"/>
    </row>
    <row r="703" spans="1:31" s="39" customFormat="1">
      <c r="A703" s="38"/>
      <c r="B703" s="38"/>
      <c r="C703" s="38"/>
      <c r="D703" s="48"/>
      <c r="E703" s="48"/>
      <c r="O703" s="153"/>
      <c r="Q703" s="153"/>
      <c r="R703" s="153"/>
      <c r="AB703" s="38"/>
      <c r="AE703" s="153"/>
    </row>
    <row r="704" spans="1:31" s="39" customFormat="1">
      <c r="A704" s="38"/>
      <c r="B704" s="38"/>
      <c r="C704" s="38"/>
      <c r="D704" s="48"/>
      <c r="E704" s="48"/>
      <c r="O704" s="153"/>
      <c r="Q704" s="153"/>
      <c r="R704" s="153"/>
      <c r="AB704" s="38"/>
      <c r="AE704" s="153"/>
    </row>
    <row r="705" spans="1:31" s="39" customFormat="1">
      <c r="A705" s="38"/>
      <c r="B705" s="38"/>
      <c r="C705" s="38"/>
      <c r="D705" s="48"/>
      <c r="E705" s="48"/>
      <c r="O705" s="153"/>
      <c r="Q705" s="153"/>
      <c r="R705" s="153"/>
      <c r="AB705" s="38"/>
      <c r="AE705" s="153"/>
    </row>
    <row r="706" spans="1:31" s="39" customFormat="1">
      <c r="A706" s="38"/>
      <c r="B706" s="38"/>
      <c r="C706" s="38"/>
      <c r="D706" s="48"/>
      <c r="E706" s="48"/>
      <c r="O706" s="153"/>
      <c r="Q706" s="153"/>
      <c r="R706" s="153"/>
      <c r="AB706" s="38"/>
      <c r="AE706" s="153"/>
    </row>
    <row r="707" spans="1:31" s="39" customFormat="1">
      <c r="A707" s="38"/>
      <c r="B707" s="38"/>
      <c r="C707" s="38"/>
      <c r="D707" s="48"/>
      <c r="E707" s="48"/>
      <c r="O707" s="153"/>
      <c r="Q707" s="153"/>
      <c r="R707" s="153"/>
      <c r="AB707" s="38"/>
      <c r="AE707" s="153"/>
    </row>
    <row r="708" spans="1:31" s="39" customFormat="1">
      <c r="A708" s="38"/>
      <c r="B708" s="38"/>
      <c r="C708" s="38"/>
      <c r="D708" s="48"/>
      <c r="E708" s="48"/>
      <c r="O708" s="153"/>
      <c r="Q708" s="153"/>
      <c r="R708" s="153"/>
      <c r="AB708" s="38"/>
      <c r="AE708" s="153"/>
    </row>
    <row r="709" spans="1:31" s="39" customFormat="1">
      <c r="A709" s="38"/>
      <c r="B709" s="38"/>
      <c r="C709" s="38"/>
      <c r="D709" s="48"/>
      <c r="E709" s="48"/>
      <c r="O709" s="153"/>
      <c r="Q709" s="153"/>
      <c r="R709" s="153"/>
      <c r="AB709" s="38"/>
      <c r="AE709" s="153"/>
    </row>
    <row r="710" spans="1:31" s="39" customFormat="1">
      <c r="A710" s="38"/>
      <c r="B710" s="38"/>
      <c r="C710" s="38"/>
      <c r="D710" s="48"/>
      <c r="E710" s="48"/>
      <c r="O710" s="153"/>
      <c r="Q710" s="153"/>
      <c r="R710" s="153"/>
      <c r="AB710" s="38"/>
      <c r="AE710" s="153"/>
    </row>
    <row r="711" spans="1:31" s="39" customFormat="1">
      <c r="A711" s="38"/>
      <c r="B711" s="38"/>
      <c r="C711" s="38"/>
      <c r="D711" s="48"/>
      <c r="E711" s="48"/>
      <c r="O711" s="153"/>
      <c r="Q711" s="153"/>
      <c r="R711" s="153"/>
      <c r="AB711" s="38"/>
      <c r="AE711" s="153"/>
    </row>
    <row r="712" spans="1:31" s="39" customFormat="1">
      <c r="A712" s="38"/>
      <c r="B712" s="38"/>
      <c r="C712" s="38"/>
      <c r="D712" s="48"/>
      <c r="E712" s="48"/>
      <c r="O712" s="153"/>
      <c r="Q712" s="153"/>
      <c r="R712" s="153"/>
      <c r="AB712" s="38"/>
      <c r="AE712" s="153"/>
    </row>
    <row r="713" spans="1:31" s="39" customFormat="1">
      <c r="A713" s="38"/>
      <c r="B713" s="38"/>
      <c r="C713" s="38"/>
      <c r="D713" s="48"/>
      <c r="E713" s="48"/>
      <c r="O713" s="153"/>
      <c r="Q713" s="153"/>
      <c r="R713" s="153"/>
      <c r="AB713" s="38"/>
      <c r="AE713" s="153"/>
    </row>
    <row r="714" spans="1:31" s="39" customFormat="1">
      <c r="A714" s="38"/>
      <c r="B714" s="38"/>
      <c r="C714" s="38"/>
      <c r="D714" s="48"/>
      <c r="E714" s="48"/>
      <c r="O714" s="153"/>
      <c r="Q714" s="153"/>
      <c r="R714" s="153"/>
      <c r="AB714" s="38"/>
      <c r="AE714" s="153"/>
    </row>
    <row r="715" spans="1:31" s="39" customFormat="1">
      <c r="A715" s="38"/>
      <c r="B715" s="38"/>
      <c r="C715" s="38"/>
      <c r="D715" s="48"/>
      <c r="E715" s="48"/>
      <c r="O715" s="153"/>
      <c r="Q715" s="153"/>
      <c r="R715" s="153"/>
      <c r="AB715" s="38"/>
      <c r="AE715" s="153"/>
    </row>
    <row r="716" spans="1:31" s="39" customFormat="1">
      <c r="A716" s="38"/>
      <c r="B716" s="38"/>
      <c r="C716" s="38"/>
      <c r="D716" s="48"/>
      <c r="E716" s="48"/>
      <c r="O716" s="153"/>
      <c r="Q716" s="153"/>
      <c r="R716" s="153"/>
      <c r="AB716" s="38"/>
      <c r="AE716" s="153"/>
    </row>
    <row r="717" spans="1:31" s="39" customFormat="1">
      <c r="A717" s="38"/>
      <c r="B717" s="38"/>
      <c r="C717" s="38"/>
      <c r="D717" s="48"/>
      <c r="E717" s="48"/>
      <c r="O717" s="153"/>
      <c r="Q717" s="153"/>
      <c r="R717" s="153"/>
      <c r="AB717" s="38"/>
      <c r="AE717" s="153"/>
    </row>
    <row r="718" spans="1:31" s="39" customFormat="1">
      <c r="A718" s="38"/>
      <c r="B718" s="38"/>
      <c r="C718" s="38"/>
      <c r="D718" s="48"/>
      <c r="E718" s="48"/>
      <c r="O718" s="153"/>
      <c r="Q718" s="153"/>
      <c r="R718" s="153"/>
      <c r="AB718" s="38"/>
      <c r="AE718" s="153"/>
    </row>
    <row r="719" spans="1:31" s="39" customFormat="1">
      <c r="A719" s="38"/>
      <c r="B719" s="38"/>
      <c r="C719" s="38"/>
      <c r="D719" s="48"/>
      <c r="E719" s="48"/>
      <c r="O719" s="153"/>
      <c r="Q719" s="153"/>
      <c r="R719" s="153"/>
      <c r="AB719" s="38"/>
      <c r="AE719" s="153"/>
    </row>
    <row r="720" spans="1:31" s="39" customFormat="1">
      <c r="A720" s="38"/>
      <c r="B720" s="38"/>
      <c r="C720" s="38"/>
      <c r="D720" s="48"/>
      <c r="E720" s="48"/>
      <c r="O720" s="153"/>
      <c r="Q720" s="153"/>
      <c r="R720" s="153"/>
      <c r="AB720" s="38"/>
      <c r="AE720" s="153"/>
    </row>
    <row r="721" spans="1:31" s="39" customFormat="1">
      <c r="A721" s="38"/>
      <c r="B721" s="38"/>
      <c r="C721" s="38"/>
      <c r="D721" s="48"/>
      <c r="E721" s="48"/>
      <c r="O721" s="153"/>
      <c r="Q721" s="153"/>
      <c r="R721" s="153"/>
      <c r="AB721" s="38"/>
      <c r="AE721" s="153"/>
    </row>
    <row r="722" spans="1:31" s="39" customFormat="1">
      <c r="A722" s="38"/>
      <c r="B722" s="38"/>
      <c r="C722" s="38"/>
      <c r="D722" s="48"/>
      <c r="E722" s="48"/>
      <c r="O722" s="153"/>
      <c r="Q722" s="153"/>
      <c r="R722" s="153"/>
      <c r="AB722" s="38"/>
      <c r="AE722" s="153"/>
    </row>
    <row r="723" spans="1:31" s="39" customFormat="1">
      <c r="A723" s="38"/>
      <c r="B723" s="38"/>
      <c r="C723" s="38"/>
      <c r="D723" s="48"/>
      <c r="E723" s="48"/>
      <c r="O723" s="153"/>
      <c r="Q723" s="153"/>
      <c r="R723" s="153"/>
      <c r="AB723" s="38"/>
      <c r="AE723" s="153"/>
    </row>
    <row r="724" spans="1:31" s="39" customFormat="1">
      <c r="A724" s="38"/>
      <c r="B724" s="38"/>
      <c r="C724" s="38"/>
      <c r="D724" s="48"/>
      <c r="E724" s="48"/>
      <c r="O724" s="153"/>
      <c r="Q724" s="153"/>
      <c r="R724" s="153"/>
      <c r="AB724" s="38"/>
      <c r="AE724" s="153"/>
    </row>
    <row r="725" spans="1:31" s="39" customFormat="1">
      <c r="A725" s="38"/>
      <c r="B725" s="38"/>
      <c r="C725" s="38"/>
      <c r="D725" s="48"/>
      <c r="E725" s="48"/>
      <c r="O725" s="153"/>
      <c r="Q725" s="153"/>
      <c r="R725" s="153"/>
      <c r="AB725" s="38"/>
      <c r="AE725" s="153"/>
    </row>
    <row r="726" spans="1:31" s="39" customFormat="1">
      <c r="A726" s="38"/>
      <c r="B726" s="38"/>
      <c r="C726" s="38"/>
      <c r="D726" s="48"/>
      <c r="E726" s="48"/>
      <c r="O726" s="153"/>
      <c r="Q726" s="153"/>
      <c r="R726" s="153"/>
      <c r="AB726" s="38"/>
      <c r="AE726" s="153"/>
    </row>
    <row r="727" spans="1:31" s="39" customFormat="1">
      <c r="A727" s="38"/>
      <c r="B727" s="38"/>
      <c r="C727" s="38"/>
      <c r="D727" s="48"/>
      <c r="E727" s="48"/>
      <c r="O727" s="153"/>
      <c r="Q727" s="153"/>
      <c r="R727" s="153"/>
      <c r="AB727" s="38"/>
      <c r="AE727" s="153"/>
    </row>
    <row r="728" spans="1:31" s="39" customFormat="1">
      <c r="A728" s="38"/>
      <c r="B728" s="38"/>
      <c r="C728" s="38"/>
      <c r="D728" s="48"/>
      <c r="E728" s="48"/>
      <c r="O728" s="153"/>
      <c r="Q728" s="153"/>
      <c r="R728" s="153"/>
      <c r="AB728" s="38"/>
      <c r="AE728" s="153"/>
    </row>
    <row r="729" spans="1:31" s="39" customFormat="1">
      <c r="A729" s="38"/>
      <c r="B729" s="38"/>
      <c r="C729" s="38"/>
      <c r="D729" s="48"/>
      <c r="E729" s="48"/>
      <c r="O729" s="153"/>
      <c r="Q729" s="153"/>
      <c r="R729" s="153"/>
      <c r="AB729" s="38"/>
      <c r="AE729" s="153"/>
    </row>
    <row r="730" spans="1:31" s="39" customFormat="1">
      <c r="A730" s="38"/>
      <c r="B730" s="38"/>
      <c r="C730" s="38"/>
      <c r="D730" s="48"/>
      <c r="E730" s="48"/>
      <c r="O730" s="153"/>
      <c r="Q730" s="153"/>
      <c r="R730" s="153"/>
      <c r="AB730" s="38"/>
      <c r="AE730" s="153"/>
    </row>
    <row r="731" spans="1:31" s="39" customFormat="1">
      <c r="A731" s="38"/>
      <c r="B731" s="38"/>
      <c r="C731" s="38"/>
      <c r="D731" s="48"/>
      <c r="E731" s="48"/>
      <c r="O731" s="153"/>
      <c r="Q731" s="153"/>
      <c r="R731" s="153"/>
      <c r="AB731" s="38"/>
      <c r="AE731" s="153"/>
    </row>
    <row r="732" spans="1:31" s="39" customFormat="1">
      <c r="A732" s="38"/>
      <c r="B732" s="38"/>
      <c r="C732" s="38"/>
      <c r="D732" s="48"/>
      <c r="E732" s="48"/>
      <c r="O732" s="153"/>
      <c r="Q732" s="153"/>
      <c r="R732" s="153"/>
      <c r="AB732" s="38"/>
      <c r="AE732" s="153"/>
    </row>
    <row r="733" spans="1:31" s="39" customFormat="1">
      <c r="A733" s="38"/>
      <c r="B733" s="38"/>
      <c r="C733" s="38"/>
      <c r="D733" s="48"/>
      <c r="E733" s="48"/>
      <c r="O733" s="153"/>
      <c r="Q733" s="153"/>
      <c r="R733" s="153"/>
      <c r="AB733" s="38"/>
      <c r="AE733" s="153"/>
    </row>
    <row r="734" spans="1:31" s="39" customFormat="1">
      <c r="A734" s="38"/>
      <c r="B734" s="38"/>
      <c r="C734" s="38"/>
      <c r="D734" s="48"/>
      <c r="E734" s="48"/>
      <c r="O734" s="153"/>
      <c r="Q734" s="153"/>
      <c r="R734" s="153"/>
      <c r="AB734" s="38"/>
      <c r="AE734" s="153"/>
    </row>
    <row r="735" spans="1:31" s="39" customFormat="1">
      <c r="A735" s="38"/>
      <c r="B735" s="38"/>
      <c r="C735" s="38"/>
      <c r="D735" s="48"/>
      <c r="E735" s="48"/>
      <c r="O735" s="153"/>
      <c r="Q735" s="153"/>
      <c r="R735" s="153"/>
      <c r="AB735" s="38"/>
      <c r="AE735" s="153"/>
    </row>
    <row r="736" spans="1:31" s="39" customFormat="1">
      <c r="A736" s="38"/>
      <c r="B736" s="38"/>
      <c r="C736" s="38"/>
      <c r="D736" s="48"/>
      <c r="E736" s="48"/>
      <c r="O736" s="153"/>
      <c r="Q736" s="153"/>
      <c r="R736" s="153"/>
      <c r="AB736" s="38"/>
      <c r="AE736" s="153"/>
    </row>
    <row r="737" spans="1:31" s="39" customFormat="1">
      <c r="A737" s="38"/>
      <c r="B737" s="38"/>
      <c r="C737" s="38"/>
      <c r="D737" s="48"/>
      <c r="E737" s="48"/>
      <c r="O737" s="153"/>
      <c r="Q737" s="153"/>
      <c r="R737" s="153"/>
      <c r="AB737" s="38"/>
      <c r="AE737" s="153"/>
    </row>
    <row r="738" spans="1:31" s="39" customFormat="1">
      <c r="A738" s="38"/>
      <c r="B738" s="38"/>
      <c r="C738" s="38"/>
      <c r="D738" s="48"/>
      <c r="E738" s="48"/>
      <c r="O738" s="153"/>
      <c r="Q738" s="153"/>
      <c r="R738" s="153"/>
      <c r="AB738" s="38"/>
      <c r="AE738" s="153"/>
    </row>
    <row r="739" spans="1:31" s="39" customFormat="1">
      <c r="A739" s="38"/>
      <c r="B739" s="38"/>
      <c r="C739" s="38"/>
      <c r="D739" s="48"/>
      <c r="E739" s="48"/>
      <c r="O739" s="153"/>
      <c r="Q739" s="153"/>
      <c r="R739" s="153"/>
      <c r="AB739" s="38"/>
      <c r="AE739" s="153"/>
    </row>
    <row r="740" spans="1:31" s="39" customFormat="1">
      <c r="A740" s="38"/>
      <c r="B740" s="38"/>
      <c r="C740" s="38"/>
      <c r="D740" s="48"/>
      <c r="E740" s="48"/>
      <c r="O740" s="153"/>
      <c r="Q740" s="153"/>
      <c r="R740" s="153"/>
      <c r="AB740" s="38"/>
      <c r="AE740" s="153"/>
    </row>
    <row r="741" spans="1:31" s="39" customFormat="1">
      <c r="A741" s="38"/>
      <c r="B741" s="38"/>
      <c r="C741" s="38"/>
      <c r="D741" s="48"/>
      <c r="E741" s="48"/>
      <c r="O741" s="153"/>
      <c r="Q741" s="153"/>
      <c r="R741" s="153"/>
      <c r="AB741" s="38"/>
      <c r="AE741" s="153"/>
    </row>
    <row r="742" spans="1:31" s="39" customFormat="1">
      <c r="A742" s="38"/>
      <c r="B742" s="38"/>
      <c r="C742" s="38"/>
      <c r="D742" s="48"/>
      <c r="E742" s="48"/>
      <c r="O742" s="153"/>
      <c r="Q742" s="153"/>
      <c r="R742" s="153"/>
      <c r="AB742" s="38"/>
      <c r="AE742" s="153"/>
    </row>
    <row r="743" spans="1:31" s="39" customFormat="1">
      <c r="A743" s="38"/>
      <c r="B743" s="38"/>
      <c r="C743" s="38"/>
      <c r="D743" s="48"/>
      <c r="E743" s="48"/>
      <c r="O743" s="153"/>
      <c r="Q743" s="153"/>
      <c r="R743" s="153"/>
      <c r="AB743" s="38"/>
      <c r="AE743" s="153"/>
    </row>
    <row r="744" spans="1:31" s="39" customFormat="1">
      <c r="A744" s="38"/>
      <c r="B744" s="38"/>
      <c r="C744" s="38"/>
      <c r="D744" s="48"/>
      <c r="E744" s="48"/>
      <c r="O744" s="153"/>
      <c r="Q744" s="153"/>
      <c r="R744" s="153"/>
      <c r="AB744" s="38"/>
      <c r="AE744" s="153"/>
    </row>
    <row r="745" spans="1:31" s="39" customFormat="1">
      <c r="A745" s="38"/>
      <c r="B745" s="38"/>
      <c r="C745" s="38"/>
      <c r="D745" s="48"/>
      <c r="E745" s="48"/>
      <c r="O745" s="153"/>
      <c r="Q745" s="153"/>
      <c r="R745" s="153"/>
      <c r="AB745" s="38"/>
      <c r="AE745" s="153"/>
    </row>
    <row r="746" spans="1:31" s="39" customFormat="1">
      <c r="A746" s="38"/>
      <c r="B746" s="38"/>
      <c r="C746" s="38"/>
      <c r="D746" s="48"/>
      <c r="E746" s="48"/>
      <c r="O746" s="153"/>
      <c r="Q746" s="153"/>
      <c r="R746" s="153"/>
      <c r="AB746" s="38"/>
      <c r="AE746" s="153"/>
    </row>
    <row r="747" spans="1:31" s="39" customFormat="1">
      <c r="A747" s="38"/>
      <c r="B747" s="38"/>
      <c r="C747" s="38"/>
      <c r="D747" s="48"/>
      <c r="E747" s="48"/>
      <c r="O747" s="153"/>
      <c r="Q747" s="153"/>
      <c r="R747" s="153"/>
      <c r="AB747" s="38"/>
      <c r="AE747" s="153"/>
    </row>
    <row r="748" spans="1:31" s="39" customFormat="1">
      <c r="A748" s="38"/>
      <c r="B748" s="38"/>
      <c r="C748" s="38"/>
      <c r="D748" s="48"/>
      <c r="E748" s="48"/>
      <c r="O748" s="153"/>
      <c r="Q748" s="153"/>
      <c r="R748" s="153"/>
      <c r="AB748" s="38"/>
      <c r="AE748" s="153"/>
    </row>
    <row r="749" spans="1:31" s="39" customFormat="1">
      <c r="A749" s="38"/>
      <c r="B749" s="38"/>
      <c r="C749" s="38"/>
      <c r="D749" s="48"/>
      <c r="E749" s="48"/>
      <c r="O749" s="153"/>
      <c r="Q749" s="153"/>
      <c r="R749" s="153"/>
      <c r="AB749" s="38"/>
      <c r="AE749" s="153"/>
    </row>
    <row r="750" spans="1:31" s="39" customFormat="1">
      <c r="A750" s="38"/>
      <c r="B750" s="38"/>
      <c r="C750" s="38"/>
      <c r="D750" s="48"/>
      <c r="E750" s="48"/>
      <c r="O750" s="153"/>
      <c r="Q750" s="153"/>
      <c r="R750" s="153"/>
      <c r="AB750" s="38"/>
      <c r="AE750" s="153"/>
    </row>
    <row r="751" spans="1:31" s="39" customFormat="1">
      <c r="A751" s="38"/>
      <c r="B751" s="38"/>
      <c r="C751" s="38"/>
      <c r="D751" s="48"/>
      <c r="E751" s="48"/>
      <c r="O751" s="153"/>
      <c r="Q751" s="153"/>
      <c r="R751" s="153"/>
      <c r="AB751" s="38"/>
      <c r="AE751" s="153"/>
    </row>
    <row r="752" spans="1:31" s="39" customFormat="1">
      <c r="A752" s="38"/>
      <c r="B752" s="38"/>
      <c r="C752" s="38"/>
      <c r="D752" s="48"/>
      <c r="E752" s="48"/>
      <c r="O752" s="153"/>
      <c r="Q752" s="153"/>
      <c r="R752" s="153"/>
      <c r="AB752" s="38"/>
      <c r="AE752" s="153"/>
    </row>
    <row r="753" spans="1:31" s="39" customFormat="1">
      <c r="A753" s="38"/>
      <c r="B753" s="38"/>
      <c r="C753" s="38"/>
      <c r="D753" s="48"/>
      <c r="E753" s="48"/>
      <c r="O753" s="153"/>
      <c r="Q753" s="153"/>
      <c r="R753" s="153"/>
      <c r="AB753" s="38"/>
      <c r="AE753" s="153"/>
    </row>
    <row r="754" spans="1:31" s="39" customFormat="1">
      <c r="A754" s="38"/>
      <c r="B754" s="38"/>
      <c r="C754" s="38"/>
      <c r="D754" s="48"/>
      <c r="E754" s="48"/>
      <c r="O754" s="153"/>
      <c r="Q754" s="153"/>
      <c r="R754" s="153"/>
      <c r="AB754" s="38"/>
      <c r="AE754" s="153"/>
    </row>
    <row r="755" spans="1:31" s="39" customFormat="1">
      <c r="A755" s="38"/>
      <c r="B755" s="38"/>
      <c r="C755" s="38"/>
      <c r="D755" s="48"/>
      <c r="E755" s="48"/>
      <c r="O755" s="153"/>
      <c r="Q755" s="153"/>
      <c r="R755" s="153"/>
      <c r="AB755" s="38"/>
      <c r="AE755" s="153"/>
    </row>
    <row r="756" spans="1:31" s="39" customFormat="1">
      <c r="A756" s="38"/>
      <c r="B756" s="38"/>
      <c r="C756" s="38"/>
      <c r="D756" s="48"/>
      <c r="E756" s="48"/>
      <c r="O756" s="153"/>
      <c r="Q756" s="153"/>
      <c r="R756" s="153"/>
      <c r="AB756" s="38"/>
      <c r="AE756" s="153"/>
    </row>
    <row r="757" spans="1:31" s="39" customFormat="1">
      <c r="A757" s="38"/>
      <c r="B757" s="38"/>
      <c r="C757" s="38"/>
      <c r="D757" s="48"/>
      <c r="E757" s="48"/>
      <c r="O757" s="153"/>
      <c r="Q757" s="153"/>
      <c r="R757" s="153"/>
      <c r="AB757" s="38"/>
      <c r="AE757" s="153"/>
    </row>
    <row r="758" spans="1:31" s="39" customFormat="1">
      <c r="A758" s="38"/>
      <c r="B758" s="38"/>
      <c r="C758" s="38"/>
      <c r="D758" s="48"/>
      <c r="E758" s="48"/>
      <c r="O758" s="153"/>
      <c r="Q758" s="153"/>
      <c r="R758" s="153"/>
      <c r="AB758" s="38"/>
      <c r="AE758" s="153"/>
    </row>
    <row r="759" spans="1:31" s="39" customFormat="1">
      <c r="A759" s="38"/>
      <c r="B759" s="38"/>
      <c r="C759" s="38"/>
      <c r="D759" s="48"/>
      <c r="E759" s="48"/>
      <c r="O759" s="153"/>
      <c r="Q759" s="153"/>
      <c r="R759" s="153"/>
      <c r="AB759" s="38"/>
      <c r="AE759" s="153"/>
    </row>
    <row r="760" spans="1:31" s="39" customFormat="1">
      <c r="A760" s="38"/>
      <c r="B760" s="38"/>
      <c r="C760" s="38"/>
      <c r="D760" s="48"/>
      <c r="E760" s="48"/>
      <c r="O760" s="153"/>
      <c r="Q760" s="153"/>
      <c r="R760" s="153"/>
      <c r="AB760" s="38"/>
      <c r="AE760" s="153"/>
    </row>
    <row r="761" spans="1:31" s="39" customFormat="1">
      <c r="A761" s="38"/>
      <c r="B761" s="38"/>
      <c r="C761" s="38"/>
      <c r="D761" s="48"/>
      <c r="E761" s="48"/>
      <c r="O761" s="153"/>
      <c r="Q761" s="153"/>
      <c r="R761" s="153"/>
      <c r="AB761" s="38"/>
      <c r="AE761" s="153"/>
    </row>
    <row r="762" spans="1:31" s="39" customFormat="1">
      <c r="A762" s="38"/>
      <c r="B762" s="38"/>
      <c r="C762" s="38"/>
      <c r="D762" s="48"/>
      <c r="E762" s="48"/>
      <c r="O762" s="153"/>
      <c r="Q762" s="153"/>
      <c r="R762" s="153"/>
      <c r="AB762" s="38"/>
      <c r="AE762" s="153"/>
    </row>
    <row r="763" spans="1:31" s="39" customFormat="1">
      <c r="A763" s="38"/>
      <c r="B763" s="38"/>
      <c r="C763" s="38"/>
      <c r="D763" s="48"/>
      <c r="E763" s="48"/>
      <c r="O763" s="153"/>
      <c r="Q763" s="153"/>
      <c r="R763" s="153"/>
      <c r="AB763" s="38"/>
      <c r="AE763" s="153"/>
    </row>
    <row r="764" spans="1:31" s="39" customFormat="1">
      <c r="A764" s="38"/>
      <c r="B764" s="38"/>
      <c r="C764" s="38"/>
      <c r="D764" s="48"/>
      <c r="E764" s="48"/>
      <c r="O764" s="153"/>
      <c r="Q764" s="153"/>
      <c r="R764" s="153"/>
      <c r="AB764" s="38"/>
      <c r="AE764" s="153"/>
    </row>
    <row r="765" spans="1:31" s="39" customFormat="1">
      <c r="A765" s="38"/>
      <c r="B765" s="38"/>
      <c r="C765" s="38"/>
      <c r="D765" s="48"/>
      <c r="E765" s="48"/>
      <c r="O765" s="153"/>
      <c r="Q765" s="153"/>
      <c r="R765" s="153"/>
      <c r="AB765" s="38"/>
      <c r="AE765" s="153"/>
    </row>
    <row r="766" spans="1:31" s="39" customFormat="1">
      <c r="A766" s="38"/>
      <c r="B766" s="38"/>
      <c r="C766" s="38"/>
      <c r="D766" s="48"/>
      <c r="E766" s="48"/>
      <c r="O766" s="153"/>
      <c r="Q766" s="153"/>
      <c r="R766" s="153"/>
      <c r="AB766" s="38"/>
      <c r="AE766" s="153"/>
    </row>
    <row r="767" spans="1:31" s="39" customFormat="1">
      <c r="A767" s="38"/>
      <c r="B767" s="38"/>
      <c r="C767" s="38"/>
      <c r="D767" s="48"/>
      <c r="E767" s="48"/>
      <c r="O767" s="153"/>
      <c r="Q767" s="153"/>
      <c r="R767" s="153"/>
      <c r="AB767" s="38"/>
      <c r="AE767" s="153"/>
    </row>
    <row r="768" spans="1:31" s="39" customFormat="1">
      <c r="A768" s="38"/>
      <c r="B768" s="38"/>
      <c r="C768" s="38"/>
      <c r="D768" s="48"/>
      <c r="E768" s="48"/>
      <c r="O768" s="153"/>
      <c r="Q768" s="153"/>
      <c r="R768" s="153"/>
      <c r="AB768" s="38"/>
      <c r="AE768" s="153"/>
    </row>
    <row r="769" spans="1:31" s="39" customFormat="1">
      <c r="A769" s="38"/>
      <c r="B769" s="38"/>
      <c r="C769" s="38"/>
      <c r="D769" s="48"/>
      <c r="E769" s="48"/>
      <c r="O769" s="153"/>
      <c r="Q769" s="153"/>
      <c r="R769" s="153"/>
      <c r="AB769" s="38"/>
      <c r="AE769" s="153"/>
    </row>
    <row r="770" spans="1:31" s="39" customFormat="1">
      <c r="A770" s="38"/>
      <c r="B770" s="38"/>
      <c r="C770" s="38"/>
      <c r="D770" s="48"/>
      <c r="E770" s="48"/>
      <c r="O770" s="153"/>
      <c r="Q770" s="153"/>
      <c r="R770" s="153"/>
      <c r="AB770" s="38"/>
      <c r="AE770" s="153"/>
    </row>
    <row r="771" spans="1:31" s="39" customFormat="1">
      <c r="A771" s="38"/>
      <c r="B771" s="38"/>
      <c r="C771" s="38"/>
      <c r="D771" s="48"/>
      <c r="E771" s="48"/>
      <c r="O771" s="153"/>
      <c r="Q771" s="153"/>
      <c r="R771" s="153"/>
      <c r="AB771" s="38"/>
      <c r="AE771" s="153"/>
    </row>
    <row r="772" spans="1:31" s="39" customFormat="1">
      <c r="A772" s="38"/>
      <c r="B772" s="38"/>
      <c r="C772" s="38"/>
      <c r="D772" s="48"/>
      <c r="E772" s="48"/>
      <c r="O772" s="153"/>
      <c r="Q772" s="153"/>
      <c r="R772" s="153"/>
      <c r="AB772" s="38"/>
      <c r="AE772" s="153"/>
    </row>
    <row r="773" spans="1:31" s="39" customFormat="1">
      <c r="A773" s="38"/>
      <c r="B773" s="38"/>
      <c r="C773" s="38"/>
      <c r="D773" s="48"/>
      <c r="E773" s="48"/>
      <c r="O773" s="153"/>
      <c r="Q773" s="153"/>
      <c r="R773" s="153"/>
      <c r="AB773" s="38"/>
      <c r="AE773" s="153"/>
    </row>
    <row r="774" spans="1:31" s="39" customFormat="1">
      <c r="A774" s="38"/>
      <c r="B774" s="38"/>
      <c r="C774" s="38"/>
      <c r="D774" s="48"/>
      <c r="E774" s="48"/>
      <c r="O774" s="153"/>
      <c r="Q774" s="153"/>
      <c r="R774" s="153"/>
      <c r="AB774" s="38"/>
      <c r="AE774" s="153"/>
    </row>
    <row r="775" spans="1:31" s="39" customFormat="1">
      <c r="A775" s="38"/>
      <c r="B775" s="38"/>
      <c r="C775" s="38"/>
      <c r="D775" s="48"/>
      <c r="E775" s="48"/>
      <c r="O775" s="153"/>
      <c r="Q775" s="153"/>
      <c r="R775" s="153"/>
      <c r="AB775" s="38"/>
      <c r="AE775" s="153"/>
    </row>
    <row r="776" spans="1:31" s="39" customFormat="1">
      <c r="A776" s="38"/>
      <c r="B776" s="38"/>
      <c r="C776" s="38"/>
      <c r="D776" s="48"/>
      <c r="E776" s="48"/>
      <c r="O776" s="153"/>
      <c r="Q776" s="153"/>
      <c r="R776" s="153"/>
      <c r="AB776" s="38"/>
      <c r="AE776" s="153"/>
    </row>
    <row r="777" spans="1:31" s="39" customFormat="1">
      <c r="A777" s="38"/>
      <c r="B777" s="38"/>
      <c r="C777" s="38"/>
      <c r="D777" s="48"/>
      <c r="E777" s="48"/>
      <c r="O777" s="153"/>
      <c r="Q777" s="153"/>
      <c r="R777" s="153"/>
      <c r="AB777" s="38"/>
      <c r="AE777" s="153"/>
    </row>
  </sheetData>
  <autoFilter ref="A1:AG501" xr:uid="{E04B57CF-C34D-42A6-B379-55CEC9556889}"/>
  <dataValidations count="1">
    <dataValidation type="whole" showInputMessage="1" showErrorMessage="1" sqref="N1" xr:uid="{1C138607-1C97-4F26-8F34-801E80B67A0A}">
      <formula1>1</formula1>
      <formula2>50</formula2>
    </dataValidation>
  </dataValidations>
  <pageMargins left="0.7" right="0.7" top="0.75" bottom="0.75" header="0.3" footer="0.3"/>
  <ignoredErrors>
    <ignoredError sqref="L2:L501 W2:W501 O2:O501 Q2:Q501 X2:X501 F2:F501 K2:K501 Y2:Y501 G2:G501 H2:H501 I2:I501 J2:J501 AA2:AA501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AA3D-4E15-479C-899F-103C08A5B98A}">
  <dimension ref="A1:O25"/>
  <sheetViews>
    <sheetView topLeftCell="B1" workbookViewId="0">
      <selection sqref="A1:O25"/>
    </sheetView>
  </sheetViews>
  <sheetFormatPr defaultRowHeight="14.4"/>
  <cols>
    <col min="3" max="3" width="12.21875" bestFit="1" customWidth="1"/>
    <col min="5" max="5" width="14.21875" bestFit="1" customWidth="1"/>
    <col min="7" max="7" width="12.21875" bestFit="1" customWidth="1"/>
    <col min="11" max="11" width="15" bestFit="1" customWidth="1"/>
    <col min="12" max="12" width="68.33203125" bestFit="1" customWidth="1"/>
  </cols>
  <sheetData>
    <row r="1" spans="1:15" ht="14.4" customHeight="1">
      <c r="A1" s="71" t="s">
        <v>2156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4.4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14.4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14.4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1:15" ht="14.4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1:15" ht="14.4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</row>
    <row r="7" spans="1:15" ht="14.4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</row>
    <row r="8" spans="1:15" ht="14.4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spans="1:15" ht="14.4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 spans="1:15" ht="14.4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</row>
    <row r="11" spans="1:15" ht="14.4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</row>
    <row r="12" spans="1:15" ht="14.4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</row>
    <row r="13" spans="1:15" ht="15" customHeight="1" thickBo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</row>
    <row r="14" spans="1:15" ht="18">
      <c r="A14" s="77" t="s">
        <v>2157</v>
      </c>
      <c r="B14" s="78"/>
      <c r="C14" s="78"/>
      <c r="D14" s="78"/>
      <c r="E14" s="78"/>
      <c r="F14" s="78"/>
      <c r="G14" s="78"/>
      <c r="H14" s="78"/>
      <c r="I14" s="78"/>
      <c r="J14" s="79"/>
      <c r="K14" s="92" t="s">
        <v>2158</v>
      </c>
      <c r="L14" s="90" t="s">
        <v>2159</v>
      </c>
      <c r="M14" s="90"/>
      <c r="N14" s="90"/>
      <c r="O14" s="91"/>
    </row>
    <row r="15" spans="1:15">
      <c r="A15" s="80"/>
      <c r="B15" s="65"/>
      <c r="C15" s="65"/>
      <c r="D15" s="65"/>
      <c r="E15" s="65"/>
      <c r="F15" s="65"/>
      <c r="G15" s="65"/>
      <c r="H15" s="65"/>
      <c r="I15" s="65"/>
      <c r="J15" s="81"/>
      <c r="K15" s="70" t="s">
        <v>2110</v>
      </c>
      <c r="L15" s="68" t="s">
        <v>2161</v>
      </c>
      <c r="M15" s="68"/>
      <c r="N15" s="68"/>
      <c r="O15" s="73"/>
    </row>
    <row r="16" spans="1:15">
      <c r="A16" s="80"/>
      <c r="B16" s="65"/>
      <c r="C16" s="65"/>
      <c r="D16" s="65"/>
      <c r="E16" s="65"/>
      <c r="F16" s="65"/>
      <c r="G16" s="65"/>
      <c r="H16" s="65"/>
      <c r="I16" s="65"/>
      <c r="J16" s="81"/>
      <c r="K16" s="70" t="s">
        <v>2112</v>
      </c>
      <c r="L16" s="68" t="s">
        <v>2163</v>
      </c>
      <c r="M16" s="68"/>
      <c r="N16" s="68"/>
      <c r="O16" s="73"/>
    </row>
    <row r="17" spans="1:15">
      <c r="A17" s="80"/>
      <c r="B17" s="65"/>
      <c r="C17" s="65"/>
      <c r="D17" s="65"/>
      <c r="E17" s="65"/>
      <c r="F17" s="65"/>
      <c r="G17" s="65"/>
      <c r="H17" s="65"/>
      <c r="I17" s="65"/>
      <c r="J17" s="81"/>
      <c r="K17" s="70" t="s">
        <v>2108</v>
      </c>
      <c r="L17" s="68" t="s">
        <v>2162</v>
      </c>
      <c r="M17" s="68"/>
      <c r="N17" s="68"/>
      <c r="O17" s="73"/>
    </row>
    <row r="18" spans="1:15" ht="15" thickBot="1">
      <c r="A18" s="80"/>
      <c r="B18" s="65"/>
      <c r="C18" s="65"/>
      <c r="D18" s="65"/>
      <c r="E18" s="65"/>
      <c r="F18" s="65"/>
      <c r="G18" s="65"/>
      <c r="H18" s="65"/>
      <c r="I18" s="65"/>
      <c r="J18" s="81"/>
      <c r="K18" s="76" t="s">
        <v>2160</v>
      </c>
      <c r="L18" s="74" t="s">
        <v>2164</v>
      </c>
      <c r="M18" s="74"/>
      <c r="N18" s="74"/>
      <c r="O18" s="75"/>
    </row>
    <row r="19" spans="1:15" ht="15" thickBot="1">
      <c r="A19" s="80"/>
      <c r="B19" s="65"/>
      <c r="C19" s="65"/>
      <c r="D19" s="65"/>
      <c r="E19" s="65"/>
      <c r="F19" s="65"/>
      <c r="G19" s="65"/>
      <c r="H19" s="65"/>
      <c r="I19" s="65"/>
      <c r="J19" s="81"/>
      <c r="K19" s="64"/>
      <c r="L19" s="64"/>
      <c r="M19" s="64"/>
      <c r="N19" s="64"/>
      <c r="O19" s="64"/>
    </row>
    <row r="20" spans="1:15" ht="21">
      <c r="A20" s="80"/>
      <c r="B20" s="65"/>
      <c r="C20" s="65"/>
      <c r="D20" s="65"/>
      <c r="E20" s="65"/>
      <c r="F20" s="65"/>
      <c r="G20" s="65"/>
      <c r="H20" s="65"/>
      <c r="I20" s="65"/>
      <c r="J20" s="81"/>
      <c r="K20" s="82" t="s">
        <v>2165</v>
      </c>
      <c r="L20" s="83"/>
      <c r="M20" s="83"/>
      <c r="N20" s="83"/>
      <c r="O20" s="84"/>
    </row>
    <row r="21" spans="1:15">
      <c r="A21" s="80"/>
      <c r="B21" s="65"/>
      <c r="C21" s="65"/>
      <c r="D21" s="65"/>
      <c r="E21" s="65"/>
      <c r="F21" s="65"/>
      <c r="G21" s="65"/>
      <c r="H21" s="65"/>
      <c r="I21" s="65"/>
      <c r="J21" s="81"/>
      <c r="K21" s="85" t="s">
        <v>2166</v>
      </c>
      <c r="L21" s="69"/>
      <c r="M21" s="69"/>
      <c r="N21" s="69"/>
      <c r="O21" s="86"/>
    </row>
    <row r="22" spans="1:15">
      <c r="A22" s="80"/>
      <c r="B22" s="65"/>
      <c r="C22" s="65"/>
      <c r="D22" s="65"/>
      <c r="E22" s="65"/>
      <c r="F22" s="65"/>
      <c r="G22" s="65"/>
      <c r="H22" s="65"/>
      <c r="I22" s="65"/>
      <c r="J22" s="81"/>
      <c r="K22" s="85" t="s">
        <v>2167</v>
      </c>
      <c r="L22" s="69"/>
      <c r="M22" s="69"/>
      <c r="N22" s="69"/>
      <c r="O22" s="86"/>
    </row>
    <row r="23" spans="1:15">
      <c r="A23" s="80"/>
      <c r="B23" s="65"/>
      <c r="C23" s="65"/>
      <c r="D23" s="65"/>
      <c r="E23" s="65"/>
      <c r="F23" s="65"/>
      <c r="G23" s="65"/>
      <c r="H23" s="65"/>
      <c r="I23" s="65"/>
      <c r="J23" s="81"/>
      <c r="K23" s="85" t="s">
        <v>2168</v>
      </c>
      <c r="L23" s="69"/>
      <c r="M23" s="69"/>
      <c r="N23" s="69"/>
      <c r="O23" s="86"/>
    </row>
    <row r="24" spans="1:15">
      <c r="A24" s="80"/>
      <c r="B24" s="65"/>
      <c r="C24" s="65"/>
      <c r="D24" s="65"/>
      <c r="E24" s="65"/>
      <c r="F24" s="65"/>
      <c r="G24" s="65"/>
      <c r="H24" s="65"/>
      <c r="I24" s="65"/>
      <c r="J24" s="81"/>
      <c r="K24" s="85" t="s">
        <v>2169</v>
      </c>
      <c r="L24" s="69"/>
      <c r="M24" s="69"/>
      <c r="N24" s="69"/>
      <c r="O24" s="86"/>
    </row>
    <row r="25" spans="1:15" ht="15" thickBot="1">
      <c r="A25" s="80"/>
      <c r="B25" s="65"/>
      <c r="C25" s="65"/>
      <c r="D25" s="65"/>
      <c r="E25" s="65"/>
      <c r="F25" s="65"/>
      <c r="G25" s="65"/>
      <c r="H25" s="65"/>
      <c r="I25" s="65"/>
      <c r="J25" s="81"/>
      <c r="K25" s="87" t="s">
        <v>2170</v>
      </c>
      <c r="L25" s="88"/>
      <c r="M25" s="88"/>
      <c r="N25" s="88"/>
      <c r="O25" s="89"/>
    </row>
  </sheetData>
  <mergeCells count="13">
    <mergeCell ref="K21:O21"/>
    <mergeCell ref="K22:O22"/>
    <mergeCell ref="K23:O23"/>
    <mergeCell ref="K24:O24"/>
    <mergeCell ref="K25:O25"/>
    <mergeCell ref="A1:O13"/>
    <mergeCell ref="A14:J25"/>
    <mergeCell ref="L14:O14"/>
    <mergeCell ref="L15:O15"/>
    <mergeCell ref="L16:O16"/>
    <mergeCell ref="L17:O17"/>
    <mergeCell ref="L18:O18"/>
    <mergeCell ref="K20:O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A714-6ABD-4FF5-8D30-7B6B08796D8C}">
  <dimension ref="A1:AF501"/>
  <sheetViews>
    <sheetView zoomScaleNormal="100" workbookViewId="0">
      <selection activeCell="AD11" sqref="AD11"/>
    </sheetView>
  </sheetViews>
  <sheetFormatPr defaultRowHeight="14.4"/>
  <cols>
    <col min="1" max="1" width="9.6640625" bestFit="1" customWidth="1"/>
    <col min="2" max="2" width="11.88671875" bestFit="1" customWidth="1"/>
    <col min="3" max="3" width="10.44140625" hidden="1" customWidth="1"/>
    <col min="4" max="4" width="10.6640625" style="49" hidden="1" customWidth="1"/>
    <col min="5" max="5" width="12.6640625" style="49" hidden="1" customWidth="1"/>
    <col min="6" max="6" width="15.21875" hidden="1" customWidth="1"/>
    <col min="7" max="7" width="7.109375" hidden="1" customWidth="1"/>
    <col min="8" max="8" width="10.5546875" style="49" hidden="1" customWidth="1"/>
    <col min="9" max="9" width="9.77734375" hidden="1" customWidth="1"/>
    <col min="10" max="10" width="6.77734375" hidden="1" customWidth="1"/>
    <col min="11" max="11" width="5.33203125" hidden="1" customWidth="1"/>
    <col min="12" max="12" width="15.109375" hidden="1" customWidth="1"/>
    <col min="13" max="13" width="18.77734375" hidden="1" customWidth="1"/>
    <col min="14" max="14" width="8.33203125" bestFit="1" customWidth="1"/>
    <col min="15" max="15" width="11.33203125" style="94" bestFit="1" customWidth="1"/>
    <col min="16" max="16" width="10.77734375" style="96" bestFit="1" customWidth="1"/>
    <col min="17" max="17" width="19.44140625" style="94" bestFit="1" customWidth="1"/>
    <col min="18" max="18" width="6.33203125" style="40" bestFit="1" customWidth="1"/>
    <col min="19" max="19" width="14.6640625" hidden="1" customWidth="1"/>
    <col min="20" max="20" width="11" hidden="1" customWidth="1"/>
    <col min="21" max="21" width="25.109375" hidden="1" customWidth="1"/>
    <col min="22" max="22" width="11" hidden="1" customWidth="1"/>
    <col min="23" max="23" width="12.6640625" hidden="1" customWidth="1"/>
    <col min="24" max="24" width="16.5546875" style="40" hidden="1" customWidth="1"/>
    <col min="25" max="25" width="11.6640625" bestFit="1" customWidth="1"/>
    <col min="26" max="26" width="20.33203125" style="49" hidden="1" customWidth="1"/>
    <col min="27" max="27" width="14.44140625" bestFit="1" customWidth="1"/>
    <col min="28" max="28" width="20.6640625" bestFit="1" customWidth="1"/>
    <col min="30" max="30" width="14.77734375" bestFit="1" customWidth="1"/>
    <col min="31" max="31" width="28.6640625" bestFit="1" customWidth="1"/>
    <col min="32" max="32" width="11.88671875" bestFit="1" customWidth="1"/>
  </cols>
  <sheetData>
    <row r="1" spans="1:32">
      <c r="A1" s="25" t="s">
        <v>0</v>
      </c>
      <c r="B1" s="25" t="s">
        <v>1</v>
      </c>
      <c r="C1" s="25" t="s">
        <v>2</v>
      </c>
      <c r="D1" s="47" t="s">
        <v>3</v>
      </c>
      <c r="E1" s="47" t="s">
        <v>4</v>
      </c>
      <c r="F1" s="25" t="s">
        <v>5</v>
      </c>
      <c r="G1" s="25" t="s">
        <v>6</v>
      </c>
      <c r="H1" s="47" t="s">
        <v>7</v>
      </c>
      <c r="I1" s="25" t="s">
        <v>8</v>
      </c>
      <c r="J1" s="25" t="s">
        <v>9</v>
      </c>
      <c r="K1" s="25" t="s">
        <v>2107</v>
      </c>
      <c r="L1" s="25" t="s">
        <v>10</v>
      </c>
      <c r="M1" s="25" t="s">
        <v>2143</v>
      </c>
      <c r="N1" s="25" t="s">
        <v>12</v>
      </c>
      <c r="O1" s="93" t="s">
        <v>13</v>
      </c>
      <c r="P1" s="95" t="s">
        <v>14</v>
      </c>
      <c r="Q1" s="93" t="s">
        <v>2144</v>
      </c>
      <c r="R1" s="97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2097</v>
      </c>
      <c r="X1" s="97" t="s">
        <v>2099</v>
      </c>
      <c r="Y1" s="25" t="s">
        <v>2106</v>
      </c>
      <c r="Z1" s="47" t="s">
        <v>2146</v>
      </c>
      <c r="AA1" s="25" t="s">
        <v>2147</v>
      </c>
      <c r="AB1" s="66" t="s">
        <v>2178</v>
      </c>
    </row>
    <row r="2" spans="1:32">
      <c r="A2" s="24" t="s">
        <v>22</v>
      </c>
      <c r="B2" s="24" t="s">
        <v>23</v>
      </c>
      <c r="C2" s="24" t="s">
        <v>24</v>
      </c>
      <c r="D2" s="30">
        <v>45918</v>
      </c>
      <c r="E2" s="30" t="s">
        <v>26</v>
      </c>
      <c r="F2" s="24" t="s">
        <v>27</v>
      </c>
      <c r="G2" s="24" t="s">
        <v>28</v>
      </c>
      <c r="H2" s="30" t="s">
        <v>29</v>
      </c>
      <c r="I2" s="24" t="s">
        <v>30</v>
      </c>
      <c r="J2" s="24" t="s">
        <v>31</v>
      </c>
      <c r="K2" s="24" t="s">
        <v>2111</v>
      </c>
      <c r="L2" s="24" t="s">
        <v>32</v>
      </c>
      <c r="M2" s="24" t="s">
        <v>33</v>
      </c>
      <c r="N2" s="24">
        <v>4</v>
      </c>
      <c r="O2" s="36">
        <v>1650</v>
      </c>
      <c r="P2" s="35">
        <v>0.1</v>
      </c>
      <c r="Q2" s="36">
        <v>5940</v>
      </c>
      <c r="R2" s="34">
        <v>4</v>
      </c>
      <c r="S2" s="24" t="s">
        <v>34</v>
      </c>
      <c r="T2" s="24" t="s">
        <v>35</v>
      </c>
      <c r="U2" s="24" t="s">
        <v>50</v>
      </c>
      <c r="V2" s="24">
        <v>9431429797</v>
      </c>
      <c r="W2" s="24" t="s">
        <v>2101</v>
      </c>
      <c r="X2" s="34">
        <v>24</v>
      </c>
      <c r="Y2" s="24" t="s">
        <v>2108</v>
      </c>
      <c r="Z2" s="30">
        <v>46652</v>
      </c>
      <c r="AA2" s="24" t="s">
        <v>2171</v>
      </c>
      <c r="AB2" s="136" t="str">
        <f>IF(R2&lt;=2, "Blacklisted", IF(AND(Q2&gt;=100000, R2&gt;=4, P2&lt;=10%), "Platinum", IF(AND(Q2&gt;=50000, R2&gt;=3), "Gold", IF(Q2&lt;50000, "Silver", "Blacklisted"))))</f>
        <v>Silver</v>
      </c>
    </row>
    <row r="3" spans="1:32">
      <c r="A3" s="24" t="s">
        <v>39</v>
      </c>
      <c r="B3" s="24" t="s">
        <v>23</v>
      </c>
      <c r="C3" s="24" t="s">
        <v>40</v>
      </c>
      <c r="D3" s="30">
        <v>45774</v>
      </c>
      <c r="E3" s="30" t="s">
        <v>42</v>
      </c>
      <c r="F3" s="24" t="s">
        <v>27</v>
      </c>
      <c r="G3" s="24" t="s">
        <v>28</v>
      </c>
      <c r="H3" s="30" t="s">
        <v>29</v>
      </c>
      <c r="I3" s="24" t="s">
        <v>30</v>
      </c>
      <c r="J3" s="24" t="s">
        <v>31</v>
      </c>
      <c r="K3" s="24" t="s">
        <v>2111</v>
      </c>
      <c r="L3" s="24" t="s">
        <v>46</v>
      </c>
      <c r="M3" s="24" t="s">
        <v>47</v>
      </c>
      <c r="N3" s="24">
        <v>17</v>
      </c>
      <c r="O3" s="36">
        <v>9000</v>
      </c>
      <c r="P3" s="35">
        <v>0.1</v>
      </c>
      <c r="Q3" s="36">
        <v>137700</v>
      </c>
      <c r="R3" s="34">
        <v>1</v>
      </c>
      <c r="S3" s="24" t="s">
        <v>2148</v>
      </c>
      <c r="T3" s="24" t="s">
        <v>49</v>
      </c>
      <c r="U3" s="24" t="s">
        <v>50</v>
      </c>
      <c r="V3" s="24">
        <v>9129865339</v>
      </c>
      <c r="W3" s="24" t="s">
        <v>2101</v>
      </c>
      <c r="X3" s="34">
        <v>24</v>
      </c>
      <c r="Y3" s="24" t="s">
        <v>2108</v>
      </c>
      <c r="Z3" s="30">
        <v>46511</v>
      </c>
      <c r="AA3" s="24" t="s">
        <v>2171</v>
      </c>
      <c r="AB3" s="136" t="str">
        <f t="shared" ref="AB3:AB66" si="0">IF(R3&lt;=2, "Blacklisted", IF(AND(Q3&gt;=100000, R3&gt;=4, P3&lt;=10%), "Platinum", IF(AND(Q3&gt;=50000, R3&gt;=3), "Gold", IF(Q3&lt;50000, "Silver", "Blacklisted"))))</f>
        <v>Blacklisted</v>
      </c>
      <c r="AD3" s="98" t="s">
        <v>2179</v>
      </c>
      <c r="AE3" s="24" t="s">
        <v>2181</v>
      </c>
      <c r="AF3" s="24" t="s">
        <v>2182</v>
      </c>
    </row>
    <row r="4" spans="1:32">
      <c r="A4" s="24" t="s">
        <v>52</v>
      </c>
      <c r="B4" s="24" t="s">
        <v>53</v>
      </c>
      <c r="C4" s="24" t="s">
        <v>54</v>
      </c>
      <c r="D4" s="30">
        <v>45903</v>
      </c>
      <c r="E4" s="30" t="s">
        <v>56</v>
      </c>
      <c r="F4" s="24" t="s">
        <v>163</v>
      </c>
      <c r="G4" s="24" t="s">
        <v>28</v>
      </c>
      <c r="H4" s="30" t="s">
        <v>58</v>
      </c>
      <c r="I4" s="24" t="s">
        <v>59</v>
      </c>
      <c r="J4" s="24" t="s">
        <v>31</v>
      </c>
      <c r="K4" s="24" t="s">
        <v>2111</v>
      </c>
      <c r="L4" s="24" t="s">
        <v>46</v>
      </c>
      <c r="M4" s="24" t="s">
        <v>60</v>
      </c>
      <c r="N4" s="24">
        <v>5</v>
      </c>
      <c r="O4" s="36">
        <v>41250</v>
      </c>
      <c r="P4" s="35">
        <v>0.05</v>
      </c>
      <c r="Q4" s="36">
        <v>195937.5</v>
      </c>
      <c r="R4" s="34">
        <v>3</v>
      </c>
      <c r="S4" s="24" t="s">
        <v>2148</v>
      </c>
      <c r="T4" s="24" t="s">
        <v>61</v>
      </c>
      <c r="U4" s="24" t="s">
        <v>62</v>
      </c>
      <c r="V4" s="24">
        <v>9380975626</v>
      </c>
      <c r="W4" s="24" t="s">
        <v>2100</v>
      </c>
      <c r="X4" s="34">
        <v>12</v>
      </c>
      <c r="Y4" s="24" t="s">
        <v>2108</v>
      </c>
      <c r="Z4" s="30">
        <v>46279</v>
      </c>
      <c r="AA4" s="24" t="s">
        <v>2172</v>
      </c>
      <c r="AB4" s="136" t="str">
        <f t="shared" si="0"/>
        <v>Gold</v>
      </c>
      <c r="AD4" s="24" t="s">
        <v>2160</v>
      </c>
      <c r="AE4" s="32">
        <v>213</v>
      </c>
      <c r="AF4" s="99">
        <v>0.42599999999999999</v>
      </c>
    </row>
    <row r="5" spans="1:32">
      <c r="A5" s="24" t="s">
        <v>2129</v>
      </c>
      <c r="B5" s="24" t="s">
        <v>23</v>
      </c>
      <c r="C5" s="24" t="s">
        <v>24</v>
      </c>
      <c r="D5" s="30">
        <v>46102</v>
      </c>
      <c r="E5" s="30" t="s">
        <v>66</v>
      </c>
      <c r="F5" s="24" t="s">
        <v>27</v>
      </c>
      <c r="G5" s="24" t="s">
        <v>28</v>
      </c>
      <c r="H5" s="30" t="s">
        <v>29</v>
      </c>
      <c r="I5" s="24" t="s">
        <v>30</v>
      </c>
      <c r="J5" s="24" t="s">
        <v>31</v>
      </c>
      <c r="K5" s="24" t="s">
        <v>2111</v>
      </c>
      <c r="L5" s="24" t="s">
        <v>32</v>
      </c>
      <c r="M5" s="24" t="s">
        <v>33</v>
      </c>
      <c r="N5" s="24">
        <v>5</v>
      </c>
      <c r="O5" s="36">
        <v>1650</v>
      </c>
      <c r="P5" s="35">
        <v>0.05</v>
      </c>
      <c r="Q5" s="36">
        <v>7837.5</v>
      </c>
      <c r="R5" s="34">
        <v>5</v>
      </c>
      <c r="S5" s="24" t="s">
        <v>2148</v>
      </c>
      <c r="T5" s="24" t="s">
        <v>61</v>
      </c>
      <c r="U5" s="24" t="s">
        <v>50</v>
      </c>
      <c r="V5" s="24">
        <v>9600261125</v>
      </c>
      <c r="W5" s="24" t="s">
        <v>2101</v>
      </c>
      <c r="X5" s="34">
        <v>24</v>
      </c>
      <c r="Y5" s="24" t="s">
        <v>2108</v>
      </c>
      <c r="Z5" s="30">
        <v>46845</v>
      </c>
      <c r="AA5" s="24" t="s">
        <v>2171</v>
      </c>
      <c r="AB5" s="136" t="str">
        <f t="shared" si="0"/>
        <v>Silver</v>
      </c>
      <c r="AD5" s="24" t="s">
        <v>2112</v>
      </c>
      <c r="AE5" s="32">
        <v>38</v>
      </c>
      <c r="AF5" s="99">
        <v>7.5999999999999998E-2</v>
      </c>
    </row>
    <row r="6" spans="1:32">
      <c r="A6" s="24" t="s">
        <v>70</v>
      </c>
      <c r="B6" s="24" t="s">
        <v>71</v>
      </c>
      <c r="C6" s="24" t="s">
        <v>72</v>
      </c>
      <c r="D6" s="30">
        <v>45927</v>
      </c>
      <c r="E6" s="30" t="s">
        <v>74</v>
      </c>
      <c r="F6" s="24" t="s">
        <v>217</v>
      </c>
      <c r="G6" s="24" t="s">
        <v>76</v>
      </c>
      <c r="H6" s="30" t="s">
        <v>77</v>
      </c>
      <c r="I6" s="24" t="s">
        <v>44</v>
      </c>
      <c r="J6" s="24" t="s">
        <v>45</v>
      </c>
      <c r="K6" s="24" t="s">
        <v>2114</v>
      </c>
      <c r="L6" s="24" t="s">
        <v>46</v>
      </c>
      <c r="M6" s="24" t="s">
        <v>78</v>
      </c>
      <c r="N6" s="24">
        <v>8</v>
      </c>
      <c r="O6" s="36">
        <v>900</v>
      </c>
      <c r="P6" s="35">
        <v>0.05</v>
      </c>
      <c r="Q6" s="36">
        <v>6840</v>
      </c>
      <c r="R6" s="34">
        <v>2</v>
      </c>
      <c r="S6" s="24" t="s">
        <v>79</v>
      </c>
      <c r="T6" s="24" t="s">
        <v>61</v>
      </c>
      <c r="U6" s="24" t="s">
        <v>80</v>
      </c>
      <c r="V6" s="24">
        <v>9724635978</v>
      </c>
      <c r="W6" s="24" t="s">
        <v>2100</v>
      </c>
      <c r="X6" s="34">
        <v>6</v>
      </c>
      <c r="Y6" s="24" t="s">
        <v>2110</v>
      </c>
      <c r="Z6" s="30">
        <v>46119</v>
      </c>
      <c r="AA6" s="24" t="s">
        <v>2173</v>
      </c>
      <c r="AB6" s="136" t="str">
        <f t="shared" si="0"/>
        <v>Blacklisted</v>
      </c>
      <c r="AD6" s="24" t="s">
        <v>2110</v>
      </c>
      <c r="AE6" s="32">
        <v>15</v>
      </c>
      <c r="AF6" s="99">
        <v>0.03</v>
      </c>
    </row>
    <row r="7" spans="1:32">
      <c r="A7" s="24" t="s">
        <v>82</v>
      </c>
      <c r="B7" s="24" t="s">
        <v>83</v>
      </c>
      <c r="C7" s="24" t="s">
        <v>24</v>
      </c>
      <c r="D7" s="30">
        <v>46026</v>
      </c>
      <c r="E7" s="30" t="s">
        <v>85</v>
      </c>
      <c r="F7" s="24" t="s">
        <v>180</v>
      </c>
      <c r="G7" s="24" t="s">
        <v>76</v>
      </c>
      <c r="H7" s="30" t="s">
        <v>87</v>
      </c>
      <c r="I7" s="24" t="s">
        <v>30</v>
      </c>
      <c r="J7" s="24" t="s">
        <v>31</v>
      </c>
      <c r="K7" s="24" t="s">
        <v>2109</v>
      </c>
      <c r="L7" s="24" t="s">
        <v>32</v>
      </c>
      <c r="M7" s="24" t="s">
        <v>33</v>
      </c>
      <c r="N7" s="24">
        <v>4</v>
      </c>
      <c r="O7" s="36">
        <v>1650</v>
      </c>
      <c r="P7" s="35">
        <v>0</v>
      </c>
      <c r="Q7" s="36">
        <v>6600</v>
      </c>
      <c r="R7" s="34">
        <v>1</v>
      </c>
      <c r="S7" s="24" t="s">
        <v>2149</v>
      </c>
      <c r="T7" s="24" t="s">
        <v>35</v>
      </c>
      <c r="U7" s="24" t="s">
        <v>89</v>
      </c>
      <c r="V7" s="24">
        <v>9780584905</v>
      </c>
      <c r="W7" s="24" t="s">
        <v>2101</v>
      </c>
      <c r="X7" s="34">
        <v>24</v>
      </c>
      <c r="Y7" s="24" t="s">
        <v>2108</v>
      </c>
      <c r="Z7" s="30">
        <v>46764</v>
      </c>
      <c r="AA7" s="24" t="s">
        <v>2174</v>
      </c>
      <c r="AB7" s="136" t="str">
        <f t="shared" si="0"/>
        <v>Blacklisted</v>
      </c>
      <c r="AD7" s="24" t="s">
        <v>2108</v>
      </c>
      <c r="AE7" s="32">
        <v>234</v>
      </c>
      <c r="AF7" s="99">
        <v>0.46800000000000003</v>
      </c>
    </row>
    <row r="8" spans="1:32">
      <c r="A8" s="24" t="s">
        <v>91</v>
      </c>
      <c r="B8" s="24" t="s">
        <v>23</v>
      </c>
      <c r="C8" s="24" t="s">
        <v>92</v>
      </c>
      <c r="D8" s="30" t="s">
        <v>93</v>
      </c>
      <c r="E8" s="30" t="s">
        <v>94</v>
      </c>
      <c r="F8" s="24" t="s">
        <v>27</v>
      </c>
      <c r="G8" s="24" t="s">
        <v>28</v>
      </c>
      <c r="H8" s="30" t="s">
        <v>29</v>
      </c>
      <c r="I8" s="24" t="s">
        <v>30</v>
      </c>
      <c r="J8" s="24" t="s">
        <v>31</v>
      </c>
      <c r="K8" s="24" t="s">
        <v>2111</v>
      </c>
      <c r="L8" s="24" t="s">
        <v>32</v>
      </c>
      <c r="M8" s="24" t="s">
        <v>97</v>
      </c>
      <c r="N8" s="24">
        <v>2</v>
      </c>
      <c r="O8" s="36">
        <v>2625</v>
      </c>
      <c r="P8" s="35">
        <v>0.05</v>
      </c>
      <c r="Q8" s="36">
        <v>4987.5</v>
      </c>
      <c r="R8" s="34">
        <v>1</v>
      </c>
      <c r="S8" s="24" t="s">
        <v>2149</v>
      </c>
      <c r="T8" s="24" t="s">
        <v>35</v>
      </c>
      <c r="U8" s="24" t="s">
        <v>50</v>
      </c>
      <c r="V8" s="24">
        <v>9958252176</v>
      </c>
      <c r="W8" s="24" t="s">
        <v>2101</v>
      </c>
      <c r="X8" s="34">
        <v>6</v>
      </c>
      <c r="Y8" s="24" t="s">
        <v>2108</v>
      </c>
      <c r="Z8" s="30">
        <v>46259</v>
      </c>
      <c r="AA8" s="24" t="s">
        <v>2171</v>
      </c>
      <c r="AB8" s="136" t="str">
        <f t="shared" si="0"/>
        <v>Blacklisted</v>
      </c>
      <c r="AD8" s="24" t="s">
        <v>2180</v>
      </c>
      <c r="AE8" s="32">
        <v>500</v>
      </c>
      <c r="AF8" s="99">
        <v>1</v>
      </c>
    </row>
    <row r="9" spans="1:32">
      <c r="A9" s="24" t="s">
        <v>99</v>
      </c>
      <c r="B9" s="24" t="s">
        <v>100</v>
      </c>
      <c r="C9" s="24" t="s">
        <v>40</v>
      </c>
      <c r="D9" s="30">
        <v>45760</v>
      </c>
      <c r="E9" s="30" t="s">
        <v>102</v>
      </c>
      <c r="F9" s="24" t="s">
        <v>103</v>
      </c>
      <c r="G9" s="24" t="s">
        <v>28</v>
      </c>
      <c r="H9" s="30" t="s">
        <v>104</v>
      </c>
      <c r="I9" s="24" t="s">
        <v>105</v>
      </c>
      <c r="J9" s="24" t="s">
        <v>106</v>
      </c>
      <c r="K9" s="24" t="s">
        <v>2111</v>
      </c>
      <c r="L9" s="24" t="s">
        <v>46</v>
      </c>
      <c r="M9" s="24" t="s">
        <v>47</v>
      </c>
      <c r="N9" s="24">
        <v>14</v>
      </c>
      <c r="O9" s="36">
        <v>9000</v>
      </c>
      <c r="P9" s="35">
        <v>0.15</v>
      </c>
      <c r="Q9" s="36">
        <v>107100</v>
      </c>
      <c r="R9" s="34">
        <v>4</v>
      </c>
      <c r="S9" s="24" t="s">
        <v>2148</v>
      </c>
      <c r="T9" s="24" t="s">
        <v>35</v>
      </c>
      <c r="U9" s="24" t="s">
        <v>144</v>
      </c>
      <c r="V9" s="24">
        <v>9705521654</v>
      </c>
      <c r="W9" s="24" t="s">
        <v>2101</v>
      </c>
      <c r="X9" s="34">
        <v>24</v>
      </c>
      <c r="Y9" s="24" t="s">
        <v>2110</v>
      </c>
      <c r="Z9" s="30">
        <v>46496</v>
      </c>
      <c r="AA9" s="24" t="s">
        <v>2175</v>
      </c>
      <c r="AB9" s="136" t="str">
        <f t="shared" si="0"/>
        <v>Gold</v>
      </c>
    </row>
    <row r="10" spans="1:32">
      <c r="A10" s="24" t="s">
        <v>109</v>
      </c>
      <c r="B10" s="24" t="s">
        <v>23</v>
      </c>
      <c r="C10" s="24" t="s">
        <v>40</v>
      </c>
      <c r="D10" s="30">
        <v>46053</v>
      </c>
      <c r="E10" s="30" t="s">
        <v>111</v>
      </c>
      <c r="F10" s="24" t="s">
        <v>27</v>
      </c>
      <c r="G10" s="24" t="s">
        <v>28</v>
      </c>
      <c r="H10" s="30" t="s">
        <v>29</v>
      </c>
      <c r="I10" s="24" t="s">
        <v>30</v>
      </c>
      <c r="J10" s="24" t="s">
        <v>31</v>
      </c>
      <c r="K10" s="24" t="s">
        <v>2111</v>
      </c>
      <c r="L10" s="24" t="s">
        <v>46</v>
      </c>
      <c r="M10" s="24" t="s">
        <v>47</v>
      </c>
      <c r="N10" s="24">
        <v>4</v>
      </c>
      <c r="O10" s="36">
        <v>9000</v>
      </c>
      <c r="P10" s="35">
        <v>0.15</v>
      </c>
      <c r="Q10" s="36">
        <v>30600</v>
      </c>
      <c r="R10" s="34">
        <v>4</v>
      </c>
      <c r="S10" s="24" t="s">
        <v>2149</v>
      </c>
      <c r="T10" s="24" t="s">
        <v>115</v>
      </c>
      <c r="U10" s="24" t="s">
        <v>50</v>
      </c>
      <c r="V10" s="24">
        <v>9588041011</v>
      </c>
      <c r="W10" s="24" t="s">
        <v>2101</v>
      </c>
      <c r="X10" s="34">
        <v>24</v>
      </c>
      <c r="Y10" s="24" t="s">
        <v>2108</v>
      </c>
      <c r="Z10" s="30">
        <v>46785</v>
      </c>
      <c r="AA10" s="24" t="s">
        <v>2171</v>
      </c>
      <c r="AB10" s="136" t="str">
        <f t="shared" si="0"/>
        <v>Silver</v>
      </c>
    </row>
    <row r="11" spans="1:32">
      <c r="A11" s="24" t="s">
        <v>117</v>
      </c>
      <c r="B11" s="24" t="s">
        <v>100</v>
      </c>
      <c r="C11" s="24" t="s">
        <v>118</v>
      </c>
      <c r="D11" s="30">
        <v>45741</v>
      </c>
      <c r="E11" s="30" t="s">
        <v>120</v>
      </c>
      <c r="F11" s="24" t="s">
        <v>103</v>
      </c>
      <c r="G11" s="24" t="s">
        <v>28</v>
      </c>
      <c r="H11" s="30" t="s">
        <v>104</v>
      </c>
      <c r="I11" s="24" t="s">
        <v>105</v>
      </c>
      <c r="J11" s="24" t="s">
        <v>106</v>
      </c>
      <c r="K11" s="24" t="s">
        <v>2111</v>
      </c>
      <c r="L11" s="24" t="s">
        <v>122</v>
      </c>
      <c r="M11" s="24" t="s">
        <v>123</v>
      </c>
      <c r="N11" s="24">
        <v>6</v>
      </c>
      <c r="O11" s="36">
        <v>45</v>
      </c>
      <c r="P11" s="35">
        <v>0</v>
      </c>
      <c r="Q11" s="36">
        <v>270</v>
      </c>
      <c r="R11" s="34">
        <v>4</v>
      </c>
      <c r="S11" s="24" t="s">
        <v>79</v>
      </c>
      <c r="T11" s="24" t="s">
        <v>115</v>
      </c>
      <c r="U11" s="24" t="s">
        <v>144</v>
      </c>
      <c r="V11" s="24">
        <v>9340540608</v>
      </c>
      <c r="W11" s="24" t="s">
        <v>2102</v>
      </c>
      <c r="X11" s="34">
        <v>12</v>
      </c>
      <c r="Y11" s="24" t="s">
        <v>2110</v>
      </c>
      <c r="Z11" s="30">
        <v>46108</v>
      </c>
      <c r="AA11" s="24" t="s">
        <v>2175</v>
      </c>
      <c r="AB11" s="136" t="str">
        <f t="shared" si="0"/>
        <v>Silver</v>
      </c>
    </row>
    <row r="12" spans="1:32">
      <c r="A12" s="24" t="s">
        <v>126</v>
      </c>
      <c r="B12" s="24" t="s">
        <v>127</v>
      </c>
      <c r="C12" s="24" t="s">
        <v>24</v>
      </c>
      <c r="D12" s="30">
        <v>45919</v>
      </c>
      <c r="E12" s="30" t="s">
        <v>129</v>
      </c>
      <c r="F12" s="24" t="s">
        <v>200</v>
      </c>
      <c r="G12" s="24" t="s">
        <v>76</v>
      </c>
      <c r="H12" s="30" t="s">
        <v>131</v>
      </c>
      <c r="I12" s="24" t="s">
        <v>44</v>
      </c>
      <c r="J12" s="24" t="s">
        <v>45</v>
      </c>
      <c r="K12" s="24" t="s">
        <v>2113</v>
      </c>
      <c r="L12" s="24" t="s">
        <v>32</v>
      </c>
      <c r="M12" s="24" t="s">
        <v>33</v>
      </c>
      <c r="N12" s="24">
        <v>3</v>
      </c>
      <c r="O12" s="36">
        <v>1650</v>
      </c>
      <c r="P12" s="35">
        <v>0</v>
      </c>
      <c r="Q12" s="36">
        <v>4950</v>
      </c>
      <c r="R12" s="34">
        <v>2</v>
      </c>
      <c r="S12" s="24" t="s">
        <v>79</v>
      </c>
      <c r="T12" s="24" t="s">
        <v>49</v>
      </c>
      <c r="U12" s="24" t="s">
        <v>132</v>
      </c>
      <c r="V12" s="24">
        <v>9521710321</v>
      </c>
      <c r="W12" s="24" t="s">
        <v>2101</v>
      </c>
      <c r="X12" s="34">
        <v>24</v>
      </c>
      <c r="Y12" s="24" t="s">
        <v>2112</v>
      </c>
      <c r="Z12" s="30">
        <v>46653</v>
      </c>
      <c r="AA12" s="24" t="s">
        <v>2176</v>
      </c>
      <c r="AB12" s="136" t="str">
        <f t="shared" si="0"/>
        <v>Blacklisted</v>
      </c>
    </row>
    <row r="13" spans="1:32">
      <c r="A13" s="24" t="s">
        <v>134</v>
      </c>
      <c r="B13" s="24" t="s">
        <v>23</v>
      </c>
      <c r="C13" s="24" t="s">
        <v>92</v>
      </c>
      <c r="D13" s="30">
        <v>45724</v>
      </c>
      <c r="E13" s="30" t="s">
        <v>136</v>
      </c>
      <c r="F13" s="24" t="s">
        <v>27</v>
      </c>
      <c r="G13" s="24" t="s">
        <v>28</v>
      </c>
      <c r="H13" s="30" t="s">
        <v>29</v>
      </c>
      <c r="I13" s="24" t="s">
        <v>30</v>
      </c>
      <c r="J13" s="24" t="s">
        <v>31</v>
      </c>
      <c r="K13" s="24" t="s">
        <v>2111</v>
      </c>
      <c r="L13" s="24" t="s">
        <v>32</v>
      </c>
      <c r="M13" s="24" t="s">
        <v>97</v>
      </c>
      <c r="N13" s="24">
        <v>10</v>
      </c>
      <c r="O13" s="36">
        <v>2625</v>
      </c>
      <c r="P13" s="35">
        <v>0.05</v>
      </c>
      <c r="Q13" s="36">
        <v>24937.5</v>
      </c>
      <c r="R13" s="34">
        <v>5</v>
      </c>
      <c r="S13" s="24" t="s">
        <v>79</v>
      </c>
      <c r="T13" s="24" t="s">
        <v>61</v>
      </c>
      <c r="U13" s="24" t="s">
        <v>50</v>
      </c>
      <c r="V13" s="24">
        <v>9123535241</v>
      </c>
      <c r="W13" s="24" t="s">
        <v>2101</v>
      </c>
      <c r="X13" s="34">
        <v>6</v>
      </c>
      <c r="Y13" s="24" t="s">
        <v>2108</v>
      </c>
      <c r="Z13" s="30">
        <v>45915</v>
      </c>
      <c r="AA13" s="24" t="s">
        <v>2171</v>
      </c>
      <c r="AB13" s="136" t="str">
        <f t="shared" si="0"/>
        <v>Silver</v>
      </c>
    </row>
    <row r="14" spans="1:32">
      <c r="A14" s="24" t="s">
        <v>140</v>
      </c>
      <c r="B14" s="24" t="s">
        <v>100</v>
      </c>
      <c r="C14" s="24" t="s">
        <v>24</v>
      </c>
      <c r="D14" s="30">
        <v>45667</v>
      </c>
      <c r="E14" s="30" t="s">
        <v>142</v>
      </c>
      <c r="F14" s="24" t="s">
        <v>103</v>
      </c>
      <c r="G14" s="24" t="s">
        <v>28</v>
      </c>
      <c r="H14" s="30" t="s">
        <v>104</v>
      </c>
      <c r="I14" s="24" t="s">
        <v>105</v>
      </c>
      <c r="J14" s="24" t="s">
        <v>106</v>
      </c>
      <c r="K14" s="24" t="s">
        <v>2111</v>
      </c>
      <c r="L14" s="24" t="s">
        <v>32</v>
      </c>
      <c r="M14" s="24" t="s">
        <v>33</v>
      </c>
      <c r="N14" s="24">
        <v>15</v>
      </c>
      <c r="O14" s="36">
        <v>1650</v>
      </c>
      <c r="P14" s="35">
        <v>0.1</v>
      </c>
      <c r="Q14" s="36">
        <v>22275</v>
      </c>
      <c r="R14" s="34">
        <v>1</v>
      </c>
      <c r="S14" s="24" t="s">
        <v>2149</v>
      </c>
      <c r="T14" s="24" t="s">
        <v>115</v>
      </c>
      <c r="U14" s="24" t="s">
        <v>144</v>
      </c>
      <c r="V14" s="24">
        <v>9367316892</v>
      </c>
      <c r="W14" s="24" t="s">
        <v>2101</v>
      </c>
      <c r="X14" s="34">
        <v>24</v>
      </c>
      <c r="Y14" s="24" t="s">
        <v>2110</v>
      </c>
      <c r="Z14" s="30">
        <v>46402</v>
      </c>
      <c r="AA14" s="24" t="s">
        <v>2175</v>
      </c>
      <c r="AB14" s="136" t="str">
        <f t="shared" si="0"/>
        <v>Blacklisted</v>
      </c>
    </row>
    <row r="15" spans="1:32">
      <c r="A15" s="24" t="s">
        <v>146</v>
      </c>
      <c r="B15" s="24" t="s">
        <v>127</v>
      </c>
      <c r="C15" s="24" t="s">
        <v>24</v>
      </c>
      <c r="D15" s="30">
        <v>45725</v>
      </c>
      <c r="E15" s="30" t="s">
        <v>148</v>
      </c>
      <c r="F15" s="24" t="s">
        <v>200</v>
      </c>
      <c r="G15" s="24" t="s">
        <v>76</v>
      </c>
      <c r="H15" s="30" t="s">
        <v>131</v>
      </c>
      <c r="I15" s="24" t="s">
        <v>44</v>
      </c>
      <c r="J15" s="24" t="s">
        <v>45</v>
      </c>
      <c r="K15" s="24" t="s">
        <v>2113</v>
      </c>
      <c r="L15" s="24" t="s">
        <v>32</v>
      </c>
      <c r="M15" s="24" t="s">
        <v>33</v>
      </c>
      <c r="N15" s="24">
        <v>17</v>
      </c>
      <c r="O15" s="36">
        <v>1650</v>
      </c>
      <c r="P15" s="35">
        <v>0.05</v>
      </c>
      <c r="Q15" s="36">
        <v>26647.5</v>
      </c>
      <c r="R15" s="34">
        <v>1</v>
      </c>
      <c r="S15" s="24" t="s">
        <v>34</v>
      </c>
      <c r="T15" s="24" t="s">
        <v>151</v>
      </c>
      <c r="U15" s="24" t="s">
        <v>132</v>
      </c>
      <c r="V15" s="24">
        <v>9778489803</v>
      </c>
      <c r="W15" s="24" t="s">
        <v>2101</v>
      </c>
      <c r="X15" s="34">
        <v>24</v>
      </c>
      <c r="Y15" s="24" t="s">
        <v>2112</v>
      </c>
      <c r="Z15" s="30">
        <v>46459</v>
      </c>
      <c r="AA15" s="24" t="s">
        <v>2176</v>
      </c>
      <c r="AB15" s="136" t="str">
        <f t="shared" si="0"/>
        <v>Blacklisted</v>
      </c>
    </row>
    <row r="16" spans="1:32">
      <c r="A16" s="24" t="s">
        <v>154</v>
      </c>
      <c r="B16" s="24" t="s">
        <v>23</v>
      </c>
      <c r="C16" s="24" t="s">
        <v>92</v>
      </c>
      <c r="D16" s="30">
        <v>45864</v>
      </c>
      <c r="E16" s="30" t="s">
        <v>156</v>
      </c>
      <c r="F16" s="24" t="s">
        <v>27</v>
      </c>
      <c r="G16" s="24" t="s">
        <v>28</v>
      </c>
      <c r="H16" s="30" t="s">
        <v>29</v>
      </c>
      <c r="I16" s="24" t="s">
        <v>30</v>
      </c>
      <c r="J16" s="24" t="s">
        <v>31</v>
      </c>
      <c r="K16" s="24" t="s">
        <v>2111</v>
      </c>
      <c r="L16" s="24" t="s">
        <v>32</v>
      </c>
      <c r="M16" s="24" t="s">
        <v>97</v>
      </c>
      <c r="N16" s="24">
        <v>15</v>
      </c>
      <c r="O16" s="36">
        <v>2625</v>
      </c>
      <c r="P16" s="35">
        <v>0.15</v>
      </c>
      <c r="Q16" s="36">
        <v>33468.75</v>
      </c>
      <c r="R16" s="34">
        <v>2</v>
      </c>
      <c r="S16" s="24" t="s">
        <v>34</v>
      </c>
      <c r="T16" s="24" t="s">
        <v>115</v>
      </c>
      <c r="U16" s="24" t="s">
        <v>50</v>
      </c>
      <c r="V16" s="24">
        <v>9582960180</v>
      </c>
      <c r="W16" s="24" t="s">
        <v>2101</v>
      </c>
      <c r="X16" s="34">
        <v>6</v>
      </c>
      <c r="Y16" s="24" t="s">
        <v>2108</v>
      </c>
      <c r="Z16" s="30">
        <v>46060</v>
      </c>
      <c r="AA16" s="24" t="s">
        <v>2171</v>
      </c>
      <c r="AB16" s="136" t="str">
        <f t="shared" si="0"/>
        <v>Blacklisted</v>
      </c>
    </row>
    <row r="17" spans="1:28">
      <c r="A17" s="24" t="s">
        <v>160</v>
      </c>
      <c r="B17" s="24" t="s">
        <v>53</v>
      </c>
      <c r="C17" s="24" t="s">
        <v>72</v>
      </c>
      <c r="D17" s="30">
        <v>46120</v>
      </c>
      <c r="E17" s="30" t="s">
        <v>162</v>
      </c>
      <c r="F17" s="24" t="s">
        <v>163</v>
      </c>
      <c r="G17" s="24" t="s">
        <v>28</v>
      </c>
      <c r="H17" s="30" t="s">
        <v>58</v>
      </c>
      <c r="I17" s="24" t="s">
        <v>59</v>
      </c>
      <c r="J17" s="24" t="s">
        <v>31</v>
      </c>
      <c r="K17" s="24" t="s">
        <v>2111</v>
      </c>
      <c r="L17" s="24" t="s">
        <v>46</v>
      </c>
      <c r="M17" s="24" t="s">
        <v>78</v>
      </c>
      <c r="N17" s="24">
        <v>3</v>
      </c>
      <c r="O17" s="36">
        <v>900</v>
      </c>
      <c r="P17" s="35">
        <v>0.05</v>
      </c>
      <c r="Q17" s="36">
        <v>2565</v>
      </c>
      <c r="R17" s="34">
        <v>5</v>
      </c>
      <c r="S17" s="24" t="s">
        <v>2149</v>
      </c>
      <c r="T17" s="24" t="s">
        <v>35</v>
      </c>
      <c r="U17" s="24" t="s">
        <v>62</v>
      </c>
      <c r="V17" s="24">
        <v>9611394005</v>
      </c>
      <c r="W17" s="24" t="s">
        <v>2100</v>
      </c>
      <c r="X17" s="34">
        <v>6</v>
      </c>
      <c r="Y17" s="24" t="s">
        <v>2108</v>
      </c>
      <c r="Z17" s="30">
        <v>46306</v>
      </c>
      <c r="AA17" s="24" t="s">
        <v>2172</v>
      </c>
      <c r="AB17" s="136" t="str">
        <f t="shared" si="0"/>
        <v>Silver</v>
      </c>
    </row>
    <row r="18" spans="1:28">
      <c r="A18" s="24" t="s">
        <v>167</v>
      </c>
      <c r="B18" s="24" t="s">
        <v>168</v>
      </c>
      <c r="C18" s="24" t="s">
        <v>169</v>
      </c>
      <c r="D18" s="30">
        <v>46075</v>
      </c>
      <c r="E18" s="30" t="s">
        <v>171</v>
      </c>
      <c r="F18" s="24" t="s">
        <v>361</v>
      </c>
      <c r="G18" s="24" t="s">
        <v>28</v>
      </c>
      <c r="H18" s="30" t="s">
        <v>173</v>
      </c>
      <c r="I18" s="24" t="s">
        <v>114</v>
      </c>
      <c r="J18" s="24" t="s">
        <v>106</v>
      </c>
      <c r="K18" s="24" t="s">
        <v>2111</v>
      </c>
      <c r="L18" s="24" t="s">
        <v>32</v>
      </c>
      <c r="M18" s="24" t="s">
        <v>174</v>
      </c>
      <c r="N18" s="24">
        <v>13</v>
      </c>
      <c r="O18" s="36">
        <v>6375</v>
      </c>
      <c r="P18" s="35">
        <v>0.2</v>
      </c>
      <c r="Q18" s="36">
        <v>66300</v>
      </c>
      <c r="R18" s="34">
        <v>4</v>
      </c>
      <c r="S18" s="24" t="s">
        <v>79</v>
      </c>
      <c r="T18" s="24" t="s">
        <v>49</v>
      </c>
      <c r="U18" s="24" t="s">
        <v>175</v>
      </c>
      <c r="V18" s="24">
        <v>9692599404</v>
      </c>
      <c r="W18" s="24" t="s">
        <v>2100</v>
      </c>
      <c r="X18" s="34">
        <v>24</v>
      </c>
      <c r="Y18" s="24" t="s">
        <v>2112</v>
      </c>
      <c r="Z18" s="30">
        <v>46815</v>
      </c>
      <c r="AA18" s="24" t="s">
        <v>2177</v>
      </c>
      <c r="AB18" s="136" t="str">
        <f t="shared" si="0"/>
        <v>Gold</v>
      </c>
    </row>
    <row r="19" spans="1:28">
      <c r="A19" s="24" t="s">
        <v>177</v>
      </c>
      <c r="B19" s="24" t="s">
        <v>83</v>
      </c>
      <c r="C19" s="24" t="s">
        <v>169</v>
      </c>
      <c r="D19" s="30">
        <v>46081</v>
      </c>
      <c r="E19" s="30" t="s">
        <v>179</v>
      </c>
      <c r="F19" s="24" t="s">
        <v>180</v>
      </c>
      <c r="G19" s="24" t="s">
        <v>76</v>
      </c>
      <c r="H19" s="30" t="s">
        <v>87</v>
      </c>
      <c r="I19" s="24" t="s">
        <v>30</v>
      </c>
      <c r="J19" s="24" t="s">
        <v>31</v>
      </c>
      <c r="K19" s="24" t="s">
        <v>2109</v>
      </c>
      <c r="L19" s="24" t="s">
        <v>32</v>
      </c>
      <c r="M19" s="24" t="s">
        <v>174</v>
      </c>
      <c r="N19" s="24">
        <v>4</v>
      </c>
      <c r="O19" s="36">
        <v>6375</v>
      </c>
      <c r="P19" s="35">
        <v>0.2</v>
      </c>
      <c r="Q19" s="36">
        <v>20400</v>
      </c>
      <c r="R19" s="34">
        <v>5</v>
      </c>
      <c r="S19" s="24" t="s">
        <v>79</v>
      </c>
      <c r="T19" s="24" t="s">
        <v>61</v>
      </c>
      <c r="U19" s="24" t="s">
        <v>89</v>
      </c>
      <c r="V19" s="24">
        <v>9426119622</v>
      </c>
      <c r="W19" s="24" t="s">
        <v>2100</v>
      </c>
      <c r="X19" s="34">
        <v>24</v>
      </c>
      <c r="Y19" s="24" t="s">
        <v>2108</v>
      </c>
      <c r="Z19" s="30">
        <v>46817</v>
      </c>
      <c r="AA19" s="24" t="s">
        <v>2174</v>
      </c>
      <c r="AB19" s="136" t="str">
        <f t="shared" si="0"/>
        <v>Silver</v>
      </c>
    </row>
    <row r="20" spans="1:28">
      <c r="A20" s="24" t="s">
        <v>183</v>
      </c>
      <c r="B20" s="24" t="s">
        <v>83</v>
      </c>
      <c r="C20" s="24" t="s">
        <v>184</v>
      </c>
      <c r="D20" s="30">
        <v>45992</v>
      </c>
      <c r="E20" s="30" t="s">
        <v>186</v>
      </c>
      <c r="F20" s="24" t="s">
        <v>180</v>
      </c>
      <c r="G20" s="24" t="s">
        <v>76</v>
      </c>
      <c r="H20" s="30" t="s">
        <v>87</v>
      </c>
      <c r="I20" s="24" t="s">
        <v>30</v>
      </c>
      <c r="J20" s="24" t="s">
        <v>31</v>
      </c>
      <c r="K20" s="24" t="s">
        <v>2109</v>
      </c>
      <c r="L20" s="24" t="s">
        <v>46</v>
      </c>
      <c r="M20" s="24" t="s">
        <v>189</v>
      </c>
      <c r="N20" s="24">
        <v>9</v>
      </c>
      <c r="O20" s="36">
        <v>525</v>
      </c>
      <c r="P20" s="35">
        <v>0.05</v>
      </c>
      <c r="Q20" s="36">
        <v>4488.75</v>
      </c>
      <c r="R20" s="34">
        <v>3</v>
      </c>
      <c r="S20" s="24" t="s">
        <v>2149</v>
      </c>
      <c r="T20" s="24" t="s">
        <v>35</v>
      </c>
      <c r="U20" s="24" t="s">
        <v>89</v>
      </c>
      <c r="V20" s="24">
        <v>9184436009</v>
      </c>
      <c r="W20" s="24" t="s">
        <v>2100</v>
      </c>
      <c r="X20" s="34">
        <v>24</v>
      </c>
      <c r="Y20" s="24" t="s">
        <v>2108</v>
      </c>
      <c r="Z20" s="30">
        <v>46725</v>
      </c>
      <c r="AA20" s="24" t="s">
        <v>2174</v>
      </c>
      <c r="AB20" s="136" t="str">
        <f t="shared" si="0"/>
        <v>Silver</v>
      </c>
    </row>
    <row r="21" spans="1:28">
      <c r="A21" s="24" t="s">
        <v>192</v>
      </c>
      <c r="B21" s="24" t="s">
        <v>23</v>
      </c>
      <c r="C21" s="24" t="s">
        <v>54</v>
      </c>
      <c r="D21" s="30">
        <v>45833</v>
      </c>
      <c r="E21" s="30" t="s">
        <v>194</v>
      </c>
      <c r="F21" s="24" t="s">
        <v>27</v>
      </c>
      <c r="G21" s="24" t="s">
        <v>28</v>
      </c>
      <c r="H21" s="30" t="s">
        <v>29</v>
      </c>
      <c r="I21" s="24" t="s">
        <v>30</v>
      </c>
      <c r="J21" s="24" t="s">
        <v>31</v>
      </c>
      <c r="K21" s="24" t="s">
        <v>2111</v>
      </c>
      <c r="L21" s="24" t="s">
        <v>46</v>
      </c>
      <c r="M21" s="24" t="s">
        <v>60</v>
      </c>
      <c r="N21" s="24">
        <v>8</v>
      </c>
      <c r="O21" s="36">
        <v>41250</v>
      </c>
      <c r="P21" s="35">
        <v>0.2</v>
      </c>
      <c r="Q21" s="36">
        <v>264000</v>
      </c>
      <c r="R21" s="34">
        <v>1</v>
      </c>
      <c r="S21" s="24" t="s">
        <v>34</v>
      </c>
      <c r="T21" s="24" t="s">
        <v>151</v>
      </c>
      <c r="U21" s="24" t="s">
        <v>50</v>
      </c>
      <c r="V21" s="24">
        <v>9263774934</v>
      </c>
      <c r="W21" s="24" t="s">
        <v>2100</v>
      </c>
      <c r="X21" s="34">
        <v>12</v>
      </c>
      <c r="Y21" s="24" t="s">
        <v>2108</v>
      </c>
      <c r="Z21" s="30">
        <v>46206</v>
      </c>
      <c r="AA21" s="24" t="s">
        <v>2171</v>
      </c>
      <c r="AB21" s="136" t="str">
        <f t="shared" si="0"/>
        <v>Blacklisted</v>
      </c>
    </row>
    <row r="22" spans="1:28">
      <c r="A22" s="24" t="s">
        <v>197</v>
      </c>
      <c r="B22" s="24" t="s">
        <v>127</v>
      </c>
      <c r="C22" s="24" t="s">
        <v>184</v>
      </c>
      <c r="D22" s="30">
        <v>45773</v>
      </c>
      <c r="E22" s="30" t="s">
        <v>199</v>
      </c>
      <c r="F22" s="24" t="s">
        <v>200</v>
      </c>
      <c r="G22" s="24" t="s">
        <v>76</v>
      </c>
      <c r="H22" s="30" t="s">
        <v>131</v>
      </c>
      <c r="I22" s="24" t="s">
        <v>44</v>
      </c>
      <c r="J22" s="24" t="s">
        <v>45</v>
      </c>
      <c r="K22" s="24" t="s">
        <v>2113</v>
      </c>
      <c r="L22" s="24" t="s">
        <v>46</v>
      </c>
      <c r="M22" s="24" t="s">
        <v>189</v>
      </c>
      <c r="N22" s="24">
        <v>10</v>
      </c>
      <c r="O22" s="36">
        <v>525</v>
      </c>
      <c r="P22" s="35">
        <v>0.2</v>
      </c>
      <c r="Q22" s="36">
        <v>4200</v>
      </c>
      <c r="R22" s="34">
        <v>4</v>
      </c>
      <c r="S22" s="24" t="s">
        <v>79</v>
      </c>
      <c r="T22" s="24" t="s">
        <v>61</v>
      </c>
      <c r="U22" s="24" t="s">
        <v>132</v>
      </c>
      <c r="V22" s="24">
        <v>9473159572</v>
      </c>
      <c r="W22" s="24" t="s">
        <v>2100</v>
      </c>
      <c r="X22" s="34">
        <v>24</v>
      </c>
      <c r="Y22" s="24" t="s">
        <v>2112</v>
      </c>
      <c r="Z22" s="30">
        <v>46512</v>
      </c>
      <c r="AA22" s="24" t="s">
        <v>2176</v>
      </c>
      <c r="AB22" s="136" t="str">
        <f t="shared" si="0"/>
        <v>Silver</v>
      </c>
    </row>
    <row r="23" spans="1:28">
      <c r="A23" s="24" t="s">
        <v>204</v>
      </c>
      <c r="B23" s="24" t="s">
        <v>23</v>
      </c>
      <c r="C23" s="24" t="s">
        <v>92</v>
      </c>
      <c r="D23" s="30">
        <v>45660</v>
      </c>
      <c r="E23" s="30" t="s">
        <v>206</v>
      </c>
      <c r="F23" s="24" t="s">
        <v>27</v>
      </c>
      <c r="G23" s="24" t="s">
        <v>28</v>
      </c>
      <c r="H23" s="30" t="s">
        <v>29</v>
      </c>
      <c r="I23" s="24" t="s">
        <v>30</v>
      </c>
      <c r="J23" s="24" t="s">
        <v>31</v>
      </c>
      <c r="K23" s="24" t="s">
        <v>2111</v>
      </c>
      <c r="L23" s="24" t="s">
        <v>32</v>
      </c>
      <c r="M23" s="24" t="s">
        <v>97</v>
      </c>
      <c r="N23" s="24">
        <v>1</v>
      </c>
      <c r="O23" s="36">
        <v>2625</v>
      </c>
      <c r="P23" s="35">
        <v>0.05</v>
      </c>
      <c r="Q23" s="36">
        <v>2493.75</v>
      </c>
      <c r="R23" s="34">
        <v>3</v>
      </c>
      <c r="S23" s="24" t="s">
        <v>2149</v>
      </c>
      <c r="T23" s="24" t="s">
        <v>115</v>
      </c>
      <c r="U23" s="24" t="s">
        <v>50</v>
      </c>
      <c r="V23" s="24">
        <v>9660493688</v>
      </c>
      <c r="W23" s="24" t="s">
        <v>2101</v>
      </c>
      <c r="X23" s="34">
        <v>6</v>
      </c>
      <c r="Y23" s="24" t="s">
        <v>2108</v>
      </c>
      <c r="Z23" s="30">
        <v>45846</v>
      </c>
      <c r="AA23" s="24" t="s">
        <v>2171</v>
      </c>
      <c r="AB23" s="136" t="str">
        <f t="shared" si="0"/>
        <v>Silver</v>
      </c>
    </row>
    <row r="24" spans="1:28">
      <c r="A24" s="24" t="s">
        <v>209</v>
      </c>
      <c r="B24" s="24" t="s">
        <v>100</v>
      </c>
      <c r="C24" s="24" t="s">
        <v>184</v>
      </c>
      <c r="D24" s="30">
        <v>45766</v>
      </c>
      <c r="E24" s="30" t="s">
        <v>210</v>
      </c>
      <c r="F24" s="24" t="s">
        <v>103</v>
      </c>
      <c r="G24" s="24" t="s">
        <v>28</v>
      </c>
      <c r="H24" s="30" t="s">
        <v>104</v>
      </c>
      <c r="I24" s="24" t="s">
        <v>105</v>
      </c>
      <c r="J24" s="24" t="s">
        <v>106</v>
      </c>
      <c r="K24" s="24" t="s">
        <v>2111</v>
      </c>
      <c r="L24" s="24" t="s">
        <v>46</v>
      </c>
      <c r="M24" s="24" t="s">
        <v>189</v>
      </c>
      <c r="N24" s="24">
        <v>19</v>
      </c>
      <c r="O24" s="36">
        <v>525</v>
      </c>
      <c r="P24" s="35">
        <v>0.15</v>
      </c>
      <c r="Q24" s="36">
        <v>8478.75</v>
      </c>
      <c r="R24" s="34">
        <v>3</v>
      </c>
      <c r="S24" s="24" t="s">
        <v>2148</v>
      </c>
      <c r="T24" s="24" t="s">
        <v>151</v>
      </c>
      <c r="U24" s="24" t="s">
        <v>144</v>
      </c>
      <c r="V24" s="24">
        <v>9513325819</v>
      </c>
      <c r="W24" s="24" t="s">
        <v>2100</v>
      </c>
      <c r="X24" s="34">
        <v>24</v>
      </c>
      <c r="Y24" s="24" t="s">
        <v>2110</v>
      </c>
      <c r="Z24" s="30">
        <v>46507</v>
      </c>
      <c r="AA24" s="24" t="s">
        <v>2175</v>
      </c>
      <c r="AB24" s="136" t="str">
        <f t="shared" si="0"/>
        <v>Silver</v>
      </c>
    </row>
    <row r="25" spans="1:28">
      <c r="A25" s="24" t="s">
        <v>214</v>
      </c>
      <c r="B25" s="24" t="s">
        <v>71</v>
      </c>
      <c r="C25" s="24" t="s">
        <v>54</v>
      </c>
      <c r="D25" s="30">
        <v>46013</v>
      </c>
      <c r="E25" s="30" t="s">
        <v>216</v>
      </c>
      <c r="F25" s="24" t="s">
        <v>217</v>
      </c>
      <c r="G25" s="24" t="s">
        <v>76</v>
      </c>
      <c r="H25" s="30" t="s">
        <v>77</v>
      </c>
      <c r="I25" s="24" t="s">
        <v>44</v>
      </c>
      <c r="J25" s="24" t="s">
        <v>45</v>
      </c>
      <c r="K25" s="24" t="s">
        <v>2114</v>
      </c>
      <c r="L25" s="24" t="s">
        <v>46</v>
      </c>
      <c r="M25" s="24" t="s">
        <v>60</v>
      </c>
      <c r="N25" s="24">
        <v>12</v>
      </c>
      <c r="O25" s="36">
        <v>41250</v>
      </c>
      <c r="P25" s="35">
        <v>0</v>
      </c>
      <c r="Q25" s="36">
        <v>495000</v>
      </c>
      <c r="R25" s="34">
        <v>1</v>
      </c>
      <c r="S25" s="24" t="s">
        <v>79</v>
      </c>
      <c r="T25" s="24" t="s">
        <v>49</v>
      </c>
      <c r="U25" s="24" t="s">
        <v>80</v>
      </c>
      <c r="V25" s="24">
        <v>9641063242</v>
      </c>
      <c r="W25" s="24" t="s">
        <v>2100</v>
      </c>
      <c r="X25" s="34">
        <v>12</v>
      </c>
      <c r="Y25" s="24" t="s">
        <v>2110</v>
      </c>
      <c r="Z25" s="30">
        <v>46388</v>
      </c>
      <c r="AA25" s="24" t="s">
        <v>2173</v>
      </c>
      <c r="AB25" s="136" t="str">
        <f t="shared" si="0"/>
        <v>Blacklisted</v>
      </c>
    </row>
    <row r="26" spans="1:28">
      <c r="A26" s="24" t="s">
        <v>220</v>
      </c>
      <c r="B26" s="24" t="s">
        <v>221</v>
      </c>
      <c r="C26" s="24" t="s">
        <v>222</v>
      </c>
      <c r="D26" s="30">
        <v>46121</v>
      </c>
      <c r="E26" s="30" t="s">
        <v>224</v>
      </c>
      <c r="F26" s="24" t="s">
        <v>225</v>
      </c>
      <c r="G26" s="24" t="s">
        <v>76</v>
      </c>
      <c r="H26" s="30" t="s">
        <v>226</v>
      </c>
      <c r="I26" s="24" t="s">
        <v>105</v>
      </c>
      <c r="J26" s="24" t="s">
        <v>106</v>
      </c>
      <c r="K26" s="24" t="s">
        <v>2113</v>
      </c>
      <c r="L26" s="24" t="s">
        <v>122</v>
      </c>
      <c r="M26" s="24" t="s">
        <v>227</v>
      </c>
      <c r="N26" s="24">
        <v>1</v>
      </c>
      <c r="O26" s="36">
        <v>15</v>
      </c>
      <c r="P26" s="35">
        <v>0.05</v>
      </c>
      <c r="Q26" s="36">
        <v>14.25</v>
      </c>
      <c r="R26" s="34">
        <v>5</v>
      </c>
      <c r="S26" s="24" t="s">
        <v>79</v>
      </c>
      <c r="T26" s="24" t="s">
        <v>35</v>
      </c>
      <c r="U26" s="24" t="s">
        <v>228</v>
      </c>
      <c r="V26" s="24">
        <v>9277372518</v>
      </c>
      <c r="W26" s="24" t="s">
        <v>2103</v>
      </c>
      <c r="X26" s="34">
        <v>12</v>
      </c>
      <c r="Y26" s="24" t="s">
        <v>2112</v>
      </c>
      <c r="Z26" s="30">
        <v>46497</v>
      </c>
      <c r="AA26" s="24" t="s">
        <v>2171</v>
      </c>
      <c r="AB26" s="136" t="str">
        <f t="shared" si="0"/>
        <v>Silver</v>
      </c>
    </row>
    <row r="27" spans="1:28">
      <c r="A27" s="24" t="s">
        <v>230</v>
      </c>
      <c r="B27" s="24" t="s">
        <v>83</v>
      </c>
      <c r="C27" s="24" t="s">
        <v>222</v>
      </c>
      <c r="D27" s="30">
        <v>45832</v>
      </c>
      <c r="E27" s="30" t="s">
        <v>232</v>
      </c>
      <c r="F27" s="24" t="s">
        <v>180</v>
      </c>
      <c r="G27" s="24" t="s">
        <v>76</v>
      </c>
      <c r="H27" s="30" t="s">
        <v>87</v>
      </c>
      <c r="I27" s="24" t="s">
        <v>30</v>
      </c>
      <c r="J27" s="24" t="s">
        <v>31</v>
      </c>
      <c r="K27" s="24" t="s">
        <v>2109</v>
      </c>
      <c r="L27" s="24" t="s">
        <v>122</v>
      </c>
      <c r="M27" s="24" t="s">
        <v>227</v>
      </c>
      <c r="N27" s="24">
        <v>2</v>
      </c>
      <c r="O27" s="36">
        <v>15</v>
      </c>
      <c r="P27" s="35">
        <v>0.15</v>
      </c>
      <c r="Q27" s="36">
        <v>25.5</v>
      </c>
      <c r="R27" s="34">
        <v>1</v>
      </c>
      <c r="S27" s="24" t="s">
        <v>2149</v>
      </c>
      <c r="T27" s="24" t="s">
        <v>35</v>
      </c>
      <c r="U27" s="24" t="s">
        <v>89</v>
      </c>
      <c r="V27" s="24">
        <v>9193154372</v>
      </c>
      <c r="W27" s="24" t="s">
        <v>2103</v>
      </c>
      <c r="X27" s="34">
        <v>12</v>
      </c>
      <c r="Y27" s="24" t="s">
        <v>2108</v>
      </c>
      <c r="Z27" s="30">
        <v>46205</v>
      </c>
      <c r="AA27" s="24" t="s">
        <v>2174</v>
      </c>
      <c r="AB27" s="136" t="str">
        <f t="shared" si="0"/>
        <v>Blacklisted</v>
      </c>
    </row>
    <row r="28" spans="1:28">
      <c r="A28" s="24" t="s">
        <v>235</v>
      </c>
      <c r="B28" s="24" t="s">
        <v>71</v>
      </c>
      <c r="C28" s="24" t="s">
        <v>92</v>
      </c>
      <c r="D28" s="30">
        <v>45799</v>
      </c>
      <c r="E28" s="30" t="s">
        <v>237</v>
      </c>
      <c r="F28" s="24" t="s">
        <v>217</v>
      </c>
      <c r="G28" s="24" t="s">
        <v>76</v>
      </c>
      <c r="H28" s="30" t="s">
        <v>77</v>
      </c>
      <c r="I28" s="24" t="s">
        <v>44</v>
      </c>
      <c r="J28" s="24" t="s">
        <v>45</v>
      </c>
      <c r="K28" s="24" t="s">
        <v>2114</v>
      </c>
      <c r="L28" s="24" t="s">
        <v>32</v>
      </c>
      <c r="M28" s="24" t="s">
        <v>97</v>
      </c>
      <c r="N28" s="24">
        <v>12</v>
      </c>
      <c r="O28" s="36">
        <v>2625</v>
      </c>
      <c r="P28" s="35">
        <v>0.15</v>
      </c>
      <c r="Q28" s="36">
        <v>26775</v>
      </c>
      <c r="R28" s="34">
        <v>4</v>
      </c>
      <c r="S28" s="24" t="s">
        <v>34</v>
      </c>
      <c r="T28" s="24" t="s">
        <v>49</v>
      </c>
      <c r="U28" s="24" t="s">
        <v>80</v>
      </c>
      <c r="V28" s="24">
        <v>9400073244</v>
      </c>
      <c r="W28" s="24" t="s">
        <v>2101</v>
      </c>
      <c r="X28" s="34">
        <v>6</v>
      </c>
      <c r="Y28" s="24" t="s">
        <v>2110</v>
      </c>
      <c r="Z28" s="30">
        <v>45986</v>
      </c>
      <c r="AA28" s="24" t="s">
        <v>2173</v>
      </c>
      <c r="AB28" s="136" t="str">
        <f t="shared" si="0"/>
        <v>Silver</v>
      </c>
    </row>
    <row r="29" spans="1:28">
      <c r="A29" s="24" t="s">
        <v>240</v>
      </c>
      <c r="B29" s="24" t="s">
        <v>23</v>
      </c>
      <c r="C29" s="24" t="s">
        <v>72</v>
      </c>
      <c r="D29" s="30">
        <v>46094</v>
      </c>
      <c r="E29" s="30" t="s">
        <v>242</v>
      </c>
      <c r="F29" s="24" t="s">
        <v>27</v>
      </c>
      <c r="G29" s="24" t="s">
        <v>28</v>
      </c>
      <c r="H29" s="30" t="s">
        <v>29</v>
      </c>
      <c r="I29" s="24" t="s">
        <v>30</v>
      </c>
      <c r="J29" s="24" t="s">
        <v>31</v>
      </c>
      <c r="K29" s="24" t="s">
        <v>2111</v>
      </c>
      <c r="L29" s="24" t="s">
        <v>46</v>
      </c>
      <c r="M29" s="24" t="s">
        <v>78</v>
      </c>
      <c r="N29" s="24">
        <v>11</v>
      </c>
      <c r="O29" s="36">
        <v>900</v>
      </c>
      <c r="P29" s="35">
        <v>0</v>
      </c>
      <c r="Q29" s="36">
        <v>9900</v>
      </c>
      <c r="R29" s="34">
        <v>2</v>
      </c>
      <c r="S29" s="24" t="s">
        <v>2149</v>
      </c>
      <c r="T29" s="24" t="s">
        <v>151</v>
      </c>
      <c r="U29" s="24" t="s">
        <v>50</v>
      </c>
      <c r="V29" s="24">
        <v>9771556720</v>
      </c>
      <c r="W29" s="24" t="s">
        <v>2100</v>
      </c>
      <c r="X29" s="34">
        <v>6</v>
      </c>
      <c r="Y29" s="24" t="s">
        <v>2108</v>
      </c>
      <c r="Z29" s="30">
        <v>46285</v>
      </c>
      <c r="AA29" s="24" t="s">
        <v>2171</v>
      </c>
      <c r="AB29" s="136" t="str">
        <f t="shared" si="0"/>
        <v>Blacklisted</v>
      </c>
    </row>
    <row r="30" spans="1:28">
      <c r="A30" s="24" t="s">
        <v>245</v>
      </c>
      <c r="B30" s="24" t="s">
        <v>127</v>
      </c>
      <c r="C30" s="24" t="s">
        <v>169</v>
      </c>
      <c r="D30" s="30">
        <v>45908</v>
      </c>
      <c r="E30" s="30" t="s">
        <v>247</v>
      </c>
      <c r="F30" s="24" t="s">
        <v>200</v>
      </c>
      <c r="G30" s="24" t="s">
        <v>76</v>
      </c>
      <c r="H30" s="30" t="s">
        <v>131</v>
      </c>
      <c r="I30" s="24" t="s">
        <v>44</v>
      </c>
      <c r="J30" s="24" t="s">
        <v>45</v>
      </c>
      <c r="K30" s="24" t="s">
        <v>2113</v>
      </c>
      <c r="L30" s="24" t="s">
        <v>32</v>
      </c>
      <c r="M30" s="24" t="s">
        <v>174</v>
      </c>
      <c r="N30" s="24">
        <v>6</v>
      </c>
      <c r="O30" s="36">
        <v>6375</v>
      </c>
      <c r="P30" s="35">
        <v>0.65</v>
      </c>
      <c r="Q30" s="36">
        <v>13387.5</v>
      </c>
      <c r="R30" s="34">
        <v>1</v>
      </c>
      <c r="S30" s="24" t="s">
        <v>79</v>
      </c>
      <c r="T30" s="24" t="s">
        <v>61</v>
      </c>
      <c r="U30" s="24" t="s">
        <v>132</v>
      </c>
      <c r="V30" s="24">
        <v>9127480734</v>
      </c>
      <c r="W30" s="24" t="s">
        <v>2100</v>
      </c>
      <c r="X30" s="34">
        <v>24</v>
      </c>
      <c r="Y30" s="24" t="s">
        <v>2112</v>
      </c>
      <c r="Z30" s="30">
        <v>46650</v>
      </c>
      <c r="AA30" s="24" t="s">
        <v>2176</v>
      </c>
      <c r="AB30" s="136" t="str">
        <f t="shared" si="0"/>
        <v>Blacklisted</v>
      </c>
    </row>
    <row r="31" spans="1:28">
      <c r="A31" s="24" t="s">
        <v>250</v>
      </c>
      <c r="B31" s="24" t="s">
        <v>251</v>
      </c>
      <c r="C31" s="24" t="s">
        <v>118</v>
      </c>
      <c r="D31" s="30">
        <v>46033</v>
      </c>
      <c r="E31" s="30" t="s">
        <v>253</v>
      </c>
      <c r="F31" s="24" t="s">
        <v>254</v>
      </c>
      <c r="G31" s="24" t="s">
        <v>28</v>
      </c>
      <c r="H31" s="30" t="s">
        <v>255</v>
      </c>
      <c r="I31" s="24" t="s">
        <v>114</v>
      </c>
      <c r="J31" s="24" t="s">
        <v>106</v>
      </c>
      <c r="K31" s="24" t="s">
        <v>2111</v>
      </c>
      <c r="L31" s="24" t="s">
        <v>122</v>
      </c>
      <c r="M31" s="24" t="s">
        <v>123</v>
      </c>
      <c r="N31" s="24">
        <v>2</v>
      </c>
      <c r="O31" s="36">
        <v>45</v>
      </c>
      <c r="P31" s="35">
        <v>0.05</v>
      </c>
      <c r="Q31" s="36">
        <v>85.5</v>
      </c>
      <c r="R31" s="34">
        <v>3</v>
      </c>
      <c r="S31" s="24" t="s">
        <v>34</v>
      </c>
      <c r="T31" s="24" t="s">
        <v>151</v>
      </c>
      <c r="U31" s="24" t="s">
        <v>256</v>
      </c>
      <c r="V31" s="24">
        <v>9512997042</v>
      </c>
      <c r="W31" s="24" t="s">
        <v>2102</v>
      </c>
      <c r="X31" s="34">
        <v>12</v>
      </c>
      <c r="Y31" s="24" t="s">
        <v>2112</v>
      </c>
      <c r="Z31" s="30">
        <v>46403</v>
      </c>
      <c r="AA31" s="24" t="s">
        <v>2173</v>
      </c>
      <c r="AB31" s="136" t="str">
        <f t="shared" si="0"/>
        <v>Silver</v>
      </c>
    </row>
    <row r="32" spans="1:28">
      <c r="A32" s="24" t="s">
        <v>258</v>
      </c>
      <c r="B32" s="24" t="s">
        <v>23</v>
      </c>
      <c r="C32" s="24" t="s">
        <v>259</v>
      </c>
      <c r="D32" s="30">
        <v>45824</v>
      </c>
      <c r="E32" s="30" t="s">
        <v>261</v>
      </c>
      <c r="F32" s="24" t="s">
        <v>27</v>
      </c>
      <c r="G32" s="24" t="s">
        <v>28</v>
      </c>
      <c r="H32" s="30" t="s">
        <v>29</v>
      </c>
      <c r="I32" s="24" t="s">
        <v>30</v>
      </c>
      <c r="J32" s="24" t="s">
        <v>31</v>
      </c>
      <c r="K32" s="24" t="s">
        <v>2111</v>
      </c>
      <c r="L32" s="24" t="s">
        <v>122</v>
      </c>
      <c r="M32" s="24" t="s">
        <v>263</v>
      </c>
      <c r="N32" s="24">
        <v>19</v>
      </c>
      <c r="O32" s="36">
        <v>33.75</v>
      </c>
      <c r="P32" s="35">
        <v>0.2</v>
      </c>
      <c r="Q32" s="36">
        <v>513</v>
      </c>
      <c r="R32" s="34">
        <v>4</v>
      </c>
      <c r="S32" s="24" t="s">
        <v>2148</v>
      </c>
      <c r="T32" s="24" t="s">
        <v>61</v>
      </c>
      <c r="U32" s="24" t="s">
        <v>50</v>
      </c>
      <c r="V32" s="24">
        <v>9372748661</v>
      </c>
      <c r="W32" s="24" t="s">
        <v>2100</v>
      </c>
      <c r="X32" s="34">
        <v>12</v>
      </c>
      <c r="Y32" s="24" t="s">
        <v>2108</v>
      </c>
      <c r="Z32" s="30">
        <v>46199</v>
      </c>
      <c r="AA32" s="24" t="s">
        <v>2171</v>
      </c>
      <c r="AB32" s="136" t="str">
        <f t="shared" si="0"/>
        <v>Silver</v>
      </c>
    </row>
    <row r="33" spans="1:28">
      <c r="A33" s="24" t="s">
        <v>265</v>
      </c>
      <c r="B33" s="24" t="s">
        <v>100</v>
      </c>
      <c r="C33" s="24" t="s">
        <v>40</v>
      </c>
      <c r="D33" s="30">
        <v>45839</v>
      </c>
      <c r="E33" s="30" t="s">
        <v>267</v>
      </c>
      <c r="F33" s="24" t="s">
        <v>103</v>
      </c>
      <c r="G33" s="24" t="s">
        <v>28</v>
      </c>
      <c r="H33" s="30" t="s">
        <v>104</v>
      </c>
      <c r="I33" s="24" t="s">
        <v>105</v>
      </c>
      <c r="J33" s="24" t="s">
        <v>106</v>
      </c>
      <c r="K33" s="24" t="s">
        <v>2111</v>
      </c>
      <c r="L33" s="24" t="s">
        <v>46</v>
      </c>
      <c r="M33" s="24" t="s">
        <v>47</v>
      </c>
      <c r="N33" s="24">
        <v>11</v>
      </c>
      <c r="O33" s="36">
        <v>9000</v>
      </c>
      <c r="P33" s="35">
        <v>0</v>
      </c>
      <c r="Q33" s="36">
        <v>99000</v>
      </c>
      <c r="R33" s="34">
        <v>3</v>
      </c>
      <c r="S33" s="24" t="s">
        <v>2149</v>
      </c>
      <c r="T33" s="24" t="s">
        <v>35</v>
      </c>
      <c r="U33" s="24" t="s">
        <v>144</v>
      </c>
      <c r="V33" s="24">
        <v>9570437805</v>
      </c>
      <c r="W33" s="24" t="s">
        <v>2101</v>
      </c>
      <c r="X33" s="34">
        <v>24</v>
      </c>
      <c r="Y33" s="24" t="s">
        <v>2110</v>
      </c>
      <c r="Z33" s="30">
        <v>46581</v>
      </c>
      <c r="AA33" s="24" t="s">
        <v>2175</v>
      </c>
      <c r="AB33" s="136" t="str">
        <f t="shared" si="0"/>
        <v>Gold</v>
      </c>
    </row>
    <row r="34" spans="1:28">
      <c r="A34" s="24" t="s">
        <v>271</v>
      </c>
      <c r="B34" s="24" t="s">
        <v>251</v>
      </c>
      <c r="C34" s="24" t="s">
        <v>24</v>
      </c>
      <c r="D34" s="30">
        <v>45723</v>
      </c>
      <c r="E34" s="30" t="s">
        <v>136</v>
      </c>
      <c r="F34" s="24" t="s">
        <v>254</v>
      </c>
      <c r="G34" s="24" t="s">
        <v>28</v>
      </c>
      <c r="H34" s="30" t="s">
        <v>255</v>
      </c>
      <c r="I34" s="24" t="s">
        <v>114</v>
      </c>
      <c r="J34" s="24" t="s">
        <v>106</v>
      </c>
      <c r="K34" s="24" t="s">
        <v>2111</v>
      </c>
      <c r="L34" s="24" t="s">
        <v>32</v>
      </c>
      <c r="M34" s="24" t="s">
        <v>33</v>
      </c>
      <c r="N34" s="24">
        <v>20</v>
      </c>
      <c r="O34" s="36">
        <v>1650</v>
      </c>
      <c r="P34" s="35">
        <v>0.05</v>
      </c>
      <c r="Q34" s="36">
        <v>31350</v>
      </c>
      <c r="R34" s="34">
        <v>1</v>
      </c>
      <c r="S34" s="24" t="s">
        <v>34</v>
      </c>
      <c r="T34" s="24" t="s">
        <v>49</v>
      </c>
      <c r="U34" s="24" t="s">
        <v>256</v>
      </c>
      <c r="V34" s="24">
        <v>9310669113</v>
      </c>
      <c r="W34" s="24" t="s">
        <v>2101</v>
      </c>
      <c r="X34" s="34">
        <v>24</v>
      </c>
      <c r="Y34" s="24" t="s">
        <v>2112</v>
      </c>
      <c r="Z34" s="30">
        <v>46461</v>
      </c>
      <c r="AA34" s="24" t="s">
        <v>2173</v>
      </c>
      <c r="AB34" s="136" t="str">
        <f t="shared" si="0"/>
        <v>Blacklisted</v>
      </c>
    </row>
    <row r="35" spans="1:28">
      <c r="A35" s="24" t="s">
        <v>275</v>
      </c>
      <c r="B35" s="24" t="s">
        <v>83</v>
      </c>
      <c r="C35" s="24" t="s">
        <v>222</v>
      </c>
      <c r="D35" s="30">
        <v>45832</v>
      </c>
      <c r="E35" s="30" t="s">
        <v>276</v>
      </c>
      <c r="F35" s="24" t="s">
        <v>180</v>
      </c>
      <c r="G35" s="24" t="s">
        <v>76</v>
      </c>
      <c r="H35" s="30" t="s">
        <v>87</v>
      </c>
      <c r="I35" s="24" t="s">
        <v>30</v>
      </c>
      <c r="J35" s="24" t="s">
        <v>31</v>
      </c>
      <c r="K35" s="24" t="s">
        <v>2109</v>
      </c>
      <c r="L35" s="24" t="s">
        <v>122</v>
      </c>
      <c r="M35" s="24" t="s">
        <v>227</v>
      </c>
      <c r="N35" s="24">
        <v>3</v>
      </c>
      <c r="O35" s="36">
        <v>15</v>
      </c>
      <c r="P35" s="35">
        <v>0</v>
      </c>
      <c r="Q35" s="36">
        <v>45</v>
      </c>
      <c r="R35" s="34">
        <v>2</v>
      </c>
      <c r="S35" s="24" t="s">
        <v>79</v>
      </c>
      <c r="T35" s="24" t="s">
        <v>35</v>
      </c>
      <c r="U35" s="24" t="s">
        <v>89</v>
      </c>
      <c r="V35" s="24">
        <v>9437132894</v>
      </c>
      <c r="W35" s="24" t="s">
        <v>2103</v>
      </c>
      <c r="X35" s="34">
        <v>12</v>
      </c>
      <c r="Y35" s="24" t="s">
        <v>2108</v>
      </c>
      <c r="Z35" s="30">
        <v>46207</v>
      </c>
      <c r="AA35" s="24" t="s">
        <v>2174</v>
      </c>
      <c r="AB35" s="136" t="str">
        <f t="shared" si="0"/>
        <v>Blacklisted</v>
      </c>
    </row>
    <row r="36" spans="1:28">
      <c r="A36" s="24" t="s">
        <v>280</v>
      </c>
      <c r="B36" s="24" t="s">
        <v>127</v>
      </c>
      <c r="C36" s="24" t="s">
        <v>259</v>
      </c>
      <c r="D36" s="30">
        <v>45939</v>
      </c>
      <c r="E36" s="30" t="s">
        <v>282</v>
      </c>
      <c r="F36" s="24" t="s">
        <v>200</v>
      </c>
      <c r="G36" s="24" t="s">
        <v>76</v>
      </c>
      <c r="H36" s="30" t="s">
        <v>131</v>
      </c>
      <c r="I36" s="24" t="s">
        <v>44</v>
      </c>
      <c r="J36" s="24" t="s">
        <v>45</v>
      </c>
      <c r="K36" s="24" t="s">
        <v>2113</v>
      </c>
      <c r="L36" s="24" t="s">
        <v>122</v>
      </c>
      <c r="M36" s="24" t="s">
        <v>263</v>
      </c>
      <c r="N36" s="24">
        <v>18</v>
      </c>
      <c r="O36" s="36">
        <v>33.75</v>
      </c>
      <c r="P36" s="35">
        <v>0.2</v>
      </c>
      <c r="Q36" s="36">
        <v>486</v>
      </c>
      <c r="R36" s="34">
        <v>4</v>
      </c>
      <c r="S36" s="24" t="s">
        <v>2148</v>
      </c>
      <c r="T36" s="24" t="s">
        <v>35</v>
      </c>
      <c r="U36" s="24" t="s">
        <v>132</v>
      </c>
      <c r="V36" s="24">
        <v>9762437243</v>
      </c>
      <c r="W36" s="24" t="s">
        <v>2100</v>
      </c>
      <c r="X36" s="34">
        <v>12</v>
      </c>
      <c r="Y36" s="24" t="s">
        <v>2112</v>
      </c>
      <c r="Z36" s="30">
        <v>46314</v>
      </c>
      <c r="AA36" s="24" t="s">
        <v>2176</v>
      </c>
      <c r="AB36" s="136" t="str">
        <f t="shared" si="0"/>
        <v>Silver</v>
      </c>
    </row>
    <row r="37" spans="1:28">
      <c r="A37" s="24" t="s">
        <v>285</v>
      </c>
      <c r="B37" s="24" t="s">
        <v>127</v>
      </c>
      <c r="C37" s="24" t="s">
        <v>72</v>
      </c>
      <c r="D37" s="30">
        <v>45980</v>
      </c>
      <c r="E37" s="30" t="s">
        <v>287</v>
      </c>
      <c r="F37" s="24" t="s">
        <v>200</v>
      </c>
      <c r="G37" s="24" t="s">
        <v>76</v>
      </c>
      <c r="H37" s="30" t="s">
        <v>131</v>
      </c>
      <c r="I37" s="24" t="s">
        <v>44</v>
      </c>
      <c r="J37" s="24" t="s">
        <v>45</v>
      </c>
      <c r="K37" s="24" t="s">
        <v>2113</v>
      </c>
      <c r="L37" s="24" t="s">
        <v>46</v>
      </c>
      <c r="M37" s="24" t="s">
        <v>78</v>
      </c>
      <c r="N37" s="24">
        <v>4</v>
      </c>
      <c r="O37" s="36">
        <v>900</v>
      </c>
      <c r="P37" s="35">
        <v>0.2</v>
      </c>
      <c r="Q37" s="36">
        <v>2880</v>
      </c>
      <c r="R37" s="34">
        <v>3</v>
      </c>
      <c r="S37" s="24" t="s">
        <v>2148</v>
      </c>
      <c r="T37" s="24" t="s">
        <v>61</v>
      </c>
      <c r="U37" s="24" t="s">
        <v>132</v>
      </c>
      <c r="V37" s="24">
        <v>9149046970</v>
      </c>
      <c r="W37" s="24" t="s">
        <v>2100</v>
      </c>
      <c r="X37" s="34">
        <v>6</v>
      </c>
      <c r="Y37" s="24" t="s">
        <v>2112</v>
      </c>
      <c r="Z37" s="30">
        <v>46168</v>
      </c>
      <c r="AA37" s="24" t="s">
        <v>2176</v>
      </c>
      <c r="AB37" s="136" t="str">
        <f t="shared" si="0"/>
        <v>Silver</v>
      </c>
    </row>
    <row r="38" spans="1:28">
      <c r="A38" s="24" t="s">
        <v>290</v>
      </c>
      <c r="B38" s="24" t="s">
        <v>71</v>
      </c>
      <c r="C38" s="24" t="s">
        <v>54</v>
      </c>
      <c r="D38" s="30">
        <v>45966</v>
      </c>
      <c r="E38" s="30" t="s">
        <v>292</v>
      </c>
      <c r="F38" s="24" t="s">
        <v>217</v>
      </c>
      <c r="G38" s="24" t="s">
        <v>76</v>
      </c>
      <c r="H38" s="30" t="s">
        <v>77</v>
      </c>
      <c r="I38" s="24" t="s">
        <v>44</v>
      </c>
      <c r="J38" s="24" t="s">
        <v>45</v>
      </c>
      <c r="K38" s="24" t="s">
        <v>2114</v>
      </c>
      <c r="L38" s="24" t="s">
        <v>46</v>
      </c>
      <c r="M38" s="24" t="s">
        <v>60</v>
      </c>
      <c r="N38" s="24">
        <v>10</v>
      </c>
      <c r="O38" s="36">
        <v>41250</v>
      </c>
      <c r="P38" s="35">
        <v>0</v>
      </c>
      <c r="Q38" s="36">
        <v>412500</v>
      </c>
      <c r="R38" s="34">
        <v>1</v>
      </c>
      <c r="S38" s="24" t="s">
        <v>2149</v>
      </c>
      <c r="T38" s="24" t="s">
        <v>49</v>
      </c>
      <c r="U38" s="24" t="s">
        <v>80</v>
      </c>
      <c r="V38" s="24">
        <v>9869182901</v>
      </c>
      <c r="W38" s="24" t="s">
        <v>2100</v>
      </c>
      <c r="X38" s="34">
        <v>12</v>
      </c>
      <c r="Y38" s="24" t="s">
        <v>2110</v>
      </c>
      <c r="Z38" s="30">
        <v>46340</v>
      </c>
      <c r="AA38" s="24" t="s">
        <v>2173</v>
      </c>
      <c r="AB38" s="136" t="str">
        <f t="shared" si="0"/>
        <v>Blacklisted</v>
      </c>
    </row>
    <row r="39" spans="1:28">
      <c r="A39" s="24" t="s">
        <v>297</v>
      </c>
      <c r="B39" s="24" t="s">
        <v>251</v>
      </c>
      <c r="C39" s="24" t="s">
        <v>92</v>
      </c>
      <c r="D39" s="30">
        <v>46089</v>
      </c>
      <c r="E39" s="30" t="s">
        <v>242</v>
      </c>
      <c r="F39" s="24" t="s">
        <v>254</v>
      </c>
      <c r="G39" s="24" t="s">
        <v>28</v>
      </c>
      <c r="H39" s="30" t="s">
        <v>255</v>
      </c>
      <c r="I39" s="24" t="s">
        <v>114</v>
      </c>
      <c r="J39" s="24" t="s">
        <v>106</v>
      </c>
      <c r="K39" s="24" t="s">
        <v>2111</v>
      </c>
      <c r="L39" s="24" t="s">
        <v>32</v>
      </c>
      <c r="M39" s="24" t="s">
        <v>97</v>
      </c>
      <c r="N39" s="24">
        <v>20</v>
      </c>
      <c r="O39" s="36">
        <v>2625</v>
      </c>
      <c r="P39" s="35">
        <v>0.1</v>
      </c>
      <c r="Q39" s="36">
        <v>47250</v>
      </c>
      <c r="R39" s="34">
        <v>3</v>
      </c>
      <c r="S39" s="24" t="s">
        <v>79</v>
      </c>
      <c r="T39" s="24" t="s">
        <v>49</v>
      </c>
      <c r="U39" s="24" t="s">
        <v>256</v>
      </c>
      <c r="V39" s="24">
        <v>9283578533</v>
      </c>
      <c r="W39" s="24" t="s">
        <v>2101</v>
      </c>
      <c r="X39" s="34">
        <v>6</v>
      </c>
      <c r="Y39" s="24" t="s">
        <v>2112</v>
      </c>
      <c r="Z39" s="30">
        <v>46285</v>
      </c>
      <c r="AA39" s="24" t="s">
        <v>2173</v>
      </c>
      <c r="AB39" s="136" t="str">
        <f t="shared" si="0"/>
        <v>Silver</v>
      </c>
    </row>
    <row r="40" spans="1:28">
      <c r="A40" s="24" t="s">
        <v>301</v>
      </c>
      <c r="B40" s="24" t="s">
        <v>23</v>
      </c>
      <c r="C40" s="24" t="s">
        <v>222</v>
      </c>
      <c r="D40" s="30">
        <v>45701</v>
      </c>
      <c r="E40" s="30" t="s">
        <v>303</v>
      </c>
      <c r="F40" s="24" t="s">
        <v>27</v>
      </c>
      <c r="G40" s="24" t="s">
        <v>28</v>
      </c>
      <c r="H40" s="30" t="s">
        <v>29</v>
      </c>
      <c r="I40" s="24" t="s">
        <v>30</v>
      </c>
      <c r="J40" s="24" t="s">
        <v>31</v>
      </c>
      <c r="K40" s="24" t="s">
        <v>2111</v>
      </c>
      <c r="L40" s="24" t="s">
        <v>122</v>
      </c>
      <c r="M40" s="24" t="s">
        <v>227</v>
      </c>
      <c r="N40" s="24">
        <v>5</v>
      </c>
      <c r="O40" s="36">
        <v>15</v>
      </c>
      <c r="P40" s="35">
        <v>0</v>
      </c>
      <c r="Q40" s="36">
        <v>75</v>
      </c>
      <c r="R40" s="34">
        <v>1</v>
      </c>
      <c r="S40" s="24" t="s">
        <v>34</v>
      </c>
      <c r="T40" s="24" t="s">
        <v>49</v>
      </c>
      <c r="U40" s="24" t="s">
        <v>50</v>
      </c>
      <c r="V40" s="24">
        <v>9963005771</v>
      </c>
      <c r="W40" s="24" t="s">
        <v>2103</v>
      </c>
      <c r="X40" s="34">
        <v>12</v>
      </c>
      <c r="Y40" s="24" t="s">
        <v>2108</v>
      </c>
      <c r="Z40" s="30">
        <v>46072</v>
      </c>
      <c r="AA40" s="24" t="s">
        <v>2171</v>
      </c>
      <c r="AB40" s="136" t="str">
        <f t="shared" si="0"/>
        <v>Blacklisted</v>
      </c>
    </row>
    <row r="41" spans="1:28">
      <c r="A41" s="24" t="s">
        <v>307</v>
      </c>
      <c r="B41" s="24" t="s">
        <v>53</v>
      </c>
      <c r="C41" s="24" t="s">
        <v>169</v>
      </c>
      <c r="D41" s="30">
        <v>45935</v>
      </c>
      <c r="E41" s="30" t="s">
        <v>309</v>
      </c>
      <c r="F41" s="24" t="s">
        <v>163</v>
      </c>
      <c r="G41" s="24" t="s">
        <v>28</v>
      </c>
      <c r="H41" s="30" t="s">
        <v>58</v>
      </c>
      <c r="I41" s="24" t="s">
        <v>59</v>
      </c>
      <c r="J41" s="24" t="s">
        <v>31</v>
      </c>
      <c r="K41" s="24" t="s">
        <v>2111</v>
      </c>
      <c r="L41" s="24" t="s">
        <v>32</v>
      </c>
      <c r="M41" s="24" t="s">
        <v>174</v>
      </c>
      <c r="N41" s="24">
        <v>20</v>
      </c>
      <c r="O41" s="36">
        <v>6375</v>
      </c>
      <c r="P41" s="35">
        <v>0</v>
      </c>
      <c r="Q41" s="36">
        <v>127500</v>
      </c>
      <c r="R41" s="34">
        <v>1</v>
      </c>
      <c r="S41" s="24" t="s">
        <v>2149</v>
      </c>
      <c r="T41" s="24" t="s">
        <v>115</v>
      </c>
      <c r="U41" s="24" t="s">
        <v>62</v>
      </c>
      <c r="V41" s="24">
        <v>9484632635</v>
      </c>
      <c r="W41" s="24" t="s">
        <v>2100</v>
      </c>
      <c r="X41" s="34">
        <v>24</v>
      </c>
      <c r="Y41" s="24" t="s">
        <v>2108</v>
      </c>
      <c r="Z41" s="30">
        <v>46675</v>
      </c>
      <c r="AA41" s="24" t="s">
        <v>2172</v>
      </c>
      <c r="AB41" s="136" t="str">
        <f t="shared" si="0"/>
        <v>Blacklisted</v>
      </c>
    </row>
    <row r="42" spans="1:28">
      <c r="A42" s="24" t="s">
        <v>312</v>
      </c>
      <c r="B42" s="24" t="s">
        <v>83</v>
      </c>
      <c r="C42" s="24" t="s">
        <v>118</v>
      </c>
      <c r="D42" s="30">
        <v>46063</v>
      </c>
      <c r="E42" s="30" t="s">
        <v>314</v>
      </c>
      <c r="F42" s="24" t="s">
        <v>180</v>
      </c>
      <c r="G42" s="24" t="s">
        <v>76</v>
      </c>
      <c r="H42" s="30" t="s">
        <v>87</v>
      </c>
      <c r="I42" s="24" t="s">
        <v>30</v>
      </c>
      <c r="J42" s="24" t="s">
        <v>31</v>
      </c>
      <c r="K42" s="24" t="s">
        <v>2109</v>
      </c>
      <c r="L42" s="24" t="s">
        <v>122</v>
      </c>
      <c r="M42" s="24" t="s">
        <v>123</v>
      </c>
      <c r="N42" s="24">
        <v>8</v>
      </c>
      <c r="O42" s="36">
        <v>45</v>
      </c>
      <c r="P42" s="35">
        <v>0.15</v>
      </c>
      <c r="Q42" s="36">
        <v>306</v>
      </c>
      <c r="R42" s="34">
        <v>5</v>
      </c>
      <c r="S42" s="24" t="s">
        <v>2149</v>
      </c>
      <c r="T42" s="24" t="s">
        <v>49</v>
      </c>
      <c r="U42" s="24" t="s">
        <v>89</v>
      </c>
      <c r="V42" s="24">
        <v>9276319484</v>
      </c>
      <c r="W42" s="24" t="s">
        <v>2102</v>
      </c>
      <c r="X42" s="34">
        <v>12</v>
      </c>
      <c r="Y42" s="24" t="s">
        <v>2108</v>
      </c>
      <c r="Z42" s="30">
        <v>46430</v>
      </c>
      <c r="AA42" s="24" t="s">
        <v>2174</v>
      </c>
      <c r="AB42" s="136" t="str">
        <f t="shared" si="0"/>
        <v>Silver</v>
      </c>
    </row>
    <row r="43" spans="1:28">
      <c r="A43" s="24" t="s">
        <v>317</v>
      </c>
      <c r="B43" s="24" t="s">
        <v>53</v>
      </c>
      <c r="C43" s="24" t="s">
        <v>92</v>
      </c>
      <c r="D43" s="30">
        <v>45812</v>
      </c>
      <c r="E43" s="30" t="s">
        <v>260</v>
      </c>
      <c r="F43" s="24" t="s">
        <v>163</v>
      </c>
      <c r="G43" s="24" t="s">
        <v>28</v>
      </c>
      <c r="H43" s="30" t="s">
        <v>58</v>
      </c>
      <c r="I43" s="24" t="s">
        <v>59</v>
      </c>
      <c r="J43" s="24" t="s">
        <v>31</v>
      </c>
      <c r="K43" s="24" t="s">
        <v>2111</v>
      </c>
      <c r="L43" s="24" t="s">
        <v>32</v>
      </c>
      <c r="M43" s="24" t="s">
        <v>97</v>
      </c>
      <c r="N43" s="24">
        <v>8</v>
      </c>
      <c r="O43" s="36">
        <v>2625</v>
      </c>
      <c r="P43" s="35">
        <v>0.05</v>
      </c>
      <c r="Q43" s="36">
        <v>19950</v>
      </c>
      <c r="R43" s="34">
        <v>1</v>
      </c>
      <c r="S43" s="24" t="s">
        <v>79</v>
      </c>
      <c r="T43" s="24" t="s">
        <v>115</v>
      </c>
      <c r="U43" s="24" t="s">
        <v>62</v>
      </c>
      <c r="V43" s="24">
        <v>9619034852</v>
      </c>
      <c r="W43" s="24" t="s">
        <v>2101</v>
      </c>
      <c r="X43" s="34">
        <v>6</v>
      </c>
      <c r="Y43" s="24" t="s">
        <v>2108</v>
      </c>
      <c r="Z43" s="30">
        <v>46007</v>
      </c>
      <c r="AA43" s="24" t="s">
        <v>2172</v>
      </c>
      <c r="AB43" s="136" t="str">
        <f t="shared" si="0"/>
        <v>Blacklisted</v>
      </c>
    </row>
    <row r="44" spans="1:28">
      <c r="A44" s="24" t="s">
        <v>321</v>
      </c>
      <c r="B44" s="24" t="s">
        <v>71</v>
      </c>
      <c r="C44" s="24" t="s">
        <v>169</v>
      </c>
      <c r="D44" s="30">
        <v>46061</v>
      </c>
      <c r="E44" s="30" t="s">
        <v>323</v>
      </c>
      <c r="F44" s="24" t="s">
        <v>217</v>
      </c>
      <c r="G44" s="24" t="s">
        <v>76</v>
      </c>
      <c r="H44" s="30" t="s">
        <v>77</v>
      </c>
      <c r="I44" s="24" t="s">
        <v>44</v>
      </c>
      <c r="J44" s="24" t="s">
        <v>45</v>
      </c>
      <c r="K44" s="24" t="s">
        <v>2114</v>
      </c>
      <c r="L44" s="24" t="s">
        <v>32</v>
      </c>
      <c r="M44" s="24" t="s">
        <v>174</v>
      </c>
      <c r="N44" s="24">
        <v>1</v>
      </c>
      <c r="O44" s="36">
        <v>6375</v>
      </c>
      <c r="P44" s="35">
        <v>0</v>
      </c>
      <c r="Q44" s="36">
        <v>6375</v>
      </c>
      <c r="R44" s="34">
        <v>2</v>
      </c>
      <c r="S44" s="24" t="s">
        <v>79</v>
      </c>
      <c r="T44" s="24" t="s">
        <v>115</v>
      </c>
      <c r="U44" s="24" t="s">
        <v>80</v>
      </c>
      <c r="V44" s="24">
        <v>9636416962</v>
      </c>
      <c r="W44" s="24" t="s">
        <v>2100</v>
      </c>
      <c r="X44" s="34">
        <v>24</v>
      </c>
      <c r="Y44" s="24" t="s">
        <v>2110</v>
      </c>
      <c r="Z44" s="30">
        <v>46797</v>
      </c>
      <c r="AA44" s="24" t="s">
        <v>2173</v>
      </c>
      <c r="AB44" s="136" t="str">
        <f t="shared" si="0"/>
        <v>Blacklisted</v>
      </c>
    </row>
    <row r="45" spans="1:28">
      <c r="A45" s="24" t="s">
        <v>326</v>
      </c>
      <c r="B45" s="24" t="s">
        <v>327</v>
      </c>
      <c r="C45" s="24" t="s">
        <v>259</v>
      </c>
      <c r="D45" s="30">
        <v>45746</v>
      </c>
      <c r="E45" s="30" t="s">
        <v>329</v>
      </c>
      <c r="F45" s="24" t="s">
        <v>394</v>
      </c>
      <c r="G45" s="24" t="s">
        <v>76</v>
      </c>
      <c r="H45" s="30" t="s">
        <v>331</v>
      </c>
      <c r="I45" s="24" t="s">
        <v>114</v>
      </c>
      <c r="J45" s="24" t="s">
        <v>106</v>
      </c>
      <c r="K45" s="24" t="s">
        <v>2109</v>
      </c>
      <c r="L45" s="24" t="s">
        <v>122</v>
      </c>
      <c r="M45" s="24" t="s">
        <v>263</v>
      </c>
      <c r="N45" s="24">
        <v>8</v>
      </c>
      <c r="O45" s="36">
        <v>33.75</v>
      </c>
      <c r="P45" s="35">
        <v>0.15</v>
      </c>
      <c r="Q45" s="36">
        <v>229.5</v>
      </c>
      <c r="R45" s="34">
        <v>2</v>
      </c>
      <c r="S45" s="24" t="s">
        <v>79</v>
      </c>
      <c r="T45" s="24" t="s">
        <v>61</v>
      </c>
      <c r="U45" s="24" t="s">
        <v>332</v>
      </c>
      <c r="V45" s="24">
        <v>9357133880</v>
      </c>
      <c r="W45" s="24" t="s">
        <v>2100</v>
      </c>
      <c r="X45" s="34">
        <v>12</v>
      </c>
      <c r="Y45" s="24" t="s">
        <v>2108</v>
      </c>
      <c r="Z45" s="30">
        <v>46112</v>
      </c>
      <c r="AA45" s="24" t="s">
        <v>2171</v>
      </c>
      <c r="AB45" s="136" t="str">
        <f t="shared" si="0"/>
        <v>Blacklisted</v>
      </c>
    </row>
    <row r="46" spans="1:28">
      <c r="A46" s="24" t="s">
        <v>334</v>
      </c>
      <c r="B46" s="24" t="s">
        <v>251</v>
      </c>
      <c r="C46" s="24" t="s">
        <v>24</v>
      </c>
      <c r="D46" s="30">
        <v>45772</v>
      </c>
      <c r="E46" s="30" t="s">
        <v>336</v>
      </c>
      <c r="F46" s="24" t="s">
        <v>254</v>
      </c>
      <c r="G46" s="24" t="s">
        <v>28</v>
      </c>
      <c r="H46" s="30" t="s">
        <v>255</v>
      </c>
      <c r="I46" s="24" t="s">
        <v>114</v>
      </c>
      <c r="J46" s="24" t="s">
        <v>106</v>
      </c>
      <c r="K46" s="24" t="s">
        <v>2111</v>
      </c>
      <c r="L46" s="24" t="s">
        <v>32</v>
      </c>
      <c r="M46" s="24" t="s">
        <v>33</v>
      </c>
      <c r="N46" s="24">
        <v>16</v>
      </c>
      <c r="O46" s="36">
        <v>1650</v>
      </c>
      <c r="P46" s="35">
        <v>0.05</v>
      </c>
      <c r="Q46" s="36">
        <v>25080</v>
      </c>
      <c r="R46" s="34">
        <v>5</v>
      </c>
      <c r="S46" s="24" t="s">
        <v>79</v>
      </c>
      <c r="T46" s="24" t="s">
        <v>61</v>
      </c>
      <c r="U46" s="24" t="s">
        <v>256</v>
      </c>
      <c r="V46" s="24">
        <v>9575210324</v>
      </c>
      <c r="W46" s="24" t="s">
        <v>2101</v>
      </c>
      <c r="X46" s="34">
        <v>24</v>
      </c>
      <c r="Y46" s="24" t="s">
        <v>2112</v>
      </c>
      <c r="Z46" s="30">
        <v>46505</v>
      </c>
      <c r="AA46" s="24" t="s">
        <v>2173</v>
      </c>
      <c r="AB46" s="136" t="str">
        <f t="shared" si="0"/>
        <v>Silver</v>
      </c>
    </row>
    <row r="47" spans="1:28">
      <c r="A47" s="24" t="s">
        <v>339</v>
      </c>
      <c r="B47" s="24" t="s">
        <v>71</v>
      </c>
      <c r="C47" s="24" t="s">
        <v>92</v>
      </c>
      <c r="D47" s="30">
        <v>45943</v>
      </c>
      <c r="E47" s="30" t="s">
        <v>341</v>
      </c>
      <c r="F47" s="24" t="s">
        <v>217</v>
      </c>
      <c r="G47" s="24" t="s">
        <v>76</v>
      </c>
      <c r="H47" s="30" t="s">
        <v>77</v>
      </c>
      <c r="I47" s="24" t="s">
        <v>44</v>
      </c>
      <c r="J47" s="24" t="s">
        <v>45</v>
      </c>
      <c r="K47" s="24" t="s">
        <v>2114</v>
      </c>
      <c r="L47" s="24" t="s">
        <v>32</v>
      </c>
      <c r="M47" s="24" t="s">
        <v>97</v>
      </c>
      <c r="N47" s="24">
        <v>19</v>
      </c>
      <c r="O47" s="36">
        <v>2625</v>
      </c>
      <c r="P47" s="35">
        <v>0.2</v>
      </c>
      <c r="Q47" s="36">
        <v>39900</v>
      </c>
      <c r="R47" s="34">
        <v>3</v>
      </c>
      <c r="S47" s="24" t="s">
        <v>34</v>
      </c>
      <c r="T47" s="24" t="s">
        <v>151</v>
      </c>
      <c r="U47" s="24" t="s">
        <v>80</v>
      </c>
      <c r="V47" s="24">
        <v>9276080204</v>
      </c>
      <c r="W47" s="24" t="s">
        <v>2101</v>
      </c>
      <c r="X47" s="34">
        <v>6</v>
      </c>
      <c r="Y47" s="24" t="s">
        <v>2110</v>
      </c>
      <c r="Z47" s="30">
        <v>46135</v>
      </c>
      <c r="AA47" s="24" t="s">
        <v>2173</v>
      </c>
      <c r="AB47" s="136" t="str">
        <f t="shared" si="0"/>
        <v>Silver</v>
      </c>
    </row>
    <row r="48" spans="1:28">
      <c r="A48" s="24" t="s">
        <v>344</v>
      </c>
      <c r="B48" s="24" t="s">
        <v>251</v>
      </c>
      <c r="C48" s="24" t="s">
        <v>184</v>
      </c>
      <c r="D48" s="30">
        <v>45941</v>
      </c>
      <c r="E48" s="30" t="s">
        <v>346</v>
      </c>
      <c r="F48" s="24" t="s">
        <v>254</v>
      </c>
      <c r="G48" s="24" t="s">
        <v>28</v>
      </c>
      <c r="H48" s="30" t="s">
        <v>255</v>
      </c>
      <c r="I48" s="24" t="s">
        <v>114</v>
      </c>
      <c r="J48" s="24" t="s">
        <v>106</v>
      </c>
      <c r="K48" s="24" t="s">
        <v>2111</v>
      </c>
      <c r="L48" s="24" t="s">
        <v>46</v>
      </c>
      <c r="M48" s="24" t="s">
        <v>189</v>
      </c>
      <c r="N48" s="24">
        <v>15</v>
      </c>
      <c r="O48" s="36">
        <v>525</v>
      </c>
      <c r="P48" s="35">
        <v>0.15</v>
      </c>
      <c r="Q48" s="36">
        <v>6693.75</v>
      </c>
      <c r="R48" s="34">
        <v>4</v>
      </c>
      <c r="S48" s="24" t="s">
        <v>2149</v>
      </c>
      <c r="T48" s="24" t="s">
        <v>115</v>
      </c>
      <c r="U48" s="24" t="s">
        <v>256</v>
      </c>
      <c r="V48" s="24">
        <v>9856624471</v>
      </c>
      <c r="W48" s="24" t="s">
        <v>2100</v>
      </c>
      <c r="X48" s="34">
        <v>24</v>
      </c>
      <c r="Y48" s="24" t="s">
        <v>2112</v>
      </c>
      <c r="Z48" s="30">
        <v>46674</v>
      </c>
      <c r="AA48" s="24" t="s">
        <v>2173</v>
      </c>
      <c r="AB48" s="136" t="str">
        <f t="shared" si="0"/>
        <v>Silver</v>
      </c>
    </row>
    <row r="49" spans="1:28">
      <c r="A49" s="24" t="s">
        <v>350</v>
      </c>
      <c r="B49" s="24" t="s">
        <v>251</v>
      </c>
      <c r="C49" s="24" t="s">
        <v>184</v>
      </c>
      <c r="D49" s="30">
        <v>45988</v>
      </c>
      <c r="E49" s="30" t="s">
        <v>352</v>
      </c>
      <c r="F49" s="24" t="s">
        <v>254</v>
      </c>
      <c r="G49" s="24" t="s">
        <v>28</v>
      </c>
      <c r="H49" s="30" t="s">
        <v>255</v>
      </c>
      <c r="I49" s="24" t="s">
        <v>114</v>
      </c>
      <c r="J49" s="24" t="s">
        <v>106</v>
      </c>
      <c r="K49" s="24" t="s">
        <v>2111</v>
      </c>
      <c r="L49" s="24" t="s">
        <v>46</v>
      </c>
      <c r="M49" s="24" t="s">
        <v>189</v>
      </c>
      <c r="N49" s="24">
        <v>19</v>
      </c>
      <c r="O49" s="36">
        <v>525</v>
      </c>
      <c r="P49" s="35">
        <v>0.2</v>
      </c>
      <c r="Q49" s="36">
        <v>7980</v>
      </c>
      <c r="R49" s="34">
        <v>1</v>
      </c>
      <c r="S49" s="24" t="s">
        <v>34</v>
      </c>
      <c r="T49" s="24" t="s">
        <v>115</v>
      </c>
      <c r="U49" s="24" t="s">
        <v>256</v>
      </c>
      <c r="V49" s="24">
        <v>9238141322</v>
      </c>
      <c r="W49" s="24" t="s">
        <v>2100</v>
      </c>
      <c r="X49" s="34">
        <v>24</v>
      </c>
      <c r="Y49" s="24" t="s">
        <v>2112</v>
      </c>
      <c r="Z49" s="30">
        <v>46724</v>
      </c>
      <c r="AA49" s="24" t="s">
        <v>2173</v>
      </c>
      <c r="AB49" s="136" t="str">
        <f t="shared" si="0"/>
        <v>Blacklisted</v>
      </c>
    </row>
    <row r="50" spans="1:28">
      <c r="A50" s="24" t="s">
        <v>355</v>
      </c>
      <c r="B50" s="24" t="s">
        <v>71</v>
      </c>
      <c r="C50" s="24" t="s">
        <v>40</v>
      </c>
      <c r="D50" s="30">
        <v>46131</v>
      </c>
      <c r="E50" s="30"/>
      <c r="F50" s="24" t="s">
        <v>217</v>
      </c>
      <c r="G50" s="24" t="s">
        <v>76</v>
      </c>
      <c r="H50" s="30" t="s">
        <v>77</v>
      </c>
      <c r="I50" s="24" t="s">
        <v>44</v>
      </c>
      <c r="J50" s="24" t="s">
        <v>45</v>
      </c>
      <c r="K50" s="24" t="s">
        <v>2114</v>
      </c>
      <c r="L50" s="24" t="s">
        <v>46</v>
      </c>
      <c r="M50" s="24" t="s">
        <v>47</v>
      </c>
      <c r="N50" s="24">
        <v>19</v>
      </c>
      <c r="O50" s="36">
        <v>9000</v>
      </c>
      <c r="P50" s="35">
        <v>0</v>
      </c>
      <c r="Q50" s="36">
        <v>171000</v>
      </c>
      <c r="R50" s="34">
        <v>1</v>
      </c>
      <c r="S50" s="24" t="s">
        <v>2148</v>
      </c>
      <c r="T50" s="24" t="s">
        <v>61</v>
      </c>
      <c r="U50" s="24" t="s">
        <v>80</v>
      </c>
      <c r="V50" s="24">
        <v>9890380030</v>
      </c>
      <c r="W50" s="24" t="s">
        <v>2101</v>
      </c>
      <c r="X50" s="34">
        <v>24</v>
      </c>
      <c r="Y50" s="24" t="s">
        <v>2110</v>
      </c>
      <c r="Z50" s="30">
        <v>731</v>
      </c>
      <c r="AA50" s="24" t="s">
        <v>2173</v>
      </c>
      <c r="AB50" s="136" t="str">
        <f t="shared" si="0"/>
        <v>Blacklisted</v>
      </c>
    </row>
    <row r="51" spans="1:28">
      <c r="A51" s="24" t="s">
        <v>359</v>
      </c>
      <c r="B51" s="24" t="s">
        <v>168</v>
      </c>
      <c r="C51" s="24" t="s">
        <v>72</v>
      </c>
      <c r="D51" s="30">
        <v>46131</v>
      </c>
      <c r="E51" s="30" t="s">
        <v>360</v>
      </c>
      <c r="F51" s="24" t="s">
        <v>361</v>
      </c>
      <c r="G51" s="24" t="s">
        <v>28</v>
      </c>
      <c r="H51" s="30" t="s">
        <v>173</v>
      </c>
      <c r="I51" s="24" t="s">
        <v>114</v>
      </c>
      <c r="J51" s="24" t="s">
        <v>106</v>
      </c>
      <c r="K51" s="24" t="s">
        <v>2111</v>
      </c>
      <c r="L51" s="24" t="s">
        <v>46</v>
      </c>
      <c r="M51" s="24" t="s">
        <v>78</v>
      </c>
      <c r="N51" s="24">
        <v>6</v>
      </c>
      <c r="O51" s="36">
        <v>900</v>
      </c>
      <c r="P51" s="35">
        <v>0.05</v>
      </c>
      <c r="Q51" s="36">
        <v>5130</v>
      </c>
      <c r="R51" s="34">
        <v>2</v>
      </c>
      <c r="S51" s="24" t="s">
        <v>34</v>
      </c>
      <c r="T51" s="24" t="s">
        <v>35</v>
      </c>
      <c r="U51" s="24" t="s">
        <v>175</v>
      </c>
      <c r="V51" s="24">
        <v>9495893170</v>
      </c>
      <c r="W51" s="24" t="s">
        <v>2100</v>
      </c>
      <c r="X51" s="34">
        <v>6</v>
      </c>
      <c r="Y51" s="24" t="s">
        <v>2112</v>
      </c>
      <c r="Z51" s="30">
        <v>46316</v>
      </c>
      <c r="AA51" s="24" t="s">
        <v>2177</v>
      </c>
      <c r="AB51" s="136" t="str">
        <f t="shared" si="0"/>
        <v>Blacklisted</v>
      </c>
    </row>
    <row r="52" spans="1:28">
      <c r="A52" s="24" t="s">
        <v>364</v>
      </c>
      <c r="B52" s="24" t="s">
        <v>53</v>
      </c>
      <c r="C52" s="24" t="s">
        <v>24</v>
      </c>
      <c r="D52" s="30">
        <v>45744</v>
      </c>
      <c r="E52" s="30" t="s">
        <v>366</v>
      </c>
      <c r="F52" s="24" t="s">
        <v>163</v>
      </c>
      <c r="G52" s="24" t="s">
        <v>28</v>
      </c>
      <c r="H52" s="30" t="s">
        <v>58</v>
      </c>
      <c r="I52" s="24" t="s">
        <v>59</v>
      </c>
      <c r="J52" s="24" t="s">
        <v>31</v>
      </c>
      <c r="K52" s="24" t="s">
        <v>2111</v>
      </c>
      <c r="L52" s="24" t="s">
        <v>32</v>
      </c>
      <c r="M52" s="24" t="s">
        <v>33</v>
      </c>
      <c r="N52" s="24">
        <v>7</v>
      </c>
      <c r="O52" s="36">
        <v>1650</v>
      </c>
      <c r="P52" s="35">
        <v>0.15</v>
      </c>
      <c r="Q52" s="36">
        <v>9817.5</v>
      </c>
      <c r="R52" s="34">
        <v>1</v>
      </c>
      <c r="S52" s="24" t="s">
        <v>2149</v>
      </c>
      <c r="T52" s="24" t="s">
        <v>61</v>
      </c>
      <c r="U52" s="24" t="s">
        <v>62</v>
      </c>
      <c r="V52" s="24">
        <v>9485166307</v>
      </c>
      <c r="W52" s="24" t="s">
        <v>2101</v>
      </c>
      <c r="X52" s="34">
        <v>24</v>
      </c>
      <c r="Y52" s="24" t="s">
        <v>2108</v>
      </c>
      <c r="Z52" s="30">
        <v>46484</v>
      </c>
      <c r="AA52" s="24" t="s">
        <v>2172</v>
      </c>
      <c r="AB52" s="136" t="str">
        <f t="shared" si="0"/>
        <v>Blacklisted</v>
      </c>
    </row>
    <row r="53" spans="1:28">
      <c r="A53" s="24" t="s">
        <v>370</v>
      </c>
      <c r="B53" s="24" t="s">
        <v>100</v>
      </c>
      <c r="C53" s="24" t="s">
        <v>118</v>
      </c>
      <c r="D53" s="30">
        <v>45894</v>
      </c>
      <c r="E53" s="30" t="s">
        <v>372</v>
      </c>
      <c r="F53" s="24" t="s">
        <v>103</v>
      </c>
      <c r="G53" s="24" t="s">
        <v>28</v>
      </c>
      <c r="H53" s="30" t="s">
        <v>104</v>
      </c>
      <c r="I53" s="24" t="s">
        <v>105</v>
      </c>
      <c r="J53" s="24" t="s">
        <v>106</v>
      </c>
      <c r="K53" s="24" t="s">
        <v>2111</v>
      </c>
      <c r="L53" s="24" t="s">
        <v>122</v>
      </c>
      <c r="M53" s="24" t="s">
        <v>123</v>
      </c>
      <c r="N53" s="24">
        <v>8</v>
      </c>
      <c r="O53" s="36">
        <v>45</v>
      </c>
      <c r="P53" s="35">
        <v>0.1</v>
      </c>
      <c r="Q53" s="36">
        <v>324</v>
      </c>
      <c r="R53" s="34">
        <v>5</v>
      </c>
      <c r="S53" s="24" t="s">
        <v>79</v>
      </c>
      <c r="T53" s="24" t="s">
        <v>61</v>
      </c>
      <c r="U53" s="24" t="s">
        <v>144</v>
      </c>
      <c r="V53" s="24">
        <v>9924709648</v>
      </c>
      <c r="W53" s="24" t="s">
        <v>2102</v>
      </c>
      <c r="X53" s="34">
        <v>12</v>
      </c>
      <c r="Y53" s="24" t="s">
        <v>2110</v>
      </c>
      <c r="Z53" s="30">
        <v>46262</v>
      </c>
      <c r="AA53" s="24" t="s">
        <v>2175</v>
      </c>
      <c r="AB53" s="136" t="str">
        <f t="shared" si="0"/>
        <v>Silver</v>
      </c>
    </row>
    <row r="54" spans="1:28">
      <c r="A54" s="24" t="s">
        <v>375</v>
      </c>
      <c r="B54" s="24" t="s">
        <v>221</v>
      </c>
      <c r="C54" s="24" t="s">
        <v>54</v>
      </c>
      <c r="D54" s="30">
        <v>45888</v>
      </c>
      <c r="E54" s="30" t="s">
        <v>377</v>
      </c>
      <c r="F54" s="24" t="s">
        <v>225</v>
      </c>
      <c r="G54" s="24" t="s">
        <v>76</v>
      </c>
      <c r="H54" s="30" t="s">
        <v>226</v>
      </c>
      <c r="I54" s="24" t="s">
        <v>105</v>
      </c>
      <c r="J54" s="24" t="s">
        <v>106</v>
      </c>
      <c r="K54" s="24" t="s">
        <v>2113</v>
      </c>
      <c r="L54" s="24" t="s">
        <v>46</v>
      </c>
      <c r="M54" s="24" t="s">
        <v>60</v>
      </c>
      <c r="N54" s="24">
        <v>12</v>
      </c>
      <c r="O54" s="36">
        <v>41250</v>
      </c>
      <c r="P54" s="35">
        <v>0.05</v>
      </c>
      <c r="Q54" s="36">
        <v>470250</v>
      </c>
      <c r="R54" s="34">
        <v>2</v>
      </c>
      <c r="S54" s="24" t="s">
        <v>2149</v>
      </c>
      <c r="T54" s="24" t="s">
        <v>49</v>
      </c>
      <c r="U54" s="24" t="s">
        <v>228</v>
      </c>
      <c r="V54" s="24">
        <v>9350554626</v>
      </c>
      <c r="W54" s="24" t="s">
        <v>2100</v>
      </c>
      <c r="X54" s="34">
        <v>12</v>
      </c>
      <c r="Y54" s="24" t="s">
        <v>2112</v>
      </c>
      <c r="Z54" s="30">
        <v>46257</v>
      </c>
      <c r="AA54" s="24" t="s">
        <v>2171</v>
      </c>
      <c r="AB54" s="136" t="str">
        <f t="shared" si="0"/>
        <v>Blacklisted</v>
      </c>
    </row>
    <row r="55" spans="1:28">
      <c r="A55" s="24" t="s">
        <v>380</v>
      </c>
      <c r="B55" s="24" t="s">
        <v>23</v>
      </c>
      <c r="C55" s="24" t="s">
        <v>184</v>
      </c>
      <c r="D55" s="30">
        <v>45865</v>
      </c>
      <c r="E55" s="30" t="s">
        <v>382</v>
      </c>
      <c r="F55" s="24" t="s">
        <v>27</v>
      </c>
      <c r="G55" s="24" t="s">
        <v>28</v>
      </c>
      <c r="H55" s="30" t="s">
        <v>29</v>
      </c>
      <c r="I55" s="24" t="s">
        <v>30</v>
      </c>
      <c r="J55" s="24" t="s">
        <v>31</v>
      </c>
      <c r="K55" s="24" t="s">
        <v>2111</v>
      </c>
      <c r="L55" s="24" t="s">
        <v>46</v>
      </c>
      <c r="M55" s="24" t="s">
        <v>189</v>
      </c>
      <c r="N55" s="24">
        <v>3</v>
      </c>
      <c r="O55" s="36">
        <v>525</v>
      </c>
      <c r="P55" s="35">
        <v>0</v>
      </c>
      <c r="Q55" s="36">
        <v>1575</v>
      </c>
      <c r="R55" s="34">
        <v>3</v>
      </c>
      <c r="S55" s="24" t="s">
        <v>79</v>
      </c>
      <c r="T55" s="24" t="s">
        <v>151</v>
      </c>
      <c r="U55" s="24" t="s">
        <v>50</v>
      </c>
      <c r="V55" s="24">
        <v>9743295580</v>
      </c>
      <c r="W55" s="24" t="s">
        <v>2100</v>
      </c>
      <c r="X55" s="34">
        <v>24</v>
      </c>
      <c r="Y55" s="24" t="s">
        <v>2108</v>
      </c>
      <c r="Z55" s="30">
        <v>46604</v>
      </c>
      <c r="AA55" s="24" t="s">
        <v>2171</v>
      </c>
      <c r="AB55" s="136" t="str">
        <f t="shared" si="0"/>
        <v>Silver</v>
      </c>
    </row>
    <row r="56" spans="1:28">
      <c r="A56" s="24" t="s">
        <v>385</v>
      </c>
      <c r="B56" s="24" t="s">
        <v>127</v>
      </c>
      <c r="C56" s="24" t="s">
        <v>118</v>
      </c>
      <c r="D56" s="30">
        <v>45709</v>
      </c>
      <c r="E56" s="30" t="s">
        <v>387</v>
      </c>
      <c r="F56" s="24" t="s">
        <v>200</v>
      </c>
      <c r="G56" s="24" t="s">
        <v>76</v>
      </c>
      <c r="H56" s="30" t="s">
        <v>131</v>
      </c>
      <c r="I56" s="24" t="s">
        <v>44</v>
      </c>
      <c r="J56" s="24" t="s">
        <v>45</v>
      </c>
      <c r="K56" s="24" t="s">
        <v>2113</v>
      </c>
      <c r="L56" s="24" t="s">
        <v>122</v>
      </c>
      <c r="M56" s="24" t="s">
        <v>123</v>
      </c>
      <c r="N56" s="24">
        <v>19</v>
      </c>
      <c r="O56" s="36">
        <v>45</v>
      </c>
      <c r="P56" s="35">
        <v>0.15</v>
      </c>
      <c r="Q56" s="36">
        <v>726.75</v>
      </c>
      <c r="R56" s="34">
        <v>4</v>
      </c>
      <c r="S56" s="24" t="s">
        <v>79</v>
      </c>
      <c r="T56" s="24" t="s">
        <v>49</v>
      </c>
      <c r="U56" s="24" t="s">
        <v>132</v>
      </c>
      <c r="V56" s="24">
        <v>9822926495</v>
      </c>
      <c r="W56" s="24" t="s">
        <v>2102</v>
      </c>
      <c r="X56" s="34">
        <v>12</v>
      </c>
      <c r="Y56" s="24" t="s">
        <v>2112</v>
      </c>
      <c r="Z56" s="30">
        <v>46079</v>
      </c>
      <c r="AA56" s="24" t="s">
        <v>2176</v>
      </c>
      <c r="AB56" s="136" t="str">
        <f t="shared" si="0"/>
        <v>Silver</v>
      </c>
    </row>
    <row r="57" spans="1:28">
      <c r="A57" s="24" t="s">
        <v>391</v>
      </c>
      <c r="B57" s="24" t="s">
        <v>327</v>
      </c>
      <c r="C57" s="24" t="s">
        <v>118</v>
      </c>
      <c r="D57" s="30">
        <v>45879</v>
      </c>
      <c r="E57" s="30" t="s">
        <v>393</v>
      </c>
      <c r="F57" s="24" t="s">
        <v>394</v>
      </c>
      <c r="G57" s="24" t="s">
        <v>76</v>
      </c>
      <c r="H57" s="30" t="s">
        <v>331</v>
      </c>
      <c r="I57" s="24" t="s">
        <v>114</v>
      </c>
      <c r="J57" s="24" t="s">
        <v>106</v>
      </c>
      <c r="K57" s="24" t="s">
        <v>2109</v>
      </c>
      <c r="L57" s="24" t="s">
        <v>122</v>
      </c>
      <c r="M57" s="24" t="s">
        <v>123</v>
      </c>
      <c r="N57" s="24">
        <v>9</v>
      </c>
      <c r="O57" s="36">
        <v>45</v>
      </c>
      <c r="P57" s="35">
        <v>0.2</v>
      </c>
      <c r="Q57" s="36">
        <v>324</v>
      </c>
      <c r="R57" s="34">
        <v>1</v>
      </c>
      <c r="S57" s="24" t="s">
        <v>2148</v>
      </c>
      <c r="T57" s="24" t="s">
        <v>115</v>
      </c>
      <c r="U57" s="24" t="s">
        <v>332</v>
      </c>
      <c r="V57" s="24">
        <v>9518298190</v>
      </c>
      <c r="W57" s="24" t="s">
        <v>2102</v>
      </c>
      <c r="X57" s="34">
        <v>12</v>
      </c>
      <c r="Y57" s="24" t="s">
        <v>2108</v>
      </c>
      <c r="Z57" s="30">
        <v>46245</v>
      </c>
      <c r="AA57" s="24" t="s">
        <v>2171</v>
      </c>
      <c r="AB57" s="136" t="str">
        <f t="shared" si="0"/>
        <v>Blacklisted</v>
      </c>
    </row>
    <row r="58" spans="1:28">
      <c r="A58" s="24" t="s">
        <v>397</v>
      </c>
      <c r="B58" s="24" t="s">
        <v>327</v>
      </c>
      <c r="C58" s="24" t="s">
        <v>184</v>
      </c>
      <c r="D58" s="30">
        <v>46105</v>
      </c>
      <c r="E58" s="30" t="s">
        <v>399</v>
      </c>
      <c r="F58" s="24" t="s">
        <v>394</v>
      </c>
      <c r="G58" s="24" t="s">
        <v>76</v>
      </c>
      <c r="H58" s="30" t="s">
        <v>331</v>
      </c>
      <c r="I58" s="24" t="s">
        <v>114</v>
      </c>
      <c r="J58" s="24" t="s">
        <v>106</v>
      </c>
      <c r="K58" s="24" t="s">
        <v>2109</v>
      </c>
      <c r="L58" s="24" t="s">
        <v>46</v>
      </c>
      <c r="M58" s="24" t="s">
        <v>189</v>
      </c>
      <c r="N58" s="24">
        <v>6</v>
      </c>
      <c r="O58" s="36">
        <v>525</v>
      </c>
      <c r="P58" s="35">
        <v>0</v>
      </c>
      <c r="Q58" s="36">
        <v>3150</v>
      </c>
      <c r="R58" s="34">
        <v>4</v>
      </c>
      <c r="S58" s="24" t="s">
        <v>2149</v>
      </c>
      <c r="T58" s="24" t="s">
        <v>49</v>
      </c>
      <c r="U58" s="24" t="s">
        <v>332</v>
      </c>
      <c r="V58" s="24">
        <v>9366223547</v>
      </c>
      <c r="W58" s="24" t="s">
        <v>2100</v>
      </c>
      <c r="X58" s="34">
        <v>24</v>
      </c>
      <c r="Y58" s="24" t="s">
        <v>2108</v>
      </c>
      <c r="Z58" s="30">
        <v>46842</v>
      </c>
      <c r="AA58" s="24" t="s">
        <v>2171</v>
      </c>
      <c r="AB58" s="136" t="str">
        <f t="shared" si="0"/>
        <v>Silver</v>
      </c>
    </row>
    <row r="59" spans="1:28">
      <c r="A59" s="24" t="s">
        <v>403</v>
      </c>
      <c r="B59" s="24" t="s">
        <v>127</v>
      </c>
      <c r="C59" s="24" t="s">
        <v>259</v>
      </c>
      <c r="D59" s="30">
        <v>46094</v>
      </c>
      <c r="E59" s="30" t="s">
        <v>404</v>
      </c>
      <c r="F59" s="24" t="s">
        <v>200</v>
      </c>
      <c r="G59" s="24" t="s">
        <v>76</v>
      </c>
      <c r="H59" s="30" t="s">
        <v>131</v>
      </c>
      <c r="I59" s="24" t="s">
        <v>44</v>
      </c>
      <c r="J59" s="24" t="s">
        <v>45</v>
      </c>
      <c r="K59" s="24" t="s">
        <v>2113</v>
      </c>
      <c r="L59" s="24" t="s">
        <v>122</v>
      </c>
      <c r="M59" s="24" t="s">
        <v>263</v>
      </c>
      <c r="N59" s="24">
        <v>18</v>
      </c>
      <c r="O59" s="36">
        <v>33.75</v>
      </c>
      <c r="P59" s="35">
        <v>0.05</v>
      </c>
      <c r="Q59" s="36">
        <v>577.125</v>
      </c>
      <c r="R59" s="34">
        <v>1</v>
      </c>
      <c r="S59" s="24" t="s">
        <v>79</v>
      </c>
      <c r="T59" s="24" t="s">
        <v>61</v>
      </c>
      <c r="U59" s="24" t="s">
        <v>132</v>
      </c>
      <c r="V59" s="24">
        <v>9701988524</v>
      </c>
      <c r="W59" s="24" t="s">
        <v>2100</v>
      </c>
      <c r="X59" s="34">
        <v>12</v>
      </c>
      <c r="Y59" s="24" t="s">
        <v>2112</v>
      </c>
      <c r="Z59" s="30">
        <v>46465</v>
      </c>
      <c r="AA59" s="24" t="s">
        <v>2176</v>
      </c>
      <c r="AB59" s="136" t="str">
        <f t="shared" si="0"/>
        <v>Blacklisted</v>
      </c>
    </row>
    <row r="60" spans="1:28">
      <c r="A60" s="24" t="s">
        <v>407</v>
      </c>
      <c r="B60" s="24" t="s">
        <v>83</v>
      </c>
      <c r="C60" s="24" t="s">
        <v>222</v>
      </c>
      <c r="D60" s="30">
        <v>45823</v>
      </c>
      <c r="E60" s="30" t="s">
        <v>261</v>
      </c>
      <c r="F60" s="24" t="s">
        <v>180</v>
      </c>
      <c r="G60" s="24" t="s">
        <v>76</v>
      </c>
      <c r="H60" s="30" t="s">
        <v>87</v>
      </c>
      <c r="I60" s="24" t="s">
        <v>30</v>
      </c>
      <c r="J60" s="24" t="s">
        <v>31</v>
      </c>
      <c r="K60" s="24" t="s">
        <v>2109</v>
      </c>
      <c r="L60" s="24" t="s">
        <v>122</v>
      </c>
      <c r="M60" s="24" t="s">
        <v>227</v>
      </c>
      <c r="N60" s="24">
        <v>8</v>
      </c>
      <c r="O60" s="36">
        <v>15</v>
      </c>
      <c r="P60" s="35">
        <v>0.05</v>
      </c>
      <c r="Q60" s="36">
        <v>114</v>
      </c>
      <c r="R60" s="34">
        <v>1</v>
      </c>
      <c r="S60" s="24" t="s">
        <v>79</v>
      </c>
      <c r="T60" s="24" t="s">
        <v>35</v>
      </c>
      <c r="U60" s="24" t="s">
        <v>89</v>
      </c>
      <c r="V60" s="24">
        <v>9836327649</v>
      </c>
      <c r="W60" s="24" t="s">
        <v>2103</v>
      </c>
      <c r="X60" s="34">
        <v>12</v>
      </c>
      <c r="Y60" s="24" t="s">
        <v>2108</v>
      </c>
      <c r="Z60" s="30">
        <v>46199</v>
      </c>
      <c r="AA60" s="24" t="s">
        <v>2174</v>
      </c>
      <c r="AB60" s="136" t="str">
        <f t="shared" si="0"/>
        <v>Blacklisted</v>
      </c>
    </row>
    <row r="61" spans="1:28">
      <c r="A61" s="24" t="s">
        <v>412</v>
      </c>
      <c r="B61" s="24" t="s">
        <v>221</v>
      </c>
      <c r="C61" s="24" t="s">
        <v>184</v>
      </c>
      <c r="D61" s="30">
        <v>45721</v>
      </c>
      <c r="E61" s="30" t="s">
        <v>414</v>
      </c>
      <c r="F61" s="24" t="s">
        <v>225</v>
      </c>
      <c r="G61" s="24" t="s">
        <v>76</v>
      </c>
      <c r="H61" s="30" t="s">
        <v>226</v>
      </c>
      <c r="I61" s="24" t="s">
        <v>105</v>
      </c>
      <c r="J61" s="24" t="s">
        <v>106</v>
      </c>
      <c r="K61" s="24" t="s">
        <v>2113</v>
      </c>
      <c r="L61" s="24" t="s">
        <v>46</v>
      </c>
      <c r="M61" s="24" t="s">
        <v>189</v>
      </c>
      <c r="N61" s="24">
        <v>8</v>
      </c>
      <c r="O61" s="36">
        <v>525</v>
      </c>
      <c r="P61" s="35">
        <v>0.1</v>
      </c>
      <c r="Q61" s="36">
        <v>3780</v>
      </c>
      <c r="R61" s="34">
        <v>1</v>
      </c>
      <c r="S61" s="24" t="s">
        <v>2148</v>
      </c>
      <c r="T61" s="24" t="s">
        <v>61</v>
      </c>
      <c r="U61" s="24" t="s">
        <v>228</v>
      </c>
      <c r="V61" s="24">
        <v>9261800516</v>
      </c>
      <c r="W61" s="24" t="s">
        <v>2100</v>
      </c>
      <c r="X61" s="34">
        <v>24</v>
      </c>
      <c r="Y61" s="24" t="s">
        <v>2112</v>
      </c>
      <c r="Z61" s="30">
        <v>46452</v>
      </c>
      <c r="AA61" s="24" t="s">
        <v>2171</v>
      </c>
      <c r="AB61" s="136" t="str">
        <f t="shared" si="0"/>
        <v>Blacklisted</v>
      </c>
    </row>
    <row r="62" spans="1:28">
      <c r="A62" s="24" t="s">
        <v>418</v>
      </c>
      <c r="B62" s="24" t="s">
        <v>23</v>
      </c>
      <c r="C62" s="24" t="s">
        <v>222</v>
      </c>
      <c r="D62" s="30">
        <v>46121</v>
      </c>
      <c r="E62" s="30" t="s">
        <v>356</v>
      </c>
      <c r="F62" s="24" t="s">
        <v>27</v>
      </c>
      <c r="G62" s="24" t="s">
        <v>28</v>
      </c>
      <c r="H62" s="30" t="s">
        <v>29</v>
      </c>
      <c r="I62" s="24" t="s">
        <v>30</v>
      </c>
      <c r="J62" s="24" t="s">
        <v>31</v>
      </c>
      <c r="K62" s="24" t="s">
        <v>2111</v>
      </c>
      <c r="L62" s="24" t="s">
        <v>122</v>
      </c>
      <c r="M62" s="24" t="s">
        <v>227</v>
      </c>
      <c r="N62" s="24">
        <v>7</v>
      </c>
      <c r="O62" s="36">
        <v>15</v>
      </c>
      <c r="P62" s="35">
        <v>0.15</v>
      </c>
      <c r="Q62" s="36">
        <v>89.25</v>
      </c>
      <c r="R62" s="34">
        <v>5</v>
      </c>
      <c r="S62" s="24" t="s">
        <v>79</v>
      </c>
      <c r="T62" s="24" t="s">
        <v>49</v>
      </c>
      <c r="U62" s="24" t="s">
        <v>50</v>
      </c>
      <c r="V62" s="24">
        <v>9950802015</v>
      </c>
      <c r="W62" s="24" t="s">
        <v>2103</v>
      </c>
      <c r="X62" s="34">
        <v>12</v>
      </c>
      <c r="Y62" s="24" t="s">
        <v>2108</v>
      </c>
      <c r="Z62" s="30">
        <v>46496</v>
      </c>
      <c r="AA62" s="24" t="s">
        <v>2171</v>
      </c>
      <c r="AB62" s="136" t="str">
        <f t="shared" si="0"/>
        <v>Silver</v>
      </c>
    </row>
    <row r="63" spans="1:28">
      <c r="A63" s="24" t="s">
        <v>421</v>
      </c>
      <c r="B63" s="24" t="s">
        <v>100</v>
      </c>
      <c r="C63" s="24" t="s">
        <v>222</v>
      </c>
      <c r="D63" s="30">
        <v>45885</v>
      </c>
      <c r="E63" s="30" t="s">
        <v>371</v>
      </c>
      <c r="F63" s="24" t="s">
        <v>103</v>
      </c>
      <c r="G63" s="24" t="s">
        <v>28</v>
      </c>
      <c r="H63" s="30" t="s">
        <v>104</v>
      </c>
      <c r="I63" s="24" t="s">
        <v>105</v>
      </c>
      <c r="J63" s="24" t="s">
        <v>106</v>
      </c>
      <c r="K63" s="24" t="s">
        <v>2111</v>
      </c>
      <c r="L63" s="24" t="s">
        <v>122</v>
      </c>
      <c r="M63" s="24" t="s">
        <v>227</v>
      </c>
      <c r="N63" s="24">
        <v>16</v>
      </c>
      <c r="O63" s="36">
        <v>15</v>
      </c>
      <c r="P63" s="35">
        <v>0</v>
      </c>
      <c r="Q63" s="36">
        <v>240</v>
      </c>
      <c r="R63" s="34">
        <v>5</v>
      </c>
      <c r="S63" s="24" t="s">
        <v>2148</v>
      </c>
      <c r="T63" s="24" t="s">
        <v>61</v>
      </c>
      <c r="U63" s="24" t="s">
        <v>144</v>
      </c>
      <c r="V63" s="24">
        <v>9595183767</v>
      </c>
      <c r="W63" s="24" t="s">
        <v>2103</v>
      </c>
      <c r="X63" s="34">
        <v>12</v>
      </c>
      <c r="Y63" s="24" t="s">
        <v>2110</v>
      </c>
      <c r="Z63" s="30">
        <v>46259</v>
      </c>
      <c r="AA63" s="24" t="s">
        <v>2175</v>
      </c>
      <c r="AB63" s="136" t="str">
        <f t="shared" si="0"/>
        <v>Silver</v>
      </c>
    </row>
    <row r="64" spans="1:28">
      <c r="A64" s="24" t="s">
        <v>425</v>
      </c>
      <c r="B64" s="24" t="s">
        <v>53</v>
      </c>
      <c r="C64" s="24" t="s">
        <v>259</v>
      </c>
      <c r="D64" s="30">
        <v>46155</v>
      </c>
      <c r="E64" s="30" t="s">
        <v>427</v>
      </c>
      <c r="F64" s="24" t="s">
        <v>163</v>
      </c>
      <c r="G64" s="24" t="s">
        <v>28</v>
      </c>
      <c r="H64" s="30" t="s">
        <v>58</v>
      </c>
      <c r="I64" s="24" t="s">
        <v>59</v>
      </c>
      <c r="J64" s="24" t="s">
        <v>31</v>
      </c>
      <c r="K64" s="24" t="s">
        <v>2111</v>
      </c>
      <c r="L64" s="24" t="s">
        <v>122</v>
      </c>
      <c r="M64" s="24" t="s">
        <v>263</v>
      </c>
      <c r="N64" s="24">
        <v>15</v>
      </c>
      <c r="O64" s="36">
        <v>33.75</v>
      </c>
      <c r="P64" s="35">
        <v>0</v>
      </c>
      <c r="Q64" s="36">
        <v>506.25</v>
      </c>
      <c r="R64" s="34">
        <v>4</v>
      </c>
      <c r="S64" s="24" t="s">
        <v>34</v>
      </c>
      <c r="T64" s="24" t="s">
        <v>61</v>
      </c>
      <c r="U64" s="24" t="s">
        <v>62</v>
      </c>
      <c r="V64" s="24">
        <v>9560201307</v>
      </c>
      <c r="W64" s="24" t="s">
        <v>2100</v>
      </c>
      <c r="X64" s="34">
        <v>12</v>
      </c>
      <c r="Y64" s="24" t="s">
        <v>2108</v>
      </c>
      <c r="Z64" s="30">
        <v>46527</v>
      </c>
      <c r="AA64" s="24" t="s">
        <v>2172</v>
      </c>
      <c r="AB64" s="136" t="str">
        <f t="shared" si="0"/>
        <v>Silver</v>
      </c>
    </row>
    <row r="65" spans="1:28">
      <c r="A65" s="24" t="s">
        <v>430</v>
      </c>
      <c r="B65" s="24" t="s">
        <v>251</v>
      </c>
      <c r="C65" s="24" t="s">
        <v>184</v>
      </c>
      <c r="D65" s="30">
        <v>45717</v>
      </c>
      <c r="E65" s="30" t="s">
        <v>413</v>
      </c>
      <c r="F65" s="24" t="s">
        <v>254</v>
      </c>
      <c r="G65" s="24" t="s">
        <v>28</v>
      </c>
      <c r="H65" s="30" t="s">
        <v>255</v>
      </c>
      <c r="I65" s="24" t="s">
        <v>114</v>
      </c>
      <c r="J65" s="24" t="s">
        <v>106</v>
      </c>
      <c r="K65" s="24" t="s">
        <v>2111</v>
      </c>
      <c r="L65" s="24" t="s">
        <v>46</v>
      </c>
      <c r="M65" s="24" t="s">
        <v>189</v>
      </c>
      <c r="N65" s="24">
        <v>15</v>
      </c>
      <c r="O65" s="36">
        <v>525</v>
      </c>
      <c r="P65" s="35">
        <v>0.1</v>
      </c>
      <c r="Q65" s="36">
        <v>7087.5</v>
      </c>
      <c r="R65" s="34">
        <v>3</v>
      </c>
      <c r="S65" s="24" t="s">
        <v>2148</v>
      </c>
      <c r="T65" s="24" t="s">
        <v>151</v>
      </c>
      <c r="U65" s="24" t="s">
        <v>256</v>
      </c>
      <c r="V65" s="24">
        <v>9826484650</v>
      </c>
      <c r="W65" s="24" t="s">
        <v>2100</v>
      </c>
      <c r="X65" s="34">
        <v>24</v>
      </c>
      <c r="Y65" s="24" t="s">
        <v>2112</v>
      </c>
      <c r="Z65" s="30">
        <v>46451</v>
      </c>
      <c r="AA65" s="24" t="s">
        <v>2173</v>
      </c>
      <c r="AB65" s="136" t="str">
        <f t="shared" si="0"/>
        <v>Silver</v>
      </c>
    </row>
    <row r="66" spans="1:28">
      <c r="A66" s="24" t="s">
        <v>434</v>
      </c>
      <c r="B66" s="24" t="s">
        <v>53</v>
      </c>
      <c r="C66" s="24" t="s">
        <v>259</v>
      </c>
      <c r="D66" s="30">
        <v>45697</v>
      </c>
      <c r="E66" s="30" t="s">
        <v>436</v>
      </c>
      <c r="F66" s="24" t="s">
        <v>163</v>
      </c>
      <c r="G66" s="24" t="s">
        <v>28</v>
      </c>
      <c r="H66" s="30" t="s">
        <v>58</v>
      </c>
      <c r="I66" s="24" t="s">
        <v>59</v>
      </c>
      <c r="J66" s="24" t="s">
        <v>31</v>
      </c>
      <c r="K66" s="24" t="s">
        <v>2111</v>
      </c>
      <c r="L66" s="24" t="s">
        <v>122</v>
      </c>
      <c r="M66" s="24" t="s">
        <v>263</v>
      </c>
      <c r="N66" s="24">
        <v>3</v>
      </c>
      <c r="O66" s="36">
        <v>33.75</v>
      </c>
      <c r="P66" s="35">
        <v>0.15</v>
      </c>
      <c r="Q66" s="36">
        <v>86.0625</v>
      </c>
      <c r="R66" s="34">
        <v>2</v>
      </c>
      <c r="S66" s="24" t="s">
        <v>2149</v>
      </c>
      <c r="T66" s="24" t="s">
        <v>115</v>
      </c>
      <c r="U66" s="24" t="s">
        <v>62</v>
      </c>
      <c r="V66" s="24">
        <v>9219978007</v>
      </c>
      <c r="W66" s="24" t="s">
        <v>2100</v>
      </c>
      <c r="X66" s="34">
        <v>12</v>
      </c>
      <c r="Y66" s="24" t="s">
        <v>2108</v>
      </c>
      <c r="Z66" s="30">
        <v>46065</v>
      </c>
      <c r="AA66" s="24" t="s">
        <v>2172</v>
      </c>
      <c r="AB66" s="136" t="str">
        <f t="shared" si="0"/>
        <v>Blacklisted</v>
      </c>
    </row>
    <row r="67" spans="1:28">
      <c r="A67" s="24" t="s">
        <v>439</v>
      </c>
      <c r="B67" s="24" t="s">
        <v>100</v>
      </c>
      <c r="C67" s="24" t="s">
        <v>24</v>
      </c>
      <c r="D67" s="30">
        <v>46031</v>
      </c>
      <c r="E67" s="30" t="s">
        <v>441</v>
      </c>
      <c r="F67" s="24" t="s">
        <v>103</v>
      </c>
      <c r="G67" s="24" t="s">
        <v>28</v>
      </c>
      <c r="H67" s="30" t="s">
        <v>104</v>
      </c>
      <c r="I67" s="24" t="s">
        <v>105</v>
      </c>
      <c r="J67" s="24" t="s">
        <v>106</v>
      </c>
      <c r="K67" s="24" t="s">
        <v>2111</v>
      </c>
      <c r="L67" s="24" t="s">
        <v>32</v>
      </c>
      <c r="M67" s="24" t="s">
        <v>33</v>
      </c>
      <c r="N67" s="24">
        <v>7</v>
      </c>
      <c r="O67" s="36">
        <v>1650</v>
      </c>
      <c r="P67" s="35">
        <v>0.15</v>
      </c>
      <c r="Q67" s="36">
        <v>9817.5</v>
      </c>
      <c r="R67" s="34">
        <v>5</v>
      </c>
      <c r="S67" s="24" t="s">
        <v>2149</v>
      </c>
      <c r="T67" s="24" t="s">
        <v>115</v>
      </c>
      <c r="U67" s="24" t="s">
        <v>144</v>
      </c>
      <c r="V67" s="24">
        <v>9662063276</v>
      </c>
      <c r="W67" s="24" t="s">
        <v>2101</v>
      </c>
      <c r="X67" s="34">
        <v>24</v>
      </c>
      <c r="Y67" s="24" t="s">
        <v>2110</v>
      </c>
      <c r="Z67" s="30">
        <v>46762</v>
      </c>
      <c r="AA67" s="24" t="s">
        <v>2175</v>
      </c>
      <c r="AB67" s="136" t="str">
        <f t="shared" ref="AB67:AB130" si="1">IF(R67&lt;=2, "Blacklisted", IF(AND(Q67&gt;=100000, R67&gt;=4, P67&lt;=10%), "Platinum", IF(AND(Q67&gt;=50000, R67&gt;=3), "Gold", IF(Q67&lt;50000, "Silver", "Blacklisted"))))</f>
        <v>Silver</v>
      </c>
    </row>
    <row r="68" spans="1:28">
      <c r="A68" s="24" t="s">
        <v>444</v>
      </c>
      <c r="B68" s="24" t="s">
        <v>23</v>
      </c>
      <c r="C68" s="24" t="s">
        <v>259</v>
      </c>
      <c r="D68" s="30">
        <v>45901</v>
      </c>
      <c r="E68" s="30" t="s">
        <v>446</v>
      </c>
      <c r="F68" s="24" t="s">
        <v>27</v>
      </c>
      <c r="G68" s="24" t="s">
        <v>28</v>
      </c>
      <c r="H68" s="30" t="s">
        <v>29</v>
      </c>
      <c r="I68" s="24" t="s">
        <v>30</v>
      </c>
      <c r="J68" s="24" t="s">
        <v>31</v>
      </c>
      <c r="K68" s="24" t="s">
        <v>2111</v>
      </c>
      <c r="L68" s="24" t="s">
        <v>122</v>
      </c>
      <c r="M68" s="24" t="s">
        <v>263</v>
      </c>
      <c r="N68" s="24">
        <v>19</v>
      </c>
      <c r="O68" s="36">
        <v>33.75</v>
      </c>
      <c r="P68" s="35">
        <v>0.1</v>
      </c>
      <c r="Q68" s="36">
        <v>577.125</v>
      </c>
      <c r="R68" s="34">
        <v>5</v>
      </c>
      <c r="S68" s="24" t="s">
        <v>79</v>
      </c>
      <c r="T68" s="24" t="s">
        <v>115</v>
      </c>
      <c r="U68" s="24" t="s">
        <v>50</v>
      </c>
      <c r="V68" s="24">
        <v>9190393639</v>
      </c>
      <c r="W68" s="24" t="s">
        <v>2100</v>
      </c>
      <c r="X68" s="34">
        <v>12</v>
      </c>
      <c r="Y68" s="24" t="s">
        <v>2108</v>
      </c>
      <c r="Z68" s="30">
        <v>46270</v>
      </c>
      <c r="AA68" s="24" t="s">
        <v>2171</v>
      </c>
      <c r="AB68" s="136" t="str">
        <f t="shared" si="1"/>
        <v>Silver</v>
      </c>
    </row>
    <row r="69" spans="1:28">
      <c r="A69" s="24" t="s">
        <v>449</v>
      </c>
      <c r="B69" s="24" t="s">
        <v>251</v>
      </c>
      <c r="C69" s="24" t="s">
        <v>92</v>
      </c>
      <c r="D69" s="30">
        <v>46062</v>
      </c>
      <c r="E69" s="30" t="s">
        <v>323</v>
      </c>
      <c r="F69" s="24" t="s">
        <v>254</v>
      </c>
      <c r="G69" s="24" t="s">
        <v>28</v>
      </c>
      <c r="H69" s="30" t="s">
        <v>255</v>
      </c>
      <c r="I69" s="24" t="s">
        <v>114</v>
      </c>
      <c r="J69" s="24" t="s">
        <v>106</v>
      </c>
      <c r="K69" s="24" t="s">
        <v>2111</v>
      </c>
      <c r="L69" s="24" t="s">
        <v>32</v>
      </c>
      <c r="M69" s="24" t="s">
        <v>97</v>
      </c>
      <c r="N69" s="24">
        <v>7</v>
      </c>
      <c r="O69" s="36">
        <v>2625</v>
      </c>
      <c r="P69" s="35">
        <v>0.15</v>
      </c>
      <c r="Q69" s="36">
        <v>15618.75</v>
      </c>
      <c r="R69" s="34">
        <v>1</v>
      </c>
      <c r="S69" s="24" t="s">
        <v>34</v>
      </c>
      <c r="T69" s="24" t="s">
        <v>151</v>
      </c>
      <c r="U69" s="24" t="s">
        <v>256</v>
      </c>
      <c r="V69" s="24">
        <v>9106328582</v>
      </c>
      <c r="W69" s="24" t="s">
        <v>2101</v>
      </c>
      <c r="X69" s="34">
        <v>6</v>
      </c>
      <c r="Y69" s="24" t="s">
        <v>2112</v>
      </c>
      <c r="Z69" s="30">
        <v>46248</v>
      </c>
      <c r="AA69" s="24" t="s">
        <v>2173</v>
      </c>
      <c r="AB69" s="136" t="str">
        <f t="shared" si="1"/>
        <v>Blacklisted</v>
      </c>
    </row>
    <row r="70" spans="1:28">
      <c r="A70" s="24" t="s">
        <v>453</v>
      </c>
      <c r="B70" s="24" t="s">
        <v>53</v>
      </c>
      <c r="C70" s="24" t="s">
        <v>169</v>
      </c>
      <c r="D70" s="30">
        <v>46005</v>
      </c>
      <c r="E70" s="30" t="s">
        <v>455</v>
      </c>
      <c r="F70" s="24" t="s">
        <v>163</v>
      </c>
      <c r="G70" s="24" t="s">
        <v>28</v>
      </c>
      <c r="H70" s="30" t="s">
        <v>58</v>
      </c>
      <c r="I70" s="24" t="s">
        <v>59</v>
      </c>
      <c r="J70" s="24" t="s">
        <v>31</v>
      </c>
      <c r="K70" s="24" t="s">
        <v>2111</v>
      </c>
      <c r="L70" s="24" t="s">
        <v>32</v>
      </c>
      <c r="M70" s="24" t="s">
        <v>174</v>
      </c>
      <c r="N70" s="24">
        <v>7</v>
      </c>
      <c r="O70" s="36">
        <v>6375</v>
      </c>
      <c r="P70" s="35">
        <v>0.2</v>
      </c>
      <c r="Q70" s="36">
        <v>35700</v>
      </c>
      <c r="R70" s="34">
        <v>4</v>
      </c>
      <c r="S70" s="24" t="s">
        <v>2148</v>
      </c>
      <c r="T70" s="24" t="s">
        <v>115</v>
      </c>
      <c r="U70" s="24" t="s">
        <v>62</v>
      </c>
      <c r="V70" s="24">
        <v>9264401015</v>
      </c>
      <c r="W70" s="24" t="s">
        <v>2100</v>
      </c>
      <c r="X70" s="34">
        <v>24</v>
      </c>
      <c r="Y70" s="24" t="s">
        <v>2108</v>
      </c>
      <c r="Z70" s="30">
        <v>46740</v>
      </c>
      <c r="AA70" s="24" t="s">
        <v>2172</v>
      </c>
      <c r="AB70" s="136" t="str">
        <f t="shared" si="1"/>
        <v>Silver</v>
      </c>
    </row>
    <row r="71" spans="1:28">
      <c r="A71" s="24" t="s">
        <v>458</v>
      </c>
      <c r="B71" s="24" t="s">
        <v>23</v>
      </c>
      <c r="C71" s="24" t="s">
        <v>54</v>
      </c>
      <c r="D71" s="30">
        <v>45754</v>
      </c>
      <c r="E71" s="30" t="s">
        <v>459</v>
      </c>
      <c r="F71" s="24" t="s">
        <v>27</v>
      </c>
      <c r="G71" s="24" t="s">
        <v>28</v>
      </c>
      <c r="H71" s="30" t="s">
        <v>29</v>
      </c>
      <c r="I71" s="24" t="s">
        <v>30</v>
      </c>
      <c r="J71" s="24" t="s">
        <v>31</v>
      </c>
      <c r="K71" s="24" t="s">
        <v>2111</v>
      </c>
      <c r="L71" s="24" t="s">
        <v>46</v>
      </c>
      <c r="M71" s="24" t="s">
        <v>60</v>
      </c>
      <c r="N71" s="24">
        <v>16</v>
      </c>
      <c r="O71" s="36">
        <v>41250</v>
      </c>
      <c r="P71" s="35">
        <v>0.1</v>
      </c>
      <c r="Q71" s="36">
        <v>594000</v>
      </c>
      <c r="R71" s="34">
        <v>1</v>
      </c>
      <c r="S71" s="24" t="s">
        <v>79</v>
      </c>
      <c r="T71" s="24" t="s">
        <v>61</v>
      </c>
      <c r="U71" s="24" t="s">
        <v>50</v>
      </c>
      <c r="V71" s="24">
        <v>9959237375</v>
      </c>
      <c r="W71" s="24" t="s">
        <v>2100</v>
      </c>
      <c r="X71" s="34">
        <v>12</v>
      </c>
      <c r="Y71" s="24" t="s">
        <v>2108</v>
      </c>
      <c r="Z71" s="30">
        <v>46122</v>
      </c>
      <c r="AA71" s="24" t="s">
        <v>2171</v>
      </c>
      <c r="AB71" s="136" t="str">
        <f t="shared" si="1"/>
        <v>Blacklisted</v>
      </c>
    </row>
    <row r="72" spans="1:28">
      <c r="A72" s="24" t="s">
        <v>462</v>
      </c>
      <c r="B72" s="24" t="s">
        <v>168</v>
      </c>
      <c r="C72" s="24" t="s">
        <v>40</v>
      </c>
      <c r="D72" s="30">
        <v>46015</v>
      </c>
      <c r="E72" s="30" t="s">
        <v>464</v>
      </c>
      <c r="F72" s="24" t="s">
        <v>361</v>
      </c>
      <c r="G72" s="24" t="s">
        <v>28</v>
      </c>
      <c r="H72" s="30" t="s">
        <v>173</v>
      </c>
      <c r="I72" s="24" t="s">
        <v>114</v>
      </c>
      <c r="J72" s="24" t="s">
        <v>106</v>
      </c>
      <c r="K72" s="24" t="s">
        <v>2111</v>
      </c>
      <c r="L72" s="24" t="s">
        <v>46</v>
      </c>
      <c r="M72" s="24" t="s">
        <v>47</v>
      </c>
      <c r="N72" s="24">
        <v>2</v>
      </c>
      <c r="O72" s="36">
        <v>9000</v>
      </c>
      <c r="P72" s="35">
        <v>0.2</v>
      </c>
      <c r="Q72" s="36">
        <v>14400</v>
      </c>
      <c r="R72" s="34">
        <v>1</v>
      </c>
      <c r="S72" s="24" t="s">
        <v>34</v>
      </c>
      <c r="T72" s="24" t="s">
        <v>151</v>
      </c>
      <c r="U72" s="24" t="s">
        <v>175</v>
      </c>
      <c r="V72" s="24">
        <v>9561836580</v>
      </c>
      <c r="W72" s="24" t="s">
        <v>2101</v>
      </c>
      <c r="X72" s="34">
        <v>24</v>
      </c>
      <c r="Y72" s="24" t="s">
        <v>2112</v>
      </c>
      <c r="Z72" s="30">
        <v>46755</v>
      </c>
      <c r="AA72" s="24" t="s">
        <v>2177</v>
      </c>
      <c r="AB72" s="136" t="str">
        <f t="shared" si="1"/>
        <v>Blacklisted</v>
      </c>
    </row>
    <row r="73" spans="1:28">
      <c r="A73" s="24" t="s">
        <v>468</v>
      </c>
      <c r="B73" s="24" t="s">
        <v>127</v>
      </c>
      <c r="C73" s="24" t="s">
        <v>259</v>
      </c>
      <c r="D73" s="30">
        <v>45899</v>
      </c>
      <c r="E73" s="30" t="s">
        <v>446</v>
      </c>
      <c r="F73" s="24" t="s">
        <v>200</v>
      </c>
      <c r="G73" s="24" t="s">
        <v>76</v>
      </c>
      <c r="H73" s="30" t="s">
        <v>131</v>
      </c>
      <c r="I73" s="24" t="s">
        <v>44</v>
      </c>
      <c r="J73" s="24" t="s">
        <v>45</v>
      </c>
      <c r="K73" s="24" t="s">
        <v>2113</v>
      </c>
      <c r="L73" s="24" t="s">
        <v>122</v>
      </c>
      <c r="M73" s="24" t="s">
        <v>263</v>
      </c>
      <c r="N73" s="24">
        <v>4</v>
      </c>
      <c r="O73" s="36">
        <v>33.75</v>
      </c>
      <c r="P73" s="35">
        <v>0.05</v>
      </c>
      <c r="Q73" s="36">
        <v>128.25</v>
      </c>
      <c r="R73" s="34">
        <v>1</v>
      </c>
      <c r="S73" s="24" t="s">
        <v>79</v>
      </c>
      <c r="T73" s="24" t="s">
        <v>49</v>
      </c>
      <c r="U73" s="24" t="s">
        <v>132</v>
      </c>
      <c r="V73" s="24">
        <v>9512666401</v>
      </c>
      <c r="W73" s="24" t="s">
        <v>2100</v>
      </c>
      <c r="X73" s="34">
        <v>12</v>
      </c>
      <c r="Y73" s="24" t="s">
        <v>2112</v>
      </c>
      <c r="Z73" s="30">
        <v>46270</v>
      </c>
      <c r="AA73" s="24" t="s">
        <v>2176</v>
      </c>
      <c r="AB73" s="136" t="str">
        <f t="shared" si="1"/>
        <v>Blacklisted</v>
      </c>
    </row>
    <row r="74" spans="1:28">
      <c r="A74" s="24" t="s">
        <v>472</v>
      </c>
      <c r="B74" s="24" t="s">
        <v>23</v>
      </c>
      <c r="C74" s="24" t="s">
        <v>72</v>
      </c>
      <c r="D74" s="30">
        <v>46004</v>
      </c>
      <c r="E74" s="30" t="s">
        <v>474</v>
      </c>
      <c r="F74" s="24" t="s">
        <v>27</v>
      </c>
      <c r="G74" s="24" t="s">
        <v>28</v>
      </c>
      <c r="H74" s="30" t="s">
        <v>29</v>
      </c>
      <c r="I74" s="24" t="s">
        <v>30</v>
      </c>
      <c r="J74" s="24" t="s">
        <v>31</v>
      </c>
      <c r="K74" s="24" t="s">
        <v>2111</v>
      </c>
      <c r="L74" s="24" t="s">
        <v>46</v>
      </c>
      <c r="M74" s="24" t="s">
        <v>78</v>
      </c>
      <c r="N74" s="24">
        <v>1</v>
      </c>
      <c r="O74" s="36">
        <v>900</v>
      </c>
      <c r="P74" s="35">
        <v>0.05</v>
      </c>
      <c r="Q74" s="36">
        <v>855</v>
      </c>
      <c r="R74" s="34">
        <v>3</v>
      </c>
      <c r="S74" s="24" t="s">
        <v>2149</v>
      </c>
      <c r="T74" s="24" t="s">
        <v>61</v>
      </c>
      <c r="U74" s="24" t="s">
        <v>50</v>
      </c>
      <c r="V74" s="24">
        <v>9808988530</v>
      </c>
      <c r="W74" s="24" t="s">
        <v>2100</v>
      </c>
      <c r="X74" s="34">
        <v>6</v>
      </c>
      <c r="Y74" s="24" t="s">
        <v>2108</v>
      </c>
      <c r="Z74" s="30">
        <v>46196</v>
      </c>
      <c r="AA74" s="24" t="s">
        <v>2171</v>
      </c>
      <c r="AB74" s="136" t="str">
        <f t="shared" si="1"/>
        <v>Silver</v>
      </c>
    </row>
    <row r="75" spans="1:28">
      <c r="A75" s="24" t="s">
        <v>477</v>
      </c>
      <c r="B75" s="24" t="s">
        <v>53</v>
      </c>
      <c r="C75" s="24" t="s">
        <v>24</v>
      </c>
      <c r="D75" s="30">
        <v>46057</v>
      </c>
      <c r="E75" s="30" t="s">
        <v>479</v>
      </c>
      <c r="F75" s="24" t="s">
        <v>163</v>
      </c>
      <c r="G75" s="24" t="s">
        <v>28</v>
      </c>
      <c r="H75" s="30" t="s">
        <v>58</v>
      </c>
      <c r="I75" s="24" t="s">
        <v>59</v>
      </c>
      <c r="J75" s="24" t="s">
        <v>31</v>
      </c>
      <c r="K75" s="24" t="s">
        <v>2111</v>
      </c>
      <c r="L75" s="24" t="s">
        <v>32</v>
      </c>
      <c r="M75" s="24" t="s">
        <v>33</v>
      </c>
      <c r="N75" s="24">
        <v>1</v>
      </c>
      <c r="O75" s="36">
        <v>1650</v>
      </c>
      <c r="P75" s="35">
        <v>0.15</v>
      </c>
      <c r="Q75" s="36">
        <v>1402.5</v>
      </c>
      <c r="R75" s="34">
        <v>4</v>
      </c>
      <c r="S75" s="24" t="s">
        <v>79</v>
      </c>
      <c r="T75" s="24" t="s">
        <v>61</v>
      </c>
      <c r="U75" s="24" t="s">
        <v>62</v>
      </c>
      <c r="V75" s="24">
        <v>9286410494</v>
      </c>
      <c r="W75" s="24" t="s">
        <v>2101</v>
      </c>
      <c r="X75" s="34">
        <v>24</v>
      </c>
      <c r="Y75" s="24" t="s">
        <v>2108</v>
      </c>
      <c r="Z75" s="30">
        <v>46799</v>
      </c>
      <c r="AA75" s="24" t="s">
        <v>2172</v>
      </c>
      <c r="AB75" s="136" t="str">
        <f t="shared" si="1"/>
        <v>Silver</v>
      </c>
    </row>
    <row r="76" spans="1:28">
      <c r="A76" s="24" t="s">
        <v>482</v>
      </c>
      <c r="B76" s="24" t="s">
        <v>127</v>
      </c>
      <c r="C76" s="24" t="s">
        <v>72</v>
      </c>
      <c r="D76" s="30">
        <v>46048</v>
      </c>
      <c r="E76" s="30" t="s">
        <v>484</v>
      </c>
      <c r="F76" s="24" t="s">
        <v>200</v>
      </c>
      <c r="G76" s="24" t="s">
        <v>76</v>
      </c>
      <c r="H76" s="30" t="s">
        <v>131</v>
      </c>
      <c r="I76" s="24" t="s">
        <v>44</v>
      </c>
      <c r="J76" s="24" t="s">
        <v>45</v>
      </c>
      <c r="K76" s="24" t="s">
        <v>2113</v>
      </c>
      <c r="L76" s="24" t="s">
        <v>46</v>
      </c>
      <c r="M76" s="24" t="s">
        <v>78</v>
      </c>
      <c r="N76" s="24">
        <v>3</v>
      </c>
      <c r="O76" s="36">
        <v>900</v>
      </c>
      <c r="P76" s="35">
        <v>0.1</v>
      </c>
      <c r="Q76" s="36">
        <v>2430</v>
      </c>
      <c r="R76" s="34">
        <v>5</v>
      </c>
      <c r="S76" s="24" t="s">
        <v>34</v>
      </c>
      <c r="T76" s="24" t="s">
        <v>49</v>
      </c>
      <c r="U76" s="24" t="s">
        <v>132</v>
      </c>
      <c r="V76" s="24">
        <v>9311555196</v>
      </c>
      <c r="W76" s="24" t="s">
        <v>2100</v>
      </c>
      <c r="X76" s="34">
        <v>6</v>
      </c>
      <c r="Y76" s="24" t="s">
        <v>2112</v>
      </c>
      <c r="Z76" s="30">
        <v>46231</v>
      </c>
      <c r="AA76" s="24" t="s">
        <v>2176</v>
      </c>
      <c r="AB76" s="136" t="str">
        <f t="shared" si="1"/>
        <v>Silver</v>
      </c>
    </row>
    <row r="77" spans="1:28">
      <c r="A77" s="24" t="s">
        <v>487</v>
      </c>
      <c r="B77" s="24" t="s">
        <v>23</v>
      </c>
      <c r="C77" s="24" t="s">
        <v>92</v>
      </c>
      <c r="D77" s="30">
        <v>45835</v>
      </c>
      <c r="E77" s="30" t="s">
        <v>489</v>
      </c>
      <c r="F77" s="24" t="s">
        <v>27</v>
      </c>
      <c r="G77" s="24" t="s">
        <v>28</v>
      </c>
      <c r="H77" s="30" t="s">
        <v>29</v>
      </c>
      <c r="I77" s="24" t="s">
        <v>30</v>
      </c>
      <c r="J77" s="24" t="s">
        <v>31</v>
      </c>
      <c r="K77" s="24" t="s">
        <v>2111</v>
      </c>
      <c r="L77" s="24" t="s">
        <v>32</v>
      </c>
      <c r="M77" s="24" t="s">
        <v>97</v>
      </c>
      <c r="N77" s="24">
        <v>10</v>
      </c>
      <c r="O77" s="36">
        <v>2625</v>
      </c>
      <c r="P77" s="35">
        <v>0.2</v>
      </c>
      <c r="Q77" s="36">
        <v>21000</v>
      </c>
      <c r="R77" s="34">
        <v>5</v>
      </c>
      <c r="S77" s="24" t="s">
        <v>79</v>
      </c>
      <c r="T77" s="24" t="s">
        <v>35</v>
      </c>
      <c r="U77" s="24" t="s">
        <v>50</v>
      </c>
      <c r="V77" s="24">
        <v>9101810266</v>
      </c>
      <c r="W77" s="24" t="s">
        <v>2101</v>
      </c>
      <c r="X77" s="34">
        <v>6</v>
      </c>
      <c r="Y77" s="24" t="s">
        <v>2108</v>
      </c>
      <c r="Z77" s="30">
        <v>46029</v>
      </c>
      <c r="AA77" s="24" t="s">
        <v>2171</v>
      </c>
      <c r="AB77" s="136" t="str">
        <f t="shared" si="1"/>
        <v>Silver</v>
      </c>
    </row>
    <row r="78" spans="1:28">
      <c r="A78" s="24" t="s">
        <v>492</v>
      </c>
      <c r="B78" s="24" t="s">
        <v>83</v>
      </c>
      <c r="C78" s="24" t="s">
        <v>184</v>
      </c>
      <c r="D78" s="30">
        <v>46098</v>
      </c>
      <c r="E78" s="30" t="s">
        <v>404</v>
      </c>
      <c r="F78" s="24" t="s">
        <v>180</v>
      </c>
      <c r="G78" s="24" t="s">
        <v>76</v>
      </c>
      <c r="H78" s="30" t="s">
        <v>87</v>
      </c>
      <c r="I78" s="24" t="s">
        <v>30</v>
      </c>
      <c r="J78" s="24" t="s">
        <v>31</v>
      </c>
      <c r="K78" s="24" t="s">
        <v>2109</v>
      </c>
      <c r="L78" s="24" t="s">
        <v>46</v>
      </c>
      <c r="M78" s="24" t="s">
        <v>189</v>
      </c>
      <c r="N78" s="24">
        <v>18</v>
      </c>
      <c r="O78" s="36">
        <v>525</v>
      </c>
      <c r="P78" s="35">
        <v>0.05</v>
      </c>
      <c r="Q78" s="36">
        <v>8977.5</v>
      </c>
      <c r="R78" s="34">
        <v>3</v>
      </c>
      <c r="S78" s="24" t="s">
        <v>79</v>
      </c>
      <c r="T78" s="24" t="s">
        <v>115</v>
      </c>
      <c r="U78" s="24" t="s">
        <v>89</v>
      </c>
      <c r="V78" s="24">
        <v>9464556593</v>
      </c>
      <c r="W78" s="24" t="s">
        <v>2100</v>
      </c>
      <c r="X78" s="34">
        <v>24</v>
      </c>
      <c r="Y78" s="24" t="s">
        <v>2108</v>
      </c>
      <c r="Z78" s="30">
        <v>46831</v>
      </c>
      <c r="AA78" s="24" t="s">
        <v>2174</v>
      </c>
      <c r="AB78" s="136" t="str">
        <f t="shared" si="1"/>
        <v>Silver</v>
      </c>
    </row>
    <row r="79" spans="1:28">
      <c r="A79" s="24" t="s">
        <v>496</v>
      </c>
      <c r="B79" s="24" t="s">
        <v>221</v>
      </c>
      <c r="C79" s="24" t="s">
        <v>184</v>
      </c>
      <c r="D79" s="30">
        <v>45817</v>
      </c>
      <c r="E79" s="30" t="s">
        <v>498</v>
      </c>
      <c r="F79" s="24" t="s">
        <v>225</v>
      </c>
      <c r="G79" s="24" t="s">
        <v>76</v>
      </c>
      <c r="H79" s="30" t="s">
        <v>226</v>
      </c>
      <c r="I79" s="24" t="s">
        <v>105</v>
      </c>
      <c r="J79" s="24" t="s">
        <v>106</v>
      </c>
      <c r="K79" s="24" t="s">
        <v>2113</v>
      </c>
      <c r="L79" s="24" t="s">
        <v>46</v>
      </c>
      <c r="M79" s="24" t="s">
        <v>189</v>
      </c>
      <c r="N79" s="24">
        <v>12</v>
      </c>
      <c r="O79" s="36">
        <v>525</v>
      </c>
      <c r="P79" s="35">
        <v>0.15</v>
      </c>
      <c r="Q79" s="36">
        <v>5355</v>
      </c>
      <c r="R79" s="34">
        <v>2</v>
      </c>
      <c r="S79" s="24" t="s">
        <v>2149</v>
      </c>
      <c r="T79" s="24" t="s">
        <v>49</v>
      </c>
      <c r="U79" s="24" t="s">
        <v>228</v>
      </c>
      <c r="V79" s="24">
        <v>9338278358</v>
      </c>
      <c r="W79" s="24" t="s">
        <v>2100</v>
      </c>
      <c r="X79" s="34">
        <v>24</v>
      </c>
      <c r="Y79" s="24" t="s">
        <v>2112</v>
      </c>
      <c r="Z79" s="30">
        <v>46556</v>
      </c>
      <c r="AA79" s="24" t="s">
        <v>2171</v>
      </c>
      <c r="AB79" s="136" t="str">
        <f t="shared" si="1"/>
        <v>Blacklisted</v>
      </c>
    </row>
    <row r="80" spans="1:28">
      <c r="A80" s="24" t="s">
        <v>501</v>
      </c>
      <c r="B80" s="24" t="s">
        <v>71</v>
      </c>
      <c r="C80" s="24" t="s">
        <v>72</v>
      </c>
      <c r="D80" s="30">
        <v>45976</v>
      </c>
      <c r="E80" s="30" t="s">
        <v>503</v>
      </c>
      <c r="F80" s="24" t="s">
        <v>217</v>
      </c>
      <c r="G80" s="24" t="s">
        <v>76</v>
      </c>
      <c r="H80" s="30" t="s">
        <v>77</v>
      </c>
      <c r="I80" s="24" t="s">
        <v>44</v>
      </c>
      <c r="J80" s="24" t="s">
        <v>45</v>
      </c>
      <c r="K80" s="24" t="s">
        <v>2114</v>
      </c>
      <c r="L80" s="24" t="s">
        <v>46</v>
      </c>
      <c r="M80" s="24" t="s">
        <v>78</v>
      </c>
      <c r="N80" s="24">
        <v>8</v>
      </c>
      <c r="O80" s="36">
        <v>900</v>
      </c>
      <c r="P80" s="35">
        <v>0</v>
      </c>
      <c r="Q80" s="36">
        <v>7200</v>
      </c>
      <c r="R80" s="34">
        <v>4</v>
      </c>
      <c r="S80" s="24" t="s">
        <v>79</v>
      </c>
      <c r="T80" s="24" t="s">
        <v>49</v>
      </c>
      <c r="U80" s="24" t="s">
        <v>80</v>
      </c>
      <c r="V80" s="24">
        <v>9621410770</v>
      </c>
      <c r="W80" s="24" t="s">
        <v>2100</v>
      </c>
      <c r="X80" s="34">
        <v>6</v>
      </c>
      <c r="Y80" s="24" t="s">
        <v>2110</v>
      </c>
      <c r="Z80" s="30">
        <v>46158</v>
      </c>
      <c r="AA80" s="24" t="s">
        <v>2173</v>
      </c>
      <c r="AB80" s="136" t="str">
        <f t="shared" si="1"/>
        <v>Silver</v>
      </c>
    </row>
    <row r="81" spans="1:28">
      <c r="A81" s="24" t="s">
        <v>506</v>
      </c>
      <c r="B81" s="24" t="s">
        <v>127</v>
      </c>
      <c r="C81" s="24" t="s">
        <v>118</v>
      </c>
      <c r="D81" s="30">
        <v>45967</v>
      </c>
      <c r="E81" s="30" t="s">
        <v>508</v>
      </c>
      <c r="F81" s="24" t="s">
        <v>200</v>
      </c>
      <c r="G81" s="24" t="s">
        <v>76</v>
      </c>
      <c r="H81" s="30" t="s">
        <v>131</v>
      </c>
      <c r="I81" s="24" t="s">
        <v>44</v>
      </c>
      <c r="J81" s="24" t="s">
        <v>45</v>
      </c>
      <c r="K81" s="24" t="s">
        <v>2113</v>
      </c>
      <c r="L81" s="24" t="s">
        <v>122</v>
      </c>
      <c r="M81" s="24" t="s">
        <v>123</v>
      </c>
      <c r="N81" s="24">
        <v>2</v>
      </c>
      <c r="O81" s="36">
        <v>45</v>
      </c>
      <c r="P81" s="35">
        <v>0</v>
      </c>
      <c r="Q81" s="36">
        <v>90</v>
      </c>
      <c r="R81" s="34">
        <v>2</v>
      </c>
      <c r="S81" s="24" t="s">
        <v>2149</v>
      </c>
      <c r="T81" s="24" t="s">
        <v>49</v>
      </c>
      <c r="U81" s="24" t="s">
        <v>132</v>
      </c>
      <c r="V81" s="24">
        <v>9981333189</v>
      </c>
      <c r="W81" s="24" t="s">
        <v>2102</v>
      </c>
      <c r="X81" s="34">
        <v>12</v>
      </c>
      <c r="Y81" s="24" t="s">
        <v>2112</v>
      </c>
      <c r="Z81" s="30">
        <v>46336</v>
      </c>
      <c r="AA81" s="24" t="s">
        <v>2176</v>
      </c>
      <c r="AB81" s="136" t="str">
        <f t="shared" si="1"/>
        <v>Blacklisted</v>
      </c>
    </row>
    <row r="82" spans="1:28">
      <c r="A82" s="24" t="s">
        <v>511</v>
      </c>
      <c r="B82" s="24" t="s">
        <v>327</v>
      </c>
      <c r="C82" s="24" t="s">
        <v>259</v>
      </c>
      <c r="D82" s="30">
        <v>45658</v>
      </c>
      <c r="E82" s="30" t="s">
        <v>513</v>
      </c>
      <c r="F82" s="24" t="s">
        <v>394</v>
      </c>
      <c r="G82" s="24" t="s">
        <v>76</v>
      </c>
      <c r="H82" s="30" t="s">
        <v>331</v>
      </c>
      <c r="I82" s="24" t="s">
        <v>114</v>
      </c>
      <c r="J82" s="24" t="s">
        <v>106</v>
      </c>
      <c r="K82" s="24" t="s">
        <v>2109</v>
      </c>
      <c r="L82" s="24" t="s">
        <v>122</v>
      </c>
      <c r="M82" s="24" t="s">
        <v>263</v>
      </c>
      <c r="N82" s="24">
        <v>10</v>
      </c>
      <c r="O82" s="36">
        <v>33.75</v>
      </c>
      <c r="P82" s="35">
        <v>0.15</v>
      </c>
      <c r="Q82" s="36">
        <v>286.875</v>
      </c>
      <c r="R82" s="34">
        <v>3</v>
      </c>
      <c r="S82" s="24" t="s">
        <v>2148</v>
      </c>
      <c r="T82" s="24" t="s">
        <v>35</v>
      </c>
      <c r="U82" s="24" t="s">
        <v>332</v>
      </c>
      <c r="V82" s="24">
        <v>9723450355</v>
      </c>
      <c r="W82" s="24" t="s">
        <v>2100</v>
      </c>
      <c r="X82" s="34">
        <v>12</v>
      </c>
      <c r="Y82" s="24" t="s">
        <v>2108</v>
      </c>
      <c r="Z82" s="30">
        <v>46029</v>
      </c>
      <c r="AA82" s="24" t="s">
        <v>2171</v>
      </c>
      <c r="AB82" s="136" t="str">
        <f t="shared" si="1"/>
        <v>Silver</v>
      </c>
    </row>
    <row r="83" spans="1:28">
      <c r="A83" s="24" t="s">
        <v>516</v>
      </c>
      <c r="B83" s="24" t="s">
        <v>221</v>
      </c>
      <c r="C83" s="24" t="s">
        <v>92</v>
      </c>
      <c r="D83" s="30">
        <v>46137</v>
      </c>
      <c r="E83" s="30" t="s">
        <v>518</v>
      </c>
      <c r="F83" s="24" t="s">
        <v>225</v>
      </c>
      <c r="G83" s="24" t="s">
        <v>76</v>
      </c>
      <c r="H83" s="30" t="s">
        <v>226</v>
      </c>
      <c r="I83" s="24" t="s">
        <v>105</v>
      </c>
      <c r="J83" s="24" t="s">
        <v>106</v>
      </c>
      <c r="K83" s="24" t="s">
        <v>2113</v>
      </c>
      <c r="L83" s="24" t="s">
        <v>32</v>
      </c>
      <c r="M83" s="24" t="s">
        <v>97</v>
      </c>
      <c r="N83" s="24">
        <v>12</v>
      </c>
      <c r="O83" s="36">
        <v>2625</v>
      </c>
      <c r="P83" s="35">
        <v>0.05</v>
      </c>
      <c r="Q83" s="36">
        <v>29925</v>
      </c>
      <c r="R83" s="34">
        <v>3</v>
      </c>
      <c r="S83" s="24" t="s">
        <v>2148</v>
      </c>
      <c r="T83" s="24" t="s">
        <v>61</v>
      </c>
      <c r="U83" s="24" t="s">
        <v>228</v>
      </c>
      <c r="V83" s="24">
        <v>9886243907</v>
      </c>
      <c r="W83" s="24" t="s">
        <v>2101</v>
      </c>
      <c r="X83" s="34">
        <v>6</v>
      </c>
      <c r="Y83" s="24" t="s">
        <v>2112</v>
      </c>
      <c r="Z83" s="30">
        <v>46329</v>
      </c>
      <c r="AA83" s="24" t="s">
        <v>2171</v>
      </c>
      <c r="AB83" s="136" t="str">
        <f t="shared" si="1"/>
        <v>Silver</v>
      </c>
    </row>
    <row r="84" spans="1:28">
      <c r="A84" s="24" t="s">
        <v>521</v>
      </c>
      <c r="B84" s="24" t="s">
        <v>127</v>
      </c>
      <c r="C84" s="24" t="s">
        <v>118</v>
      </c>
      <c r="D84" s="30">
        <v>45919</v>
      </c>
      <c r="E84" s="30" t="s">
        <v>73</v>
      </c>
      <c r="F84" s="24" t="s">
        <v>200</v>
      </c>
      <c r="G84" s="24" t="s">
        <v>76</v>
      </c>
      <c r="H84" s="30" t="s">
        <v>131</v>
      </c>
      <c r="I84" s="24" t="s">
        <v>44</v>
      </c>
      <c r="J84" s="24" t="s">
        <v>45</v>
      </c>
      <c r="K84" s="24" t="s">
        <v>2113</v>
      </c>
      <c r="L84" s="24" t="s">
        <v>122</v>
      </c>
      <c r="M84" s="24" t="s">
        <v>123</v>
      </c>
      <c r="N84" s="24">
        <v>2</v>
      </c>
      <c r="O84" s="36">
        <v>45</v>
      </c>
      <c r="P84" s="35">
        <v>0.15</v>
      </c>
      <c r="Q84" s="36">
        <v>76.5</v>
      </c>
      <c r="R84" s="34">
        <v>1</v>
      </c>
      <c r="S84" s="24" t="s">
        <v>2149</v>
      </c>
      <c r="T84" s="24" t="s">
        <v>115</v>
      </c>
      <c r="U84" s="24" t="s">
        <v>132</v>
      </c>
      <c r="V84" s="24">
        <v>9473931904</v>
      </c>
      <c r="W84" s="24" t="s">
        <v>2102</v>
      </c>
      <c r="X84" s="34">
        <v>12</v>
      </c>
      <c r="Y84" s="24" t="s">
        <v>2112</v>
      </c>
      <c r="Z84" s="30">
        <v>46292</v>
      </c>
      <c r="AA84" s="24" t="s">
        <v>2176</v>
      </c>
      <c r="AB84" s="136" t="str">
        <f t="shared" si="1"/>
        <v>Blacklisted</v>
      </c>
    </row>
    <row r="85" spans="1:28">
      <c r="A85" s="24" t="s">
        <v>524</v>
      </c>
      <c r="B85" s="24" t="s">
        <v>127</v>
      </c>
      <c r="C85" s="24" t="s">
        <v>72</v>
      </c>
      <c r="D85" s="30">
        <v>45734</v>
      </c>
      <c r="E85" s="30" t="s">
        <v>526</v>
      </c>
      <c r="F85" s="24" t="s">
        <v>200</v>
      </c>
      <c r="G85" s="24" t="s">
        <v>76</v>
      </c>
      <c r="H85" s="30" t="s">
        <v>131</v>
      </c>
      <c r="I85" s="24" t="s">
        <v>44</v>
      </c>
      <c r="J85" s="24" t="s">
        <v>45</v>
      </c>
      <c r="K85" s="24" t="s">
        <v>2113</v>
      </c>
      <c r="L85" s="24" t="s">
        <v>46</v>
      </c>
      <c r="M85" s="24" t="s">
        <v>78</v>
      </c>
      <c r="N85" s="24">
        <v>18</v>
      </c>
      <c r="O85" s="36">
        <v>900</v>
      </c>
      <c r="P85" s="35">
        <v>0.15</v>
      </c>
      <c r="Q85" s="36">
        <v>13770</v>
      </c>
      <c r="R85" s="34">
        <v>3</v>
      </c>
      <c r="S85" s="24" t="s">
        <v>79</v>
      </c>
      <c r="T85" s="24" t="s">
        <v>115</v>
      </c>
      <c r="U85" s="24" t="s">
        <v>132</v>
      </c>
      <c r="V85" s="24">
        <v>9287159610</v>
      </c>
      <c r="W85" s="24" t="s">
        <v>2100</v>
      </c>
      <c r="X85" s="34">
        <v>6</v>
      </c>
      <c r="Y85" s="24" t="s">
        <v>2112</v>
      </c>
      <c r="Z85" s="30">
        <v>45921</v>
      </c>
      <c r="AA85" s="24" t="s">
        <v>2176</v>
      </c>
      <c r="AB85" s="136" t="str">
        <f t="shared" si="1"/>
        <v>Silver</v>
      </c>
    </row>
    <row r="86" spans="1:28">
      <c r="A86" s="24" t="s">
        <v>529</v>
      </c>
      <c r="B86" s="24" t="s">
        <v>23</v>
      </c>
      <c r="C86" s="24" t="s">
        <v>40</v>
      </c>
      <c r="D86" s="30">
        <v>45960</v>
      </c>
      <c r="E86" s="30" t="s">
        <v>531</v>
      </c>
      <c r="F86" s="24" t="s">
        <v>27</v>
      </c>
      <c r="G86" s="24" t="s">
        <v>28</v>
      </c>
      <c r="H86" s="30" t="s">
        <v>29</v>
      </c>
      <c r="I86" s="24" t="s">
        <v>30</v>
      </c>
      <c r="J86" s="24" t="s">
        <v>31</v>
      </c>
      <c r="K86" s="24" t="s">
        <v>2111</v>
      </c>
      <c r="L86" s="24" t="s">
        <v>46</v>
      </c>
      <c r="M86" s="24" t="s">
        <v>47</v>
      </c>
      <c r="N86" s="24">
        <v>18</v>
      </c>
      <c r="O86" s="36">
        <v>9000</v>
      </c>
      <c r="P86" s="35">
        <v>0.15</v>
      </c>
      <c r="Q86" s="36">
        <v>137700</v>
      </c>
      <c r="R86" s="34">
        <v>2</v>
      </c>
      <c r="S86" s="24" t="s">
        <v>34</v>
      </c>
      <c r="T86" s="24" t="s">
        <v>49</v>
      </c>
      <c r="U86" s="24" t="s">
        <v>50</v>
      </c>
      <c r="V86" s="24">
        <v>9876513858</v>
      </c>
      <c r="W86" s="24" t="s">
        <v>2101</v>
      </c>
      <c r="X86" s="34">
        <v>24</v>
      </c>
      <c r="Y86" s="24" t="s">
        <v>2108</v>
      </c>
      <c r="Z86" s="30">
        <v>46691</v>
      </c>
      <c r="AA86" s="24" t="s">
        <v>2171</v>
      </c>
      <c r="AB86" s="136" t="str">
        <f t="shared" si="1"/>
        <v>Blacklisted</v>
      </c>
    </row>
    <row r="87" spans="1:28">
      <c r="A87" s="24" t="s">
        <v>534</v>
      </c>
      <c r="B87" s="24" t="s">
        <v>83</v>
      </c>
      <c r="C87" s="24" t="s">
        <v>222</v>
      </c>
      <c r="D87" s="30">
        <v>45961</v>
      </c>
      <c r="E87" s="30" t="s">
        <v>535</v>
      </c>
      <c r="F87" s="24" t="s">
        <v>180</v>
      </c>
      <c r="G87" s="24" t="s">
        <v>76</v>
      </c>
      <c r="H87" s="30" t="s">
        <v>87</v>
      </c>
      <c r="I87" s="24" t="s">
        <v>30</v>
      </c>
      <c r="J87" s="24" t="s">
        <v>31</v>
      </c>
      <c r="K87" s="24" t="s">
        <v>2109</v>
      </c>
      <c r="L87" s="24" t="s">
        <v>122</v>
      </c>
      <c r="M87" s="24" t="s">
        <v>227</v>
      </c>
      <c r="N87" s="24">
        <v>7</v>
      </c>
      <c r="O87" s="36">
        <v>15</v>
      </c>
      <c r="P87" s="35">
        <v>0</v>
      </c>
      <c r="Q87" s="36">
        <v>105</v>
      </c>
      <c r="R87" s="34">
        <v>2</v>
      </c>
      <c r="S87" s="24" t="s">
        <v>79</v>
      </c>
      <c r="T87" s="24" t="s">
        <v>35</v>
      </c>
      <c r="U87" s="24" t="s">
        <v>89</v>
      </c>
      <c r="V87" s="24">
        <v>9237400853</v>
      </c>
      <c r="W87" s="24" t="s">
        <v>2103</v>
      </c>
      <c r="X87" s="34">
        <v>12</v>
      </c>
      <c r="Y87" s="24" t="s">
        <v>2108</v>
      </c>
      <c r="Z87" s="30">
        <v>46337</v>
      </c>
      <c r="AA87" s="24" t="s">
        <v>2174</v>
      </c>
      <c r="AB87" s="136" t="str">
        <f t="shared" si="1"/>
        <v>Blacklisted</v>
      </c>
    </row>
    <row r="88" spans="1:28">
      <c r="A88" s="24" t="s">
        <v>538</v>
      </c>
      <c r="B88" s="24" t="s">
        <v>251</v>
      </c>
      <c r="C88" s="24" t="s">
        <v>92</v>
      </c>
      <c r="D88" s="30">
        <v>45757</v>
      </c>
      <c r="E88" s="30" t="s">
        <v>539</v>
      </c>
      <c r="F88" s="24" t="s">
        <v>254</v>
      </c>
      <c r="G88" s="24" t="s">
        <v>28</v>
      </c>
      <c r="H88" s="30" t="s">
        <v>255</v>
      </c>
      <c r="I88" s="24" t="s">
        <v>114</v>
      </c>
      <c r="J88" s="24" t="s">
        <v>106</v>
      </c>
      <c r="K88" s="24" t="s">
        <v>2111</v>
      </c>
      <c r="L88" s="24" t="s">
        <v>32</v>
      </c>
      <c r="M88" s="24" t="s">
        <v>97</v>
      </c>
      <c r="N88" s="24">
        <v>20</v>
      </c>
      <c r="O88" s="36">
        <v>2625</v>
      </c>
      <c r="P88" s="35">
        <v>0.2</v>
      </c>
      <c r="Q88" s="36">
        <v>42000</v>
      </c>
      <c r="R88" s="34">
        <v>4</v>
      </c>
      <c r="S88" s="24" t="s">
        <v>79</v>
      </c>
      <c r="T88" s="24" t="s">
        <v>115</v>
      </c>
      <c r="U88" s="24" t="s">
        <v>256</v>
      </c>
      <c r="V88" s="24">
        <v>9599597595</v>
      </c>
      <c r="W88" s="24" t="s">
        <v>2101</v>
      </c>
      <c r="X88" s="34">
        <v>6</v>
      </c>
      <c r="Y88" s="24" t="s">
        <v>2112</v>
      </c>
      <c r="Z88" s="30">
        <v>45948</v>
      </c>
      <c r="AA88" s="24" t="s">
        <v>2173</v>
      </c>
      <c r="AB88" s="136" t="str">
        <f t="shared" si="1"/>
        <v>Silver</v>
      </c>
    </row>
    <row r="89" spans="1:28">
      <c r="A89" s="24" t="s">
        <v>542</v>
      </c>
      <c r="B89" s="24" t="s">
        <v>100</v>
      </c>
      <c r="C89" s="24" t="s">
        <v>169</v>
      </c>
      <c r="D89" s="30">
        <v>46097</v>
      </c>
      <c r="E89" s="30" t="s">
        <v>544</v>
      </c>
      <c r="F89" s="24" t="s">
        <v>103</v>
      </c>
      <c r="G89" s="24" t="s">
        <v>28</v>
      </c>
      <c r="H89" s="30" t="s">
        <v>104</v>
      </c>
      <c r="I89" s="24" t="s">
        <v>105</v>
      </c>
      <c r="J89" s="24" t="s">
        <v>106</v>
      </c>
      <c r="K89" s="24" t="s">
        <v>2111</v>
      </c>
      <c r="L89" s="24" t="s">
        <v>32</v>
      </c>
      <c r="M89" s="24" t="s">
        <v>174</v>
      </c>
      <c r="N89" s="24">
        <v>8</v>
      </c>
      <c r="O89" s="36">
        <v>6375</v>
      </c>
      <c r="P89" s="35">
        <v>0.2</v>
      </c>
      <c r="Q89" s="36">
        <v>40800</v>
      </c>
      <c r="R89" s="34">
        <v>3</v>
      </c>
      <c r="S89" s="24" t="s">
        <v>79</v>
      </c>
      <c r="T89" s="24" t="s">
        <v>115</v>
      </c>
      <c r="U89" s="24" t="s">
        <v>144</v>
      </c>
      <c r="V89" s="24">
        <v>9230007509</v>
      </c>
      <c r="W89" s="24" t="s">
        <v>2100</v>
      </c>
      <c r="X89" s="34">
        <v>24</v>
      </c>
      <c r="Y89" s="24" t="s">
        <v>2110</v>
      </c>
      <c r="Z89" s="30">
        <v>46838</v>
      </c>
      <c r="AA89" s="24" t="s">
        <v>2175</v>
      </c>
      <c r="AB89" s="136" t="str">
        <f t="shared" si="1"/>
        <v>Silver</v>
      </c>
    </row>
    <row r="90" spans="1:28">
      <c r="A90" s="24" t="s">
        <v>547</v>
      </c>
      <c r="B90" s="24" t="s">
        <v>327</v>
      </c>
      <c r="C90" s="24" t="s">
        <v>40</v>
      </c>
      <c r="D90" s="30">
        <v>45915</v>
      </c>
      <c r="E90" s="30" t="s">
        <v>549</v>
      </c>
      <c r="F90" s="24" t="s">
        <v>394</v>
      </c>
      <c r="G90" s="24" t="s">
        <v>76</v>
      </c>
      <c r="H90" s="30" t="s">
        <v>331</v>
      </c>
      <c r="I90" s="24" t="s">
        <v>114</v>
      </c>
      <c r="J90" s="24" t="s">
        <v>106</v>
      </c>
      <c r="K90" s="24" t="s">
        <v>2109</v>
      </c>
      <c r="L90" s="24" t="s">
        <v>46</v>
      </c>
      <c r="M90" s="24" t="s">
        <v>47</v>
      </c>
      <c r="N90" s="24">
        <v>6</v>
      </c>
      <c r="O90" s="36">
        <v>9000</v>
      </c>
      <c r="P90" s="35">
        <v>0.05</v>
      </c>
      <c r="Q90" s="36">
        <v>51300</v>
      </c>
      <c r="R90" s="34">
        <v>4</v>
      </c>
      <c r="S90" s="24" t="s">
        <v>2148</v>
      </c>
      <c r="T90" s="24" t="s">
        <v>35</v>
      </c>
      <c r="U90" s="24" t="s">
        <v>332</v>
      </c>
      <c r="V90" s="24">
        <v>9823428025</v>
      </c>
      <c r="W90" s="24" t="s">
        <v>2101</v>
      </c>
      <c r="X90" s="34">
        <v>24</v>
      </c>
      <c r="Y90" s="24" t="s">
        <v>2108</v>
      </c>
      <c r="Z90" s="30">
        <v>46654</v>
      </c>
      <c r="AA90" s="24" t="s">
        <v>2171</v>
      </c>
      <c r="AB90" s="136" t="str">
        <f t="shared" si="1"/>
        <v>Gold</v>
      </c>
    </row>
    <row r="91" spans="1:28">
      <c r="A91" s="24" t="s">
        <v>553</v>
      </c>
      <c r="B91" s="24" t="s">
        <v>23</v>
      </c>
      <c r="C91" s="24" t="s">
        <v>169</v>
      </c>
      <c r="D91" s="30">
        <v>46092</v>
      </c>
      <c r="E91" s="30" t="s">
        <v>404</v>
      </c>
      <c r="F91" s="24" t="s">
        <v>27</v>
      </c>
      <c r="G91" s="24" t="s">
        <v>28</v>
      </c>
      <c r="H91" s="30" t="s">
        <v>29</v>
      </c>
      <c r="I91" s="24" t="s">
        <v>30</v>
      </c>
      <c r="J91" s="24" t="s">
        <v>31</v>
      </c>
      <c r="K91" s="24" t="s">
        <v>2111</v>
      </c>
      <c r="L91" s="24" t="s">
        <v>32</v>
      </c>
      <c r="M91" s="24" t="s">
        <v>174</v>
      </c>
      <c r="N91" s="24">
        <v>15</v>
      </c>
      <c r="O91" s="36">
        <v>6375</v>
      </c>
      <c r="P91" s="35">
        <v>0</v>
      </c>
      <c r="Q91" s="36">
        <v>95625</v>
      </c>
      <c r="R91" s="34">
        <v>4</v>
      </c>
      <c r="S91" s="24" t="s">
        <v>2148</v>
      </c>
      <c r="T91" s="24" t="s">
        <v>35</v>
      </c>
      <c r="U91" s="24" t="s">
        <v>50</v>
      </c>
      <c r="V91" s="24">
        <v>9505048912</v>
      </c>
      <c r="W91" s="24" t="s">
        <v>2100</v>
      </c>
      <c r="X91" s="34">
        <v>24</v>
      </c>
      <c r="Y91" s="24" t="s">
        <v>2108</v>
      </c>
      <c r="Z91" s="30">
        <v>46831</v>
      </c>
      <c r="AA91" s="24" t="s">
        <v>2171</v>
      </c>
      <c r="AB91" s="136" t="str">
        <f t="shared" si="1"/>
        <v>Gold</v>
      </c>
    </row>
    <row r="92" spans="1:28">
      <c r="A92" s="24" t="s">
        <v>557</v>
      </c>
      <c r="B92" s="24" t="s">
        <v>53</v>
      </c>
      <c r="C92" s="24" t="s">
        <v>72</v>
      </c>
      <c r="D92" s="30">
        <v>45889</v>
      </c>
      <c r="E92" s="30" t="s">
        <v>377</v>
      </c>
      <c r="F92" s="24" t="s">
        <v>163</v>
      </c>
      <c r="G92" s="24" t="s">
        <v>28</v>
      </c>
      <c r="H92" s="30" t="s">
        <v>58</v>
      </c>
      <c r="I92" s="24" t="s">
        <v>59</v>
      </c>
      <c r="J92" s="24" t="s">
        <v>31</v>
      </c>
      <c r="K92" s="24" t="s">
        <v>2111</v>
      </c>
      <c r="L92" s="24" t="s">
        <v>46</v>
      </c>
      <c r="M92" s="24" t="s">
        <v>78</v>
      </c>
      <c r="N92" s="24">
        <v>5</v>
      </c>
      <c r="O92" s="36">
        <v>900</v>
      </c>
      <c r="P92" s="35">
        <v>0.15</v>
      </c>
      <c r="Q92" s="36">
        <v>3825</v>
      </c>
      <c r="R92" s="34">
        <v>1</v>
      </c>
      <c r="S92" s="24" t="s">
        <v>2148</v>
      </c>
      <c r="T92" s="24" t="s">
        <v>35</v>
      </c>
      <c r="U92" s="24" t="s">
        <v>62</v>
      </c>
      <c r="V92" s="24">
        <v>9508068393</v>
      </c>
      <c r="W92" s="24" t="s">
        <v>2100</v>
      </c>
      <c r="X92" s="34">
        <v>6</v>
      </c>
      <c r="Y92" s="24" t="s">
        <v>2108</v>
      </c>
      <c r="Z92" s="30">
        <v>46076</v>
      </c>
      <c r="AA92" s="24" t="s">
        <v>2172</v>
      </c>
      <c r="AB92" s="136" t="str">
        <f t="shared" si="1"/>
        <v>Blacklisted</v>
      </c>
    </row>
    <row r="93" spans="1:28">
      <c r="A93" s="24" t="s">
        <v>561</v>
      </c>
      <c r="B93" s="24" t="s">
        <v>53</v>
      </c>
      <c r="C93" s="24" t="s">
        <v>222</v>
      </c>
      <c r="D93" s="30">
        <v>45882</v>
      </c>
      <c r="E93" s="30" t="s">
        <v>563</v>
      </c>
      <c r="F93" s="24" t="s">
        <v>163</v>
      </c>
      <c r="G93" s="24" t="s">
        <v>28</v>
      </c>
      <c r="H93" s="30" t="s">
        <v>58</v>
      </c>
      <c r="I93" s="24" t="s">
        <v>59</v>
      </c>
      <c r="J93" s="24" t="s">
        <v>31</v>
      </c>
      <c r="K93" s="24" t="s">
        <v>2111</v>
      </c>
      <c r="L93" s="24" t="s">
        <v>122</v>
      </c>
      <c r="M93" s="24" t="s">
        <v>227</v>
      </c>
      <c r="N93" s="24">
        <v>4</v>
      </c>
      <c r="O93" s="36">
        <v>15</v>
      </c>
      <c r="P93" s="35">
        <v>0</v>
      </c>
      <c r="Q93" s="36">
        <v>60</v>
      </c>
      <c r="R93" s="34">
        <v>4</v>
      </c>
      <c r="S93" s="24" t="s">
        <v>2148</v>
      </c>
      <c r="T93" s="24" t="s">
        <v>49</v>
      </c>
      <c r="U93" s="24" t="s">
        <v>62</v>
      </c>
      <c r="V93" s="24">
        <v>9785807771</v>
      </c>
      <c r="W93" s="24" t="s">
        <v>2103</v>
      </c>
      <c r="X93" s="34">
        <v>12</v>
      </c>
      <c r="Y93" s="24" t="s">
        <v>2108</v>
      </c>
      <c r="Z93" s="30">
        <v>46248</v>
      </c>
      <c r="AA93" s="24" t="s">
        <v>2172</v>
      </c>
      <c r="AB93" s="136" t="str">
        <f t="shared" si="1"/>
        <v>Silver</v>
      </c>
    </row>
    <row r="94" spans="1:28">
      <c r="A94" s="24" t="s">
        <v>566</v>
      </c>
      <c r="B94" s="24" t="s">
        <v>23</v>
      </c>
      <c r="C94" s="24" t="s">
        <v>222</v>
      </c>
      <c r="D94" s="30">
        <v>45732</v>
      </c>
      <c r="E94" s="30" t="s">
        <v>568</v>
      </c>
      <c r="F94" s="24" t="s">
        <v>27</v>
      </c>
      <c r="G94" s="24" t="s">
        <v>28</v>
      </c>
      <c r="H94" s="30" t="s">
        <v>29</v>
      </c>
      <c r="I94" s="24" t="s">
        <v>30</v>
      </c>
      <c r="J94" s="24" t="s">
        <v>31</v>
      </c>
      <c r="K94" s="24" t="s">
        <v>2111</v>
      </c>
      <c r="L94" s="24" t="s">
        <v>122</v>
      </c>
      <c r="M94" s="24" t="s">
        <v>227</v>
      </c>
      <c r="N94" s="24">
        <v>10</v>
      </c>
      <c r="O94" s="36">
        <v>15</v>
      </c>
      <c r="P94" s="35">
        <v>0</v>
      </c>
      <c r="Q94" s="36">
        <v>150</v>
      </c>
      <c r="R94" s="34">
        <v>3</v>
      </c>
      <c r="S94" s="24" t="s">
        <v>34</v>
      </c>
      <c r="T94" s="24" t="s">
        <v>151</v>
      </c>
      <c r="U94" s="24" t="s">
        <v>50</v>
      </c>
      <c r="V94" s="24">
        <v>9215250979</v>
      </c>
      <c r="W94" s="24" t="s">
        <v>2103</v>
      </c>
      <c r="X94" s="34">
        <v>12</v>
      </c>
      <c r="Y94" s="24" t="s">
        <v>2108</v>
      </c>
      <c r="Z94" s="30">
        <v>46101</v>
      </c>
      <c r="AA94" s="24" t="s">
        <v>2171</v>
      </c>
      <c r="AB94" s="136" t="str">
        <f t="shared" si="1"/>
        <v>Silver</v>
      </c>
    </row>
    <row r="95" spans="1:28">
      <c r="A95" s="24" t="s">
        <v>571</v>
      </c>
      <c r="B95" s="24" t="s">
        <v>168</v>
      </c>
      <c r="C95" s="24" t="s">
        <v>24</v>
      </c>
      <c r="D95" s="30">
        <v>45904</v>
      </c>
      <c r="E95" s="30" t="s">
        <v>573</v>
      </c>
      <c r="F95" s="24" t="s">
        <v>361</v>
      </c>
      <c r="G95" s="24" t="s">
        <v>28</v>
      </c>
      <c r="H95" s="30" t="s">
        <v>173</v>
      </c>
      <c r="I95" s="24" t="s">
        <v>114</v>
      </c>
      <c r="J95" s="24" t="s">
        <v>106</v>
      </c>
      <c r="K95" s="24" t="s">
        <v>2111</v>
      </c>
      <c r="L95" s="24" t="s">
        <v>32</v>
      </c>
      <c r="M95" s="24" t="s">
        <v>33</v>
      </c>
      <c r="N95" s="24">
        <v>18</v>
      </c>
      <c r="O95" s="36">
        <v>1650</v>
      </c>
      <c r="P95" s="35">
        <v>0.1</v>
      </c>
      <c r="Q95" s="36">
        <v>26730</v>
      </c>
      <c r="R95" s="34">
        <v>3</v>
      </c>
      <c r="S95" s="24" t="s">
        <v>34</v>
      </c>
      <c r="T95" s="24" t="s">
        <v>35</v>
      </c>
      <c r="U95" s="24" t="s">
        <v>175</v>
      </c>
      <c r="V95" s="24">
        <v>9845884906</v>
      </c>
      <c r="W95" s="24" t="s">
        <v>2101</v>
      </c>
      <c r="X95" s="34">
        <v>24</v>
      </c>
      <c r="Y95" s="24" t="s">
        <v>2112</v>
      </c>
      <c r="Z95" s="30">
        <v>46640</v>
      </c>
      <c r="AA95" s="24" t="s">
        <v>2177</v>
      </c>
      <c r="AB95" s="136" t="str">
        <f t="shared" si="1"/>
        <v>Silver</v>
      </c>
    </row>
    <row r="96" spans="1:28">
      <c r="A96" s="24" t="s">
        <v>576</v>
      </c>
      <c r="B96" s="24" t="s">
        <v>327</v>
      </c>
      <c r="C96" s="24" t="s">
        <v>92</v>
      </c>
      <c r="D96" s="30">
        <v>45759</v>
      </c>
      <c r="E96" s="30" t="s">
        <v>578</v>
      </c>
      <c r="F96" s="24" t="s">
        <v>394</v>
      </c>
      <c r="G96" s="24" t="s">
        <v>76</v>
      </c>
      <c r="H96" s="30" t="s">
        <v>331</v>
      </c>
      <c r="I96" s="24" t="s">
        <v>114</v>
      </c>
      <c r="J96" s="24" t="s">
        <v>106</v>
      </c>
      <c r="K96" s="24" t="s">
        <v>2109</v>
      </c>
      <c r="L96" s="24" t="s">
        <v>32</v>
      </c>
      <c r="M96" s="24" t="s">
        <v>97</v>
      </c>
      <c r="N96" s="24">
        <v>7</v>
      </c>
      <c r="O96" s="36">
        <v>2625</v>
      </c>
      <c r="P96" s="35">
        <v>0.15</v>
      </c>
      <c r="Q96" s="36">
        <v>15618.75</v>
      </c>
      <c r="R96" s="34">
        <v>3</v>
      </c>
      <c r="S96" s="24" t="s">
        <v>2148</v>
      </c>
      <c r="T96" s="24" t="s">
        <v>49</v>
      </c>
      <c r="U96" s="24" t="s">
        <v>332</v>
      </c>
      <c r="V96" s="24">
        <v>9393097397</v>
      </c>
      <c r="W96" s="24" t="s">
        <v>2101</v>
      </c>
      <c r="X96" s="34">
        <v>6</v>
      </c>
      <c r="Y96" s="24" t="s">
        <v>2108</v>
      </c>
      <c r="Z96" s="30">
        <v>45945</v>
      </c>
      <c r="AA96" s="24" t="s">
        <v>2171</v>
      </c>
      <c r="AB96" s="136" t="str">
        <f t="shared" si="1"/>
        <v>Silver</v>
      </c>
    </row>
    <row r="97" spans="1:28">
      <c r="A97" s="24" t="s">
        <v>581</v>
      </c>
      <c r="B97" s="24" t="s">
        <v>100</v>
      </c>
      <c r="C97" s="24" t="s">
        <v>169</v>
      </c>
      <c r="D97" s="30">
        <v>46146</v>
      </c>
      <c r="E97" s="30" t="s">
        <v>583</v>
      </c>
      <c r="F97" s="24" t="s">
        <v>103</v>
      </c>
      <c r="G97" s="24" t="s">
        <v>28</v>
      </c>
      <c r="H97" s="30" t="s">
        <v>104</v>
      </c>
      <c r="I97" s="24" t="s">
        <v>105</v>
      </c>
      <c r="J97" s="24" t="s">
        <v>106</v>
      </c>
      <c r="K97" s="24" t="s">
        <v>2111</v>
      </c>
      <c r="L97" s="24" t="s">
        <v>32</v>
      </c>
      <c r="M97" s="24" t="s">
        <v>174</v>
      </c>
      <c r="N97" s="24">
        <v>19</v>
      </c>
      <c r="O97" s="36">
        <v>6375</v>
      </c>
      <c r="P97" s="35">
        <v>0.15</v>
      </c>
      <c r="Q97" s="36">
        <v>102956.25</v>
      </c>
      <c r="R97" s="34">
        <v>4</v>
      </c>
      <c r="S97" s="24" t="s">
        <v>79</v>
      </c>
      <c r="T97" s="24" t="s">
        <v>151</v>
      </c>
      <c r="U97" s="24" t="s">
        <v>144</v>
      </c>
      <c r="V97" s="24">
        <v>9958032109</v>
      </c>
      <c r="W97" s="24" t="s">
        <v>2100</v>
      </c>
      <c r="X97" s="34">
        <v>24</v>
      </c>
      <c r="Y97" s="24" t="s">
        <v>2110</v>
      </c>
      <c r="Z97" s="30">
        <v>46880</v>
      </c>
      <c r="AA97" s="24" t="s">
        <v>2175</v>
      </c>
      <c r="AB97" s="136" t="str">
        <f t="shared" si="1"/>
        <v>Gold</v>
      </c>
    </row>
    <row r="98" spans="1:28">
      <c r="A98" s="24" t="s">
        <v>586</v>
      </c>
      <c r="B98" s="24" t="s">
        <v>251</v>
      </c>
      <c r="C98" s="24" t="s">
        <v>40</v>
      </c>
      <c r="D98" s="30">
        <v>46040</v>
      </c>
      <c r="E98" s="30" t="s">
        <v>588</v>
      </c>
      <c r="F98" s="24" t="s">
        <v>254</v>
      </c>
      <c r="G98" s="24" t="s">
        <v>28</v>
      </c>
      <c r="H98" s="30" t="s">
        <v>255</v>
      </c>
      <c r="I98" s="24" t="s">
        <v>114</v>
      </c>
      <c r="J98" s="24" t="s">
        <v>106</v>
      </c>
      <c r="K98" s="24" t="s">
        <v>2111</v>
      </c>
      <c r="L98" s="24" t="s">
        <v>46</v>
      </c>
      <c r="M98" s="24" t="s">
        <v>47</v>
      </c>
      <c r="N98" s="24">
        <v>13</v>
      </c>
      <c r="O98" s="36">
        <v>9000</v>
      </c>
      <c r="P98" s="35">
        <v>0.15</v>
      </c>
      <c r="Q98" s="36">
        <v>99450</v>
      </c>
      <c r="R98" s="34">
        <v>4</v>
      </c>
      <c r="S98" s="24" t="s">
        <v>34</v>
      </c>
      <c r="T98" s="24" t="s">
        <v>49</v>
      </c>
      <c r="U98" s="24" t="s">
        <v>256</v>
      </c>
      <c r="V98" s="24">
        <v>9755082957</v>
      </c>
      <c r="W98" s="24" t="s">
        <v>2101</v>
      </c>
      <c r="X98" s="34">
        <v>24</v>
      </c>
      <c r="Y98" s="24" t="s">
        <v>2112</v>
      </c>
      <c r="Z98" s="30">
        <v>46779</v>
      </c>
      <c r="AA98" s="24" t="s">
        <v>2173</v>
      </c>
      <c r="AB98" s="136" t="str">
        <f t="shared" si="1"/>
        <v>Gold</v>
      </c>
    </row>
    <row r="99" spans="1:28">
      <c r="A99" s="24" t="s">
        <v>591</v>
      </c>
      <c r="B99" s="24" t="s">
        <v>327</v>
      </c>
      <c r="C99" s="24" t="s">
        <v>222</v>
      </c>
      <c r="D99" s="30">
        <v>46095</v>
      </c>
      <c r="E99" s="30" t="s">
        <v>398</v>
      </c>
      <c r="F99" s="24" t="s">
        <v>394</v>
      </c>
      <c r="G99" s="24" t="s">
        <v>76</v>
      </c>
      <c r="H99" s="30" t="s">
        <v>331</v>
      </c>
      <c r="I99" s="24" t="s">
        <v>114</v>
      </c>
      <c r="J99" s="24" t="s">
        <v>106</v>
      </c>
      <c r="K99" s="24" t="s">
        <v>2109</v>
      </c>
      <c r="L99" s="24" t="s">
        <v>122</v>
      </c>
      <c r="M99" s="24" t="s">
        <v>227</v>
      </c>
      <c r="N99" s="24">
        <v>7</v>
      </c>
      <c r="O99" s="36">
        <v>15</v>
      </c>
      <c r="P99" s="35">
        <v>0</v>
      </c>
      <c r="Q99" s="36">
        <v>105</v>
      </c>
      <c r="R99" s="34">
        <v>1</v>
      </c>
      <c r="S99" s="24" t="s">
        <v>79</v>
      </c>
      <c r="T99" s="24" t="s">
        <v>151</v>
      </c>
      <c r="U99" s="24" t="s">
        <v>332</v>
      </c>
      <c r="V99" s="24">
        <v>9872235856</v>
      </c>
      <c r="W99" s="24" t="s">
        <v>2103</v>
      </c>
      <c r="X99" s="34">
        <v>12</v>
      </c>
      <c r="Y99" s="24" t="s">
        <v>2108</v>
      </c>
      <c r="Z99" s="30">
        <v>46470</v>
      </c>
      <c r="AA99" s="24" t="s">
        <v>2171</v>
      </c>
      <c r="AB99" s="136" t="str">
        <f t="shared" si="1"/>
        <v>Blacklisted</v>
      </c>
    </row>
    <row r="100" spans="1:28">
      <c r="A100" s="24" t="s">
        <v>595</v>
      </c>
      <c r="B100" s="24" t="s">
        <v>168</v>
      </c>
      <c r="C100" s="24" t="s">
        <v>184</v>
      </c>
      <c r="D100" s="30">
        <v>45786</v>
      </c>
      <c r="E100" s="30" t="s">
        <v>597</v>
      </c>
      <c r="F100" s="24" t="s">
        <v>361</v>
      </c>
      <c r="G100" s="24" t="s">
        <v>28</v>
      </c>
      <c r="H100" s="30" t="s">
        <v>173</v>
      </c>
      <c r="I100" s="24" t="s">
        <v>114</v>
      </c>
      <c r="J100" s="24" t="s">
        <v>106</v>
      </c>
      <c r="K100" s="24" t="s">
        <v>2111</v>
      </c>
      <c r="L100" s="24" t="s">
        <v>46</v>
      </c>
      <c r="M100" s="24" t="s">
        <v>189</v>
      </c>
      <c r="N100" s="24">
        <v>5</v>
      </c>
      <c r="O100" s="36">
        <v>525</v>
      </c>
      <c r="P100" s="35">
        <v>0.15</v>
      </c>
      <c r="Q100" s="36">
        <v>2231.25</v>
      </c>
      <c r="R100" s="34">
        <v>4</v>
      </c>
      <c r="S100" s="24" t="s">
        <v>79</v>
      </c>
      <c r="T100" s="24" t="s">
        <v>35</v>
      </c>
      <c r="U100" s="24" t="s">
        <v>175</v>
      </c>
      <c r="V100" s="24">
        <v>9335138816</v>
      </c>
      <c r="W100" s="24" t="s">
        <v>2100</v>
      </c>
      <c r="X100" s="34">
        <v>24</v>
      </c>
      <c r="Y100" s="24" t="s">
        <v>2112</v>
      </c>
      <c r="Z100" s="30">
        <v>46518</v>
      </c>
      <c r="AA100" s="24" t="s">
        <v>2177</v>
      </c>
      <c r="AB100" s="136" t="str">
        <f t="shared" si="1"/>
        <v>Silver</v>
      </c>
    </row>
    <row r="101" spans="1:28">
      <c r="A101" s="24" t="s">
        <v>600</v>
      </c>
      <c r="B101" s="24" t="s">
        <v>83</v>
      </c>
      <c r="C101" s="24" t="s">
        <v>259</v>
      </c>
      <c r="D101" s="30">
        <v>46149</v>
      </c>
      <c r="E101" s="30" t="s">
        <v>601</v>
      </c>
      <c r="F101" s="24" t="s">
        <v>180</v>
      </c>
      <c r="G101" s="24" t="s">
        <v>76</v>
      </c>
      <c r="H101" s="30" t="s">
        <v>87</v>
      </c>
      <c r="I101" s="24" t="s">
        <v>30</v>
      </c>
      <c r="J101" s="24" t="s">
        <v>31</v>
      </c>
      <c r="K101" s="24" t="s">
        <v>2109</v>
      </c>
      <c r="L101" s="24" t="s">
        <v>122</v>
      </c>
      <c r="M101" s="24" t="s">
        <v>263</v>
      </c>
      <c r="N101" s="24">
        <v>9</v>
      </c>
      <c r="O101" s="36">
        <v>33.75</v>
      </c>
      <c r="P101" s="35">
        <v>0.05</v>
      </c>
      <c r="Q101" s="36">
        <v>288.5625</v>
      </c>
      <c r="R101" s="34">
        <v>3</v>
      </c>
      <c r="S101" s="24" t="s">
        <v>34</v>
      </c>
      <c r="T101" s="24" t="s">
        <v>35</v>
      </c>
      <c r="U101" s="24" t="s">
        <v>89</v>
      </c>
      <c r="V101" s="24">
        <v>9750365609</v>
      </c>
      <c r="W101" s="24" t="s">
        <v>2100</v>
      </c>
      <c r="X101" s="34">
        <v>12</v>
      </c>
      <c r="Y101" s="24" t="s">
        <v>2108</v>
      </c>
      <c r="Z101" s="30">
        <v>46517</v>
      </c>
      <c r="AA101" s="24" t="s">
        <v>2174</v>
      </c>
      <c r="AB101" s="136" t="str">
        <f t="shared" si="1"/>
        <v>Silver</v>
      </c>
    </row>
    <row r="102" spans="1:28">
      <c r="A102" s="24" t="s">
        <v>604</v>
      </c>
      <c r="B102" s="24" t="s">
        <v>127</v>
      </c>
      <c r="C102" s="24" t="s">
        <v>118</v>
      </c>
      <c r="D102" s="30">
        <v>45768</v>
      </c>
      <c r="E102" s="30" t="s">
        <v>606</v>
      </c>
      <c r="F102" s="24" t="s">
        <v>200</v>
      </c>
      <c r="G102" s="24" t="s">
        <v>76</v>
      </c>
      <c r="H102" s="30" t="s">
        <v>131</v>
      </c>
      <c r="I102" s="24" t="s">
        <v>44</v>
      </c>
      <c r="J102" s="24" t="s">
        <v>45</v>
      </c>
      <c r="K102" s="24" t="s">
        <v>2113</v>
      </c>
      <c r="L102" s="24" t="s">
        <v>122</v>
      </c>
      <c r="M102" s="24" t="s">
        <v>123</v>
      </c>
      <c r="N102" s="24">
        <v>19</v>
      </c>
      <c r="O102" s="36">
        <v>45</v>
      </c>
      <c r="P102" s="35">
        <v>0.1</v>
      </c>
      <c r="Q102" s="36">
        <v>769.5</v>
      </c>
      <c r="R102" s="34">
        <v>5</v>
      </c>
      <c r="S102" s="24" t="s">
        <v>2148</v>
      </c>
      <c r="T102" s="24" t="s">
        <v>115</v>
      </c>
      <c r="U102" s="24" t="s">
        <v>132</v>
      </c>
      <c r="V102" s="24">
        <v>9736812737</v>
      </c>
      <c r="W102" s="24" t="s">
        <v>2102</v>
      </c>
      <c r="X102" s="34">
        <v>12</v>
      </c>
      <c r="Y102" s="24" t="s">
        <v>2112</v>
      </c>
      <c r="Z102" s="30">
        <v>46141</v>
      </c>
      <c r="AA102" s="24" t="s">
        <v>2176</v>
      </c>
      <c r="AB102" s="136" t="str">
        <f t="shared" si="1"/>
        <v>Silver</v>
      </c>
    </row>
    <row r="103" spans="1:28">
      <c r="A103" s="24" t="s">
        <v>609</v>
      </c>
      <c r="B103" s="24" t="s">
        <v>327</v>
      </c>
      <c r="C103" s="24" t="s">
        <v>184</v>
      </c>
      <c r="D103" s="30">
        <v>46002</v>
      </c>
      <c r="E103" s="30" t="s">
        <v>611</v>
      </c>
      <c r="F103" s="24" t="s">
        <v>394</v>
      </c>
      <c r="G103" s="24" t="s">
        <v>76</v>
      </c>
      <c r="H103" s="30" t="s">
        <v>331</v>
      </c>
      <c r="I103" s="24" t="s">
        <v>114</v>
      </c>
      <c r="J103" s="24" t="s">
        <v>106</v>
      </c>
      <c r="K103" s="24" t="s">
        <v>2109</v>
      </c>
      <c r="L103" s="24" t="s">
        <v>46</v>
      </c>
      <c r="M103" s="24" t="s">
        <v>189</v>
      </c>
      <c r="N103" s="24">
        <v>4</v>
      </c>
      <c r="O103" s="36">
        <v>525</v>
      </c>
      <c r="P103" s="35">
        <v>0.05</v>
      </c>
      <c r="Q103" s="36">
        <v>1995</v>
      </c>
      <c r="R103" s="34">
        <v>3</v>
      </c>
      <c r="S103" s="24" t="s">
        <v>2148</v>
      </c>
      <c r="T103" s="24" t="s">
        <v>61</v>
      </c>
      <c r="U103" s="24" t="s">
        <v>332</v>
      </c>
      <c r="V103" s="24">
        <v>9271420931</v>
      </c>
      <c r="W103" s="24" t="s">
        <v>2100</v>
      </c>
      <c r="X103" s="34">
        <v>24</v>
      </c>
      <c r="Y103" s="24" t="s">
        <v>2108</v>
      </c>
      <c r="Z103" s="30">
        <v>46741</v>
      </c>
      <c r="AA103" s="24" t="s">
        <v>2171</v>
      </c>
      <c r="AB103" s="136" t="str">
        <f t="shared" si="1"/>
        <v>Silver</v>
      </c>
    </row>
    <row r="104" spans="1:28">
      <c r="A104" s="24" t="s">
        <v>614</v>
      </c>
      <c r="B104" s="24" t="s">
        <v>327</v>
      </c>
      <c r="C104" s="24" t="s">
        <v>92</v>
      </c>
      <c r="D104" s="30">
        <v>46149</v>
      </c>
      <c r="E104" s="30" t="s">
        <v>615</v>
      </c>
      <c r="F104" s="24" t="s">
        <v>394</v>
      </c>
      <c r="G104" s="24" t="s">
        <v>76</v>
      </c>
      <c r="H104" s="30" t="s">
        <v>331</v>
      </c>
      <c r="I104" s="24" t="s">
        <v>114</v>
      </c>
      <c r="J104" s="24" t="s">
        <v>106</v>
      </c>
      <c r="K104" s="24" t="s">
        <v>2109</v>
      </c>
      <c r="L104" s="24" t="s">
        <v>32</v>
      </c>
      <c r="M104" s="24" t="s">
        <v>97</v>
      </c>
      <c r="N104" s="24">
        <v>16</v>
      </c>
      <c r="O104" s="36">
        <v>2625</v>
      </c>
      <c r="P104" s="35">
        <v>0</v>
      </c>
      <c r="Q104" s="36">
        <v>42000</v>
      </c>
      <c r="R104" s="34">
        <v>2</v>
      </c>
      <c r="S104" s="24" t="s">
        <v>79</v>
      </c>
      <c r="T104" s="24" t="s">
        <v>49</v>
      </c>
      <c r="U104" s="24" t="s">
        <v>332</v>
      </c>
      <c r="V104" s="24">
        <v>9781411370</v>
      </c>
      <c r="W104" s="24" t="s">
        <v>2101</v>
      </c>
      <c r="X104" s="34">
        <v>6</v>
      </c>
      <c r="Y104" s="24" t="s">
        <v>2108</v>
      </c>
      <c r="Z104" s="30">
        <v>46341</v>
      </c>
      <c r="AA104" s="24" t="s">
        <v>2171</v>
      </c>
      <c r="AB104" s="136" t="str">
        <f t="shared" si="1"/>
        <v>Blacklisted</v>
      </c>
    </row>
    <row r="105" spans="1:28">
      <c r="A105" s="24" t="s">
        <v>618</v>
      </c>
      <c r="B105" s="24" t="s">
        <v>251</v>
      </c>
      <c r="C105" s="24" t="s">
        <v>259</v>
      </c>
      <c r="D105" s="30">
        <v>45670</v>
      </c>
      <c r="E105" s="30" t="s">
        <v>620</v>
      </c>
      <c r="F105" s="24" t="s">
        <v>254</v>
      </c>
      <c r="G105" s="24" t="s">
        <v>28</v>
      </c>
      <c r="H105" s="30" t="s">
        <v>255</v>
      </c>
      <c r="I105" s="24" t="s">
        <v>114</v>
      </c>
      <c r="J105" s="24" t="s">
        <v>106</v>
      </c>
      <c r="K105" s="24" t="s">
        <v>2111</v>
      </c>
      <c r="L105" s="24" t="s">
        <v>122</v>
      </c>
      <c r="M105" s="24" t="s">
        <v>263</v>
      </c>
      <c r="N105" s="24">
        <v>5</v>
      </c>
      <c r="O105" s="36">
        <v>33.75</v>
      </c>
      <c r="P105" s="35">
        <v>0.2</v>
      </c>
      <c r="Q105" s="36">
        <v>135</v>
      </c>
      <c r="R105" s="34">
        <v>3</v>
      </c>
      <c r="S105" s="24" t="s">
        <v>79</v>
      </c>
      <c r="T105" s="24" t="s">
        <v>35</v>
      </c>
      <c r="U105" s="24" t="s">
        <v>256</v>
      </c>
      <c r="V105" s="24">
        <v>9584152818</v>
      </c>
      <c r="W105" s="24" t="s">
        <v>2100</v>
      </c>
      <c r="X105" s="34">
        <v>12</v>
      </c>
      <c r="Y105" s="24" t="s">
        <v>2112</v>
      </c>
      <c r="Z105" s="30">
        <v>46042</v>
      </c>
      <c r="AA105" s="24" t="s">
        <v>2173</v>
      </c>
      <c r="AB105" s="136" t="str">
        <f t="shared" si="1"/>
        <v>Silver</v>
      </c>
    </row>
    <row r="106" spans="1:28">
      <c r="A106" s="24" t="s">
        <v>623</v>
      </c>
      <c r="B106" s="24" t="s">
        <v>83</v>
      </c>
      <c r="C106" s="24" t="s">
        <v>222</v>
      </c>
      <c r="D106" s="30">
        <v>45733</v>
      </c>
      <c r="E106" s="30" t="s">
        <v>525</v>
      </c>
      <c r="F106" s="24" t="s">
        <v>180</v>
      </c>
      <c r="G106" s="24" t="s">
        <v>76</v>
      </c>
      <c r="H106" s="30" t="s">
        <v>87</v>
      </c>
      <c r="I106" s="24" t="s">
        <v>30</v>
      </c>
      <c r="J106" s="24" t="s">
        <v>31</v>
      </c>
      <c r="K106" s="24" t="s">
        <v>2109</v>
      </c>
      <c r="L106" s="24" t="s">
        <v>122</v>
      </c>
      <c r="M106" s="24" t="s">
        <v>227</v>
      </c>
      <c r="N106" s="24">
        <v>9</v>
      </c>
      <c r="O106" s="36">
        <v>15</v>
      </c>
      <c r="P106" s="35">
        <v>0.1</v>
      </c>
      <c r="Q106" s="36">
        <v>121.5</v>
      </c>
      <c r="R106" s="34">
        <v>4</v>
      </c>
      <c r="S106" s="24" t="s">
        <v>79</v>
      </c>
      <c r="T106" s="24" t="s">
        <v>35</v>
      </c>
      <c r="U106" s="24" t="s">
        <v>89</v>
      </c>
      <c r="V106" s="24">
        <v>9507986836</v>
      </c>
      <c r="W106" s="24" t="s">
        <v>2103</v>
      </c>
      <c r="X106" s="34">
        <v>12</v>
      </c>
      <c r="Y106" s="24" t="s">
        <v>2108</v>
      </c>
      <c r="Z106" s="30">
        <v>46099</v>
      </c>
      <c r="AA106" s="24" t="s">
        <v>2174</v>
      </c>
      <c r="AB106" s="136" t="str">
        <f t="shared" si="1"/>
        <v>Silver</v>
      </c>
    </row>
    <row r="107" spans="1:28">
      <c r="A107" s="24" t="s">
        <v>627</v>
      </c>
      <c r="B107" s="24" t="s">
        <v>53</v>
      </c>
      <c r="C107" s="24" t="s">
        <v>72</v>
      </c>
      <c r="D107" s="30">
        <v>45713</v>
      </c>
      <c r="E107" s="30" t="s">
        <v>431</v>
      </c>
      <c r="F107" s="24" t="s">
        <v>163</v>
      </c>
      <c r="G107" s="24" t="s">
        <v>28</v>
      </c>
      <c r="H107" s="30" t="s">
        <v>58</v>
      </c>
      <c r="I107" s="24" t="s">
        <v>59</v>
      </c>
      <c r="J107" s="24" t="s">
        <v>31</v>
      </c>
      <c r="K107" s="24" t="s">
        <v>2111</v>
      </c>
      <c r="L107" s="24" t="s">
        <v>46</v>
      </c>
      <c r="M107" s="24" t="s">
        <v>78</v>
      </c>
      <c r="N107" s="24">
        <v>9</v>
      </c>
      <c r="O107" s="36">
        <v>900</v>
      </c>
      <c r="P107" s="35">
        <v>0.05</v>
      </c>
      <c r="Q107" s="36">
        <v>7695</v>
      </c>
      <c r="R107" s="34">
        <v>3</v>
      </c>
      <c r="S107" s="24" t="s">
        <v>2149</v>
      </c>
      <c r="T107" s="24" t="s">
        <v>35</v>
      </c>
      <c r="U107" s="24" t="s">
        <v>62</v>
      </c>
      <c r="V107" s="24">
        <v>9518249687</v>
      </c>
      <c r="W107" s="24" t="s">
        <v>2100</v>
      </c>
      <c r="X107" s="34">
        <v>6</v>
      </c>
      <c r="Y107" s="24" t="s">
        <v>2108</v>
      </c>
      <c r="Z107" s="30">
        <v>45901</v>
      </c>
      <c r="AA107" s="24" t="s">
        <v>2172</v>
      </c>
      <c r="AB107" s="136" t="str">
        <f t="shared" si="1"/>
        <v>Silver</v>
      </c>
    </row>
    <row r="108" spans="1:28">
      <c r="A108" s="24" t="s">
        <v>631</v>
      </c>
      <c r="B108" s="24" t="s">
        <v>100</v>
      </c>
      <c r="C108" s="24" t="s">
        <v>92</v>
      </c>
      <c r="D108" s="30">
        <v>45714</v>
      </c>
      <c r="E108" s="30" t="s">
        <v>632</v>
      </c>
      <c r="F108" s="24" t="s">
        <v>103</v>
      </c>
      <c r="G108" s="24" t="s">
        <v>28</v>
      </c>
      <c r="H108" s="30" t="s">
        <v>104</v>
      </c>
      <c r="I108" s="24" t="s">
        <v>105</v>
      </c>
      <c r="J108" s="24" t="s">
        <v>106</v>
      </c>
      <c r="K108" s="24" t="s">
        <v>2111</v>
      </c>
      <c r="L108" s="24" t="s">
        <v>32</v>
      </c>
      <c r="M108" s="24" t="s">
        <v>97</v>
      </c>
      <c r="N108" s="24">
        <v>3</v>
      </c>
      <c r="O108" s="36">
        <v>2625</v>
      </c>
      <c r="P108" s="35">
        <v>0.1</v>
      </c>
      <c r="Q108" s="36">
        <v>7087.5</v>
      </c>
      <c r="R108" s="34">
        <v>2</v>
      </c>
      <c r="S108" s="24" t="s">
        <v>79</v>
      </c>
      <c r="T108" s="24" t="s">
        <v>151</v>
      </c>
      <c r="U108" s="24" t="s">
        <v>144</v>
      </c>
      <c r="V108" s="24">
        <v>9179328207</v>
      </c>
      <c r="W108" s="24" t="s">
        <v>2101</v>
      </c>
      <c r="X108" s="34">
        <v>6</v>
      </c>
      <c r="Y108" s="24" t="s">
        <v>2110</v>
      </c>
      <c r="Z108" s="30">
        <v>45896</v>
      </c>
      <c r="AA108" s="24" t="s">
        <v>2175</v>
      </c>
      <c r="AB108" s="136" t="str">
        <f t="shared" si="1"/>
        <v>Blacklisted</v>
      </c>
    </row>
    <row r="109" spans="1:28">
      <c r="A109" s="24" t="s">
        <v>635</v>
      </c>
      <c r="B109" s="24" t="s">
        <v>221</v>
      </c>
      <c r="C109" s="24" t="s">
        <v>72</v>
      </c>
      <c r="D109" s="30">
        <v>46094</v>
      </c>
      <c r="E109" s="30" t="s">
        <v>636</v>
      </c>
      <c r="F109" s="24" t="s">
        <v>225</v>
      </c>
      <c r="G109" s="24" t="s">
        <v>76</v>
      </c>
      <c r="H109" s="30" t="s">
        <v>226</v>
      </c>
      <c r="I109" s="24" t="s">
        <v>105</v>
      </c>
      <c r="J109" s="24" t="s">
        <v>106</v>
      </c>
      <c r="K109" s="24" t="s">
        <v>2113</v>
      </c>
      <c r="L109" s="24" t="s">
        <v>46</v>
      </c>
      <c r="M109" s="24" t="s">
        <v>78</v>
      </c>
      <c r="N109" s="24">
        <v>6</v>
      </c>
      <c r="O109" s="36">
        <v>900</v>
      </c>
      <c r="P109" s="35">
        <v>0.15</v>
      </c>
      <c r="Q109" s="36">
        <v>4590</v>
      </c>
      <c r="R109" s="34">
        <v>4</v>
      </c>
      <c r="S109" s="24" t="s">
        <v>2149</v>
      </c>
      <c r="T109" s="24" t="s">
        <v>35</v>
      </c>
      <c r="U109" s="24" t="s">
        <v>228</v>
      </c>
      <c r="V109" s="24">
        <v>9778490728</v>
      </c>
      <c r="W109" s="24" t="s">
        <v>2100</v>
      </c>
      <c r="X109" s="34">
        <v>6</v>
      </c>
      <c r="Y109" s="24" t="s">
        <v>2112</v>
      </c>
      <c r="Z109" s="30">
        <v>46283</v>
      </c>
      <c r="AA109" s="24" t="s">
        <v>2171</v>
      </c>
      <c r="AB109" s="136" t="str">
        <f t="shared" si="1"/>
        <v>Silver</v>
      </c>
    </row>
    <row r="110" spans="1:28">
      <c r="A110" s="24" t="s">
        <v>639</v>
      </c>
      <c r="B110" s="24" t="s">
        <v>83</v>
      </c>
      <c r="C110" s="24" t="s">
        <v>72</v>
      </c>
      <c r="D110" s="30">
        <v>45848</v>
      </c>
      <c r="E110" s="30" t="s">
        <v>641</v>
      </c>
      <c r="F110" s="24" t="s">
        <v>180</v>
      </c>
      <c r="G110" s="24" t="s">
        <v>76</v>
      </c>
      <c r="H110" s="30" t="s">
        <v>87</v>
      </c>
      <c r="I110" s="24" t="s">
        <v>30</v>
      </c>
      <c r="J110" s="24" t="s">
        <v>31</v>
      </c>
      <c r="K110" s="24" t="s">
        <v>2109</v>
      </c>
      <c r="L110" s="24" t="s">
        <v>46</v>
      </c>
      <c r="M110" s="24" t="s">
        <v>78</v>
      </c>
      <c r="N110" s="24">
        <v>17</v>
      </c>
      <c r="O110" s="36">
        <v>900</v>
      </c>
      <c r="P110" s="35">
        <v>0.15</v>
      </c>
      <c r="Q110" s="36">
        <v>13005</v>
      </c>
      <c r="R110" s="34">
        <v>1</v>
      </c>
      <c r="S110" s="24" t="s">
        <v>34</v>
      </c>
      <c r="T110" s="24" t="s">
        <v>61</v>
      </c>
      <c r="U110" s="24" t="s">
        <v>89</v>
      </c>
      <c r="V110" s="24">
        <v>9223058722</v>
      </c>
      <c r="W110" s="24" t="s">
        <v>2100</v>
      </c>
      <c r="X110" s="34">
        <v>6</v>
      </c>
      <c r="Y110" s="24" t="s">
        <v>2108</v>
      </c>
      <c r="Z110" s="30">
        <v>46034</v>
      </c>
      <c r="AA110" s="24" t="s">
        <v>2174</v>
      </c>
      <c r="AB110" s="136" t="str">
        <f t="shared" si="1"/>
        <v>Blacklisted</v>
      </c>
    </row>
    <row r="111" spans="1:28">
      <c r="A111" s="24" t="s">
        <v>644</v>
      </c>
      <c r="B111" s="24" t="s">
        <v>221</v>
      </c>
      <c r="C111" s="24" t="s">
        <v>169</v>
      </c>
      <c r="D111" s="30">
        <v>45979</v>
      </c>
      <c r="E111" s="30" t="s">
        <v>287</v>
      </c>
      <c r="F111" s="24" t="s">
        <v>225</v>
      </c>
      <c r="G111" s="24" t="s">
        <v>76</v>
      </c>
      <c r="H111" s="30" t="s">
        <v>226</v>
      </c>
      <c r="I111" s="24" t="s">
        <v>105</v>
      </c>
      <c r="J111" s="24" t="s">
        <v>106</v>
      </c>
      <c r="K111" s="24" t="s">
        <v>2113</v>
      </c>
      <c r="L111" s="24" t="s">
        <v>32</v>
      </c>
      <c r="M111" s="24" t="s">
        <v>174</v>
      </c>
      <c r="N111" s="24">
        <v>15</v>
      </c>
      <c r="O111" s="36">
        <v>6375</v>
      </c>
      <c r="P111" s="35">
        <v>0</v>
      </c>
      <c r="Q111" s="36">
        <v>95625</v>
      </c>
      <c r="R111" s="34">
        <v>3</v>
      </c>
      <c r="S111" s="24" t="s">
        <v>34</v>
      </c>
      <c r="T111" s="24" t="s">
        <v>115</v>
      </c>
      <c r="U111" s="24" t="s">
        <v>228</v>
      </c>
      <c r="V111" s="24">
        <v>9999889465</v>
      </c>
      <c r="W111" s="24" t="s">
        <v>2100</v>
      </c>
      <c r="X111" s="34">
        <v>24</v>
      </c>
      <c r="Y111" s="24" t="s">
        <v>2112</v>
      </c>
      <c r="Z111" s="30">
        <v>46717</v>
      </c>
      <c r="AA111" s="24" t="s">
        <v>2171</v>
      </c>
      <c r="AB111" s="136" t="str">
        <f t="shared" si="1"/>
        <v>Gold</v>
      </c>
    </row>
    <row r="112" spans="1:28">
      <c r="A112" s="24" t="s">
        <v>648</v>
      </c>
      <c r="B112" s="24" t="s">
        <v>127</v>
      </c>
      <c r="C112" s="24" t="s">
        <v>72</v>
      </c>
      <c r="D112" s="30">
        <v>45760</v>
      </c>
      <c r="E112" s="30" t="s">
        <v>102</v>
      </c>
      <c r="F112" s="24" t="s">
        <v>200</v>
      </c>
      <c r="G112" s="24" t="s">
        <v>76</v>
      </c>
      <c r="H112" s="30" t="s">
        <v>131</v>
      </c>
      <c r="I112" s="24" t="s">
        <v>44</v>
      </c>
      <c r="J112" s="24" t="s">
        <v>45</v>
      </c>
      <c r="K112" s="24" t="s">
        <v>2113</v>
      </c>
      <c r="L112" s="24" t="s">
        <v>46</v>
      </c>
      <c r="M112" s="24" t="s">
        <v>78</v>
      </c>
      <c r="N112" s="24">
        <v>1</v>
      </c>
      <c r="O112" s="36">
        <v>900</v>
      </c>
      <c r="P112" s="35">
        <v>0.2</v>
      </c>
      <c r="Q112" s="36">
        <v>720</v>
      </c>
      <c r="R112" s="34">
        <v>1</v>
      </c>
      <c r="S112" s="24" t="s">
        <v>2149</v>
      </c>
      <c r="T112" s="24" t="s">
        <v>115</v>
      </c>
      <c r="U112" s="24" t="s">
        <v>132</v>
      </c>
      <c r="V112" s="24">
        <v>9489687402</v>
      </c>
      <c r="W112" s="24" t="s">
        <v>2100</v>
      </c>
      <c r="X112" s="34">
        <v>6</v>
      </c>
      <c r="Y112" s="24" t="s">
        <v>2112</v>
      </c>
      <c r="Z112" s="30">
        <v>45949</v>
      </c>
      <c r="AA112" s="24" t="s">
        <v>2176</v>
      </c>
      <c r="AB112" s="136" t="str">
        <f t="shared" si="1"/>
        <v>Blacklisted</v>
      </c>
    </row>
    <row r="113" spans="1:28">
      <c r="A113" s="24" t="s">
        <v>651</v>
      </c>
      <c r="B113" s="24" t="s">
        <v>127</v>
      </c>
      <c r="C113" s="24" t="s">
        <v>169</v>
      </c>
      <c r="D113" s="30">
        <v>45756</v>
      </c>
      <c r="E113" s="30" t="s">
        <v>539</v>
      </c>
      <c r="F113" s="24" t="s">
        <v>200</v>
      </c>
      <c r="G113" s="24" t="s">
        <v>76</v>
      </c>
      <c r="H113" s="30" t="s">
        <v>131</v>
      </c>
      <c r="I113" s="24" t="s">
        <v>44</v>
      </c>
      <c r="J113" s="24" t="s">
        <v>45</v>
      </c>
      <c r="K113" s="24" t="s">
        <v>2113</v>
      </c>
      <c r="L113" s="24" t="s">
        <v>32</v>
      </c>
      <c r="M113" s="24" t="s">
        <v>174</v>
      </c>
      <c r="N113" s="24">
        <v>5</v>
      </c>
      <c r="O113" s="36">
        <v>6375</v>
      </c>
      <c r="P113" s="35">
        <v>0.1</v>
      </c>
      <c r="Q113" s="36">
        <v>28687.5</v>
      </c>
      <c r="R113" s="34">
        <v>1</v>
      </c>
      <c r="S113" s="24" t="s">
        <v>79</v>
      </c>
      <c r="T113" s="24" t="s">
        <v>61</v>
      </c>
      <c r="U113" s="24" t="s">
        <v>132</v>
      </c>
      <c r="V113" s="24">
        <v>9236963301</v>
      </c>
      <c r="W113" s="24" t="s">
        <v>2100</v>
      </c>
      <c r="X113" s="34">
        <v>24</v>
      </c>
      <c r="Y113" s="24" t="s">
        <v>2112</v>
      </c>
      <c r="Z113" s="30">
        <v>46495</v>
      </c>
      <c r="AA113" s="24" t="s">
        <v>2176</v>
      </c>
      <c r="AB113" s="136" t="str">
        <f t="shared" si="1"/>
        <v>Blacklisted</v>
      </c>
    </row>
    <row r="114" spans="1:28">
      <c r="A114" s="24" t="s">
        <v>655</v>
      </c>
      <c r="B114" s="24" t="s">
        <v>53</v>
      </c>
      <c r="C114" s="24" t="s">
        <v>259</v>
      </c>
      <c r="D114" s="30">
        <v>46115</v>
      </c>
      <c r="E114" s="30" t="s">
        <v>657</v>
      </c>
      <c r="F114" s="24" t="s">
        <v>163</v>
      </c>
      <c r="G114" s="24" t="s">
        <v>28</v>
      </c>
      <c r="H114" s="30" t="s">
        <v>58</v>
      </c>
      <c r="I114" s="24" t="s">
        <v>59</v>
      </c>
      <c r="J114" s="24" t="s">
        <v>31</v>
      </c>
      <c r="K114" s="24" t="s">
        <v>2111</v>
      </c>
      <c r="L114" s="24" t="s">
        <v>122</v>
      </c>
      <c r="M114" s="24" t="s">
        <v>263</v>
      </c>
      <c r="N114" s="24">
        <v>12</v>
      </c>
      <c r="O114" s="36">
        <v>33.75</v>
      </c>
      <c r="P114" s="35">
        <v>0.05</v>
      </c>
      <c r="Q114" s="36">
        <v>384.75</v>
      </c>
      <c r="R114" s="34">
        <v>2</v>
      </c>
      <c r="S114" s="24" t="s">
        <v>2148</v>
      </c>
      <c r="T114" s="24" t="s">
        <v>35</v>
      </c>
      <c r="U114" s="24" t="s">
        <v>62</v>
      </c>
      <c r="V114" s="24">
        <v>9653594592</v>
      </c>
      <c r="W114" s="24" t="s">
        <v>2100</v>
      </c>
      <c r="X114" s="34">
        <v>12</v>
      </c>
      <c r="Y114" s="24" t="s">
        <v>2108</v>
      </c>
      <c r="Z114" s="30">
        <v>46487</v>
      </c>
      <c r="AA114" s="24" t="s">
        <v>2172</v>
      </c>
      <c r="AB114" s="136" t="str">
        <f t="shared" si="1"/>
        <v>Blacklisted</v>
      </c>
    </row>
    <row r="115" spans="1:28">
      <c r="A115" s="24" t="s">
        <v>660</v>
      </c>
      <c r="B115" s="24" t="s">
        <v>221</v>
      </c>
      <c r="C115" s="24" t="s">
        <v>118</v>
      </c>
      <c r="D115" s="30">
        <v>45953</v>
      </c>
      <c r="E115" s="30" t="s">
        <v>661</v>
      </c>
      <c r="F115" s="24" t="s">
        <v>225</v>
      </c>
      <c r="G115" s="24" t="s">
        <v>76</v>
      </c>
      <c r="H115" s="30" t="s">
        <v>226</v>
      </c>
      <c r="I115" s="24" t="s">
        <v>105</v>
      </c>
      <c r="J115" s="24" t="s">
        <v>106</v>
      </c>
      <c r="K115" s="24" t="s">
        <v>2113</v>
      </c>
      <c r="L115" s="24" t="s">
        <v>122</v>
      </c>
      <c r="M115" s="24" t="s">
        <v>123</v>
      </c>
      <c r="N115" s="24">
        <v>5</v>
      </c>
      <c r="O115" s="36">
        <v>45</v>
      </c>
      <c r="P115" s="35">
        <v>0.05</v>
      </c>
      <c r="Q115" s="36">
        <v>213.75</v>
      </c>
      <c r="R115" s="34">
        <v>2</v>
      </c>
      <c r="S115" s="24" t="s">
        <v>34</v>
      </c>
      <c r="T115" s="24" t="s">
        <v>61</v>
      </c>
      <c r="U115" s="24" t="s">
        <v>228</v>
      </c>
      <c r="V115" s="24">
        <v>9781970426</v>
      </c>
      <c r="W115" s="24" t="s">
        <v>2102</v>
      </c>
      <c r="X115" s="34">
        <v>12</v>
      </c>
      <c r="Y115" s="24" t="s">
        <v>2112</v>
      </c>
      <c r="Z115" s="30">
        <v>46323</v>
      </c>
      <c r="AA115" s="24" t="s">
        <v>2171</v>
      </c>
      <c r="AB115" s="136" t="str">
        <f t="shared" si="1"/>
        <v>Blacklisted</v>
      </c>
    </row>
    <row r="116" spans="1:28">
      <c r="A116" s="24" t="s">
        <v>664</v>
      </c>
      <c r="B116" s="24" t="s">
        <v>53</v>
      </c>
      <c r="C116" s="24" t="s">
        <v>184</v>
      </c>
      <c r="D116" s="30">
        <v>45750</v>
      </c>
      <c r="E116" s="30" t="s">
        <v>666</v>
      </c>
      <c r="F116" s="24" t="s">
        <v>163</v>
      </c>
      <c r="G116" s="24" t="s">
        <v>28</v>
      </c>
      <c r="H116" s="30" t="s">
        <v>58</v>
      </c>
      <c r="I116" s="24" t="s">
        <v>59</v>
      </c>
      <c r="J116" s="24" t="s">
        <v>31</v>
      </c>
      <c r="K116" s="24" t="s">
        <v>2111</v>
      </c>
      <c r="L116" s="24" t="s">
        <v>46</v>
      </c>
      <c r="M116" s="24" t="s">
        <v>189</v>
      </c>
      <c r="N116" s="24">
        <v>3</v>
      </c>
      <c r="O116" s="36">
        <v>525</v>
      </c>
      <c r="P116" s="35">
        <v>0</v>
      </c>
      <c r="Q116" s="36">
        <v>1575</v>
      </c>
      <c r="R116" s="34">
        <v>4</v>
      </c>
      <c r="S116" s="24" t="s">
        <v>79</v>
      </c>
      <c r="T116" s="24" t="s">
        <v>61</v>
      </c>
      <c r="U116" s="24" t="s">
        <v>62</v>
      </c>
      <c r="V116" s="24">
        <v>9862165194</v>
      </c>
      <c r="W116" s="24" t="s">
        <v>2100</v>
      </c>
      <c r="X116" s="34">
        <v>24</v>
      </c>
      <c r="Y116" s="24" t="s">
        <v>2108</v>
      </c>
      <c r="Z116" s="30">
        <v>46491</v>
      </c>
      <c r="AA116" s="24" t="s">
        <v>2172</v>
      </c>
      <c r="AB116" s="136" t="str">
        <f t="shared" si="1"/>
        <v>Silver</v>
      </c>
    </row>
    <row r="117" spans="1:28">
      <c r="A117" s="24" t="s">
        <v>669</v>
      </c>
      <c r="B117" s="24" t="s">
        <v>168</v>
      </c>
      <c r="C117" s="24" t="s">
        <v>222</v>
      </c>
      <c r="D117" s="30">
        <v>45772</v>
      </c>
      <c r="E117" s="30" t="s">
        <v>606</v>
      </c>
      <c r="F117" s="24" t="s">
        <v>361</v>
      </c>
      <c r="G117" s="24" t="s">
        <v>28</v>
      </c>
      <c r="H117" s="30" t="s">
        <v>173</v>
      </c>
      <c r="I117" s="24" t="s">
        <v>114</v>
      </c>
      <c r="J117" s="24" t="s">
        <v>106</v>
      </c>
      <c r="K117" s="24" t="s">
        <v>2111</v>
      </c>
      <c r="L117" s="24" t="s">
        <v>122</v>
      </c>
      <c r="M117" s="24" t="s">
        <v>227</v>
      </c>
      <c r="N117" s="24">
        <v>6</v>
      </c>
      <c r="O117" s="36">
        <v>15</v>
      </c>
      <c r="P117" s="35">
        <v>0.15</v>
      </c>
      <c r="Q117" s="36">
        <v>76.5</v>
      </c>
      <c r="R117" s="34">
        <v>5</v>
      </c>
      <c r="S117" s="24" t="s">
        <v>79</v>
      </c>
      <c r="T117" s="24" t="s">
        <v>151</v>
      </c>
      <c r="U117" s="24" t="s">
        <v>175</v>
      </c>
      <c r="V117" s="24">
        <v>9661280388</v>
      </c>
      <c r="W117" s="24" t="s">
        <v>2103</v>
      </c>
      <c r="X117" s="34">
        <v>12</v>
      </c>
      <c r="Y117" s="24" t="s">
        <v>2112</v>
      </c>
      <c r="Z117" s="30">
        <v>46141</v>
      </c>
      <c r="AA117" s="24" t="s">
        <v>2177</v>
      </c>
      <c r="AB117" s="136" t="str">
        <f t="shared" si="1"/>
        <v>Silver</v>
      </c>
    </row>
    <row r="118" spans="1:28">
      <c r="A118" s="24" t="s">
        <v>672</v>
      </c>
      <c r="B118" s="24" t="s">
        <v>100</v>
      </c>
      <c r="C118" s="24" t="s">
        <v>184</v>
      </c>
      <c r="D118" s="30">
        <v>45893</v>
      </c>
      <c r="E118" s="30" t="s">
        <v>674</v>
      </c>
      <c r="F118" s="24" t="s">
        <v>103</v>
      </c>
      <c r="G118" s="24" t="s">
        <v>28</v>
      </c>
      <c r="H118" s="30" t="s">
        <v>104</v>
      </c>
      <c r="I118" s="24" t="s">
        <v>105</v>
      </c>
      <c r="J118" s="24" t="s">
        <v>106</v>
      </c>
      <c r="K118" s="24" t="s">
        <v>2111</v>
      </c>
      <c r="L118" s="24" t="s">
        <v>46</v>
      </c>
      <c r="M118" s="24" t="s">
        <v>189</v>
      </c>
      <c r="N118" s="24">
        <v>2</v>
      </c>
      <c r="O118" s="36">
        <v>525</v>
      </c>
      <c r="P118" s="35">
        <v>0.15</v>
      </c>
      <c r="Q118" s="36">
        <v>892.5</v>
      </c>
      <c r="R118" s="34">
        <v>4</v>
      </c>
      <c r="S118" s="24" t="s">
        <v>34</v>
      </c>
      <c r="T118" s="24" t="s">
        <v>151</v>
      </c>
      <c r="U118" s="24" t="s">
        <v>144</v>
      </c>
      <c r="V118" s="24">
        <v>9896985355</v>
      </c>
      <c r="W118" s="24" t="s">
        <v>2100</v>
      </c>
      <c r="X118" s="34">
        <v>24</v>
      </c>
      <c r="Y118" s="24" t="s">
        <v>2110</v>
      </c>
      <c r="Z118" s="30">
        <v>46630</v>
      </c>
      <c r="AA118" s="24" t="s">
        <v>2175</v>
      </c>
      <c r="AB118" s="136" t="str">
        <f t="shared" si="1"/>
        <v>Silver</v>
      </c>
    </row>
    <row r="119" spans="1:28">
      <c r="A119" s="24" t="s">
        <v>677</v>
      </c>
      <c r="B119" s="24" t="s">
        <v>327</v>
      </c>
      <c r="C119" s="24" t="s">
        <v>259</v>
      </c>
      <c r="D119" s="30">
        <v>45808</v>
      </c>
      <c r="E119" s="30" t="s">
        <v>679</v>
      </c>
      <c r="F119" s="24" t="s">
        <v>394</v>
      </c>
      <c r="G119" s="24" t="s">
        <v>76</v>
      </c>
      <c r="H119" s="30" t="s">
        <v>331</v>
      </c>
      <c r="I119" s="24" t="s">
        <v>114</v>
      </c>
      <c r="J119" s="24" t="s">
        <v>106</v>
      </c>
      <c r="K119" s="24" t="s">
        <v>2109</v>
      </c>
      <c r="L119" s="24" t="s">
        <v>122</v>
      </c>
      <c r="M119" s="24" t="s">
        <v>263</v>
      </c>
      <c r="N119" s="24">
        <v>16</v>
      </c>
      <c r="O119" s="36">
        <v>33.75</v>
      </c>
      <c r="P119" s="35">
        <v>0</v>
      </c>
      <c r="Q119" s="36">
        <v>540</v>
      </c>
      <c r="R119" s="34">
        <v>1</v>
      </c>
      <c r="S119" s="24" t="s">
        <v>2148</v>
      </c>
      <c r="T119" s="24" t="s">
        <v>61</v>
      </c>
      <c r="U119" s="24" t="s">
        <v>332</v>
      </c>
      <c r="V119" s="24">
        <v>9807154421</v>
      </c>
      <c r="W119" s="24" t="s">
        <v>2100</v>
      </c>
      <c r="X119" s="34">
        <v>12</v>
      </c>
      <c r="Y119" s="24" t="s">
        <v>2108</v>
      </c>
      <c r="Z119" s="30">
        <v>46184</v>
      </c>
      <c r="AA119" s="24" t="s">
        <v>2171</v>
      </c>
      <c r="AB119" s="136" t="str">
        <f t="shared" si="1"/>
        <v>Blacklisted</v>
      </c>
    </row>
    <row r="120" spans="1:28">
      <c r="A120" s="24" t="s">
        <v>682</v>
      </c>
      <c r="B120" s="24" t="s">
        <v>71</v>
      </c>
      <c r="C120" s="24" t="s">
        <v>72</v>
      </c>
      <c r="D120" s="30">
        <v>45807</v>
      </c>
      <c r="E120" s="30" t="s">
        <v>684</v>
      </c>
      <c r="F120" s="24" t="s">
        <v>217</v>
      </c>
      <c r="G120" s="24" t="s">
        <v>76</v>
      </c>
      <c r="H120" s="30" t="s">
        <v>77</v>
      </c>
      <c r="I120" s="24" t="s">
        <v>44</v>
      </c>
      <c r="J120" s="24" t="s">
        <v>45</v>
      </c>
      <c r="K120" s="24" t="s">
        <v>2114</v>
      </c>
      <c r="L120" s="24" t="s">
        <v>46</v>
      </c>
      <c r="M120" s="24" t="s">
        <v>78</v>
      </c>
      <c r="N120" s="24">
        <v>10</v>
      </c>
      <c r="O120" s="36">
        <v>900</v>
      </c>
      <c r="P120" s="35">
        <v>0.15</v>
      </c>
      <c r="Q120" s="36">
        <v>7650</v>
      </c>
      <c r="R120" s="34">
        <v>4</v>
      </c>
      <c r="S120" s="24" t="s">
        <v>2149</v>
      </c>
      <c r="T120" s="24" t="s">
        <v>151</v>
      </c>
      <c r="U120" s="24" t="s">
        <v>80</v>
      </c>
      <c r="V120" s="24">
        <v>9919834000</v>
      </c>
      <c r="W120" s="24" t="s">
        <v>2100</v>
      </c>
      <c r="X120" s="34">
        <v>6</v>
      </c>
      <c r="Y120" s="24" t="s">
        <v>2110</v>
      </c>
      <c r="Z120" s="30">
        <v>45993</v>
      </c>
      <c r="AA120" s="24" t="s">
        <v>2173</v>
      </c>
      <c r="AB120" s="136" t="str">
        <f t="shared" si="1"/>
        <v>Silver</v>
      </c>
    </row>
    <row r="121" spans="1:28">
      <c r="A121" s="24" t="s">
        <v>688</v>
      </c>
      <c r="B121" s="24" t="s">
        <v>100</v>
      </c>
      <c r="C121" s="24" t="s">
        <v>40</v>
      </c>
      <c r="D121" s="30">
        <v>45888</v>
      </c>
      <c r="E121" s="30" t="s">
        <v>469</v>
      </c>
      <c r="F121" s="24" t="s">
        <v>103</v>
      </c>
      <c r="G121" s="24" t="s">
        <v>28</v>
      </c>
      <c r="H121" s="30" t="s">
        <v>104</v>
      </c>
      <c r="I121" s="24" t="s">
        <v>105</v>
      </c>
      <c r="J121" s="24" t="s">
        <v>106</v>
      </c>
      <c r="K121" s="24" t="s">
        <v>2111</v>
      </c>
      <c r="L121" s="24" t="s">
        <v>46</v>
      </c>
      <c r="M121" s="24" t="s">
        <v>47</v>
      </c>
      <c r="N121" s="24">
        <v>14</v>
      </c>
      <c r="O121" s="36">
        <v>9000</v>
      </c>
      <c r="P121" s="35">
        <v>0.15</v>
      </c>
      <c r="Q121" s="36">
        <v>107100</v>
      </c>
      <c r="R121" s="34">
        <v>2</v>
      </c>
      <c r="S121" s="24" t="s">
        <v>2148</v>
      </c>
      <c r="T121" s="24" t="s">
        <v>61</v>
      </c>
      <c r="U121" s="24" t="s">
        <v>144</v>
      </c>
      <c r="V121" s="24">
        <v>9739798818</v>
      </c>
      <c r="W121" s="24" t="s">
        <v>2101</v>
      </c>
      <c r="X121" s="34">
        <v>24</v>
      </c>
      <c r="Y121" s="24" t="s">
        <v>2110</v>
      </c>
      <c r="Z121" s="30">
        <v>46629</v>
      </c>
      <c r="AA121" s="24" t="s">
        <v>2175</v>
      </c>
      <c r="AB121" s="136" t="str">
        <f t="shared" si="1"/>
        <v>Blacklisted</v>
      </c>
    </row>
    <row r="122" spans="1:28">
      <c r="A122" s="24" t="s">
        <v>691</v>
      </c>
      <c r="B122" s="24" t="s">
        <v>127</v>
      </c>
      <c r="C122" s="24" t="s">
        <v>169</v>
      </c>
      <c r="D122" s="30">
        <v>46005</v>
      </c>
      <c r="E122" s="30" t="s">
        <v>692</v>
      </c>
      <c r="F122" s="24" t="s">
        <v>200</v>
      </c>
      <c r="G122" s="24" t="s">
        <v>76</v>
      </c>
      <c r="H122" s="30" t="s">
        <v>131</v>
      </c>
      <c r="I122" s="24" t="s">
        <v>44</v>
      </c>
      <c r="J122" s="24" t="s">
        <v>45</v>
      </c>
      <c r="K122" s="24" t="s">
        <v>2113</v>
      </c>
      <c r="L122" s="24" t="s">
        <v>32</v>
      </c>
      <c r="M122" s="24" t="s">
        <v>174</v>
      </c>
      <c r="N122" s="24">
        <v>8</v>
      </c>
      <c r="O122" s="36">
        <v>6375</v>
      </c>
      <c r="P122" s="35">
        <v>0.2</v>
      </c>
      <c r="Q122" s="36">
        <v>40800</v>
      </c>
      <c r="R122" s="34">
        <v>3</v>
      </c>
      <c r="S122" s="24" t="s">
        <v>79</v>
      </c>
      <c r="T122" s="24" t="s">
        <v>49</v>
      </c>
      <c r="U122" s="24" t="s">
        <v>132</v>
      </c>
      <c r="V122" s="24">
        <v>9208625306</v>
      </c>
      <c r="W122" s="24" t="s">
        <v>2100</v>
      </c>
      <c r="X122" s="34">
        <v>24</v>
      </c>
      <c r="Y122" s="24" t="s">
        <v>2112</v>
      </c>
      <c r="Z122" s="30">
        <v>46737</v>
      </c>
      <c r="AA122" s="24" t="s">
        <v>2176</v>
      </c>
      <c r="AB122" s="136" t="str">
        <f t="shared" si="1"/>
        <v>Silver</v>
      </c>
    </row>
    <row r="123" spans="1:28">
      <c r="A123" s="24" t="s">
        <v>695</v>
      </c>
      <c r="B123" s="24" t="s">
        <v>83</v>
      </c>
      <c r="C123" s="24" t="s">
        <v>259</v>
      </c>
      <c r="D123" s="30">
        <v>46053</v>
      </c>
      <c r="E123" s="30" t="s">
        <v>313</v>
      </c>
      <c r="F123" s="24" t="s">
        <v>180</v>
      </c>
      <c r="G123" s="24" t="s">
        <v>76</v>
      </c>
      <c r="H123" s="30" t="s">
        <v>87</v>
      </c>
      <c r="I123" s="24" t="s">
        <v>30</v>
      </c>
      <c r="J123" s="24" t="s">
        <v>31</v>
      </c>
      <c r="K123" s="24" t="s">
        <v>2109</v>
      </c>
      <c r="L123" s="24" t="s">
        <v>122</v>
      </c>
      <c r="M123" s="24" t="s">
        <v>263</v>
      </c>
      <c r="N123" s="24">
        <v>3</v>
      </c>
      <c r="O123" s="36">
        <v>33.75</v>
      </c>
      <c r="P123" s="35">
        <v>0</v>
      </c>
      <c r="Q123" s="36">
        <v>101.25</v>
      </c>
      <c r="R123" s="34">
        <v>4</v>
      </c>
      <c r="S123" s="24" t="s">
        <v>2149</v>
      </c>
      <c r="T123" s="24" t="s">
        <v>61</v>
      </c>
      <c r="U123" s="24" t="s">
        <v>89</v>
      </c>
      <c r="V123" s="24">
        <v>9970178536</v>
      </c>
      <c r="W123" s="24" t="s">
        <v>2100</v>
      </c>
      <c r="X123" s="34">
        <v>12</v>
      </c>
      <c r="Y123" s="24" t="s">
        <v>2108</v>
      </c>
      <c r="Z123" s="30">
        <v>46428</v>
      </c>
      <c r="AA123" s="24" t="s">
        <v>2174</v>
      </c>
      <c r="AB123" s="136" t="str">
        <f t="shared" si="1"/>
        <v>Silver</v>
      </c>
    </row>
    <row r="124" spans="1:28">
      <c r="A124" s="24" t="s">
        <v>698</v>
      </c>
      <c r="B124" s="24" t="s">
        <v>327</v>
      </c>
      <c r="C124" s="24" t="s">
        <v>184</v>
      </c>
      <c r="D124" s="30">
        <v>46025</v>
      </c>
      <c r="E124" s="30" t="s">
        <v>84</v>
      </c>
      <c r="F124" s="24" t="s">
        <v>394</v>
      </c>
      <c r="G124" s="24" t="s">
        <v>76</v>
      </c>
      <c r="H124" s="30" t="s">
        <v>331</v>
      </c>
      <c r="I124" s="24" t="s">
        <v>114</v>
      </c>
      <c r="J124" s="24" t="s">
        <v>106</v>
      </c>
      <c r="K124" s="24" t="s">
        <v>2109</v>
      </c>
      <c r="L124" s="24" t="s">
        <v>46</v>
      </c>
      <c r="M124" s="24" t="s">
        <v>189</v>
      </c>
      <c r="N124" s="24">
        <v>13</v>
      </c>
      <c r="O124" s="36">
        <v>525</v>
      </c>
      <c r="P124" s="35">
        <v>0.05</v>
      </c>
      <c r="Q124" s="36">
        <v>6483.75</v>
      </c>
      <c r="R124" s="34">
        <v>3</v>
      </c>
      <c r="S124" s="24" t="s">
        <v>79</v>
      </c>
      <c r="T124" s="24" t="s">
        <v>115</v>
      </c>
      <c r="U124" s="24" t="s">
        <v>332</v>
      </c>
      <c r="V124" s="24">
        <v>9633745195</v>
      </c>
      <c r="W124" s="24" t="s">
        <v>2100</v>
      </c>
      <c r="X124" s="34">
        <v>24</v>
      </c>
      <c r="Y124" s="24" t="s">
        <v>2108</v>
      </c>
      <c r="Z124" s="30">
        <v>46756</v>
      </c>
      <c r="AA124" s="24" t="s">
        <v>2171</v>
      </c>
      <c r="AB124" s="136" t="str">
        <f t="shared" si="1"/>
        <v>Silver</v>
      </c>
    </row>
    <row r="125" spans="1:28">
      <c r="A125" s="24" t="s">
        <v>701</v>
      </c>
      <c r="B125" s="24" t="s">
        <v>168</v>
      </c>
      <c r="C125" s="24" t="s">
        <v>72</v>
      </c>
      <c r="D125" s="30">
        <v>45950</v>
      </c>
      <c r="E125" s="30" t="s">
        <v>703</v>
      </c>
      <c r="F125" s="24" t="s">
        <v>361</v>
      </c>
      <c r="G125" s="24" t="s">
        <v>28</v>
      </c>
      <c r="H125" s="30" t="s">
        <v>173</v>
      </c>
      <c r="I125" s="24" t="s">
        <v>114</v>
      </c>
      <c r="J125" s="24" t="s">
        <v>106</v>
      </c>
      <c r="K125" s="24" t="s">
        <v>2111</v>
      </c>
      <c r="L125" s="24" t="s">
        <v>46</v>
      </c>
      <c r="M125" s="24" t="s">
        <v>78</v>
      </c>
      <c r="N125" s="24">
        <v>14</v>
      </c>
      <c r="O125" s="36">
        <v>900</v>
      </c>
      <c r="P125" s="35">
        <v>0.2</v>
      </c>
      <c r="Q125" s="36">
        <v>10080</v>
      </c>
      <c r="R125" s="34">
        <v>5</v>
      </c>
      <c r="S125" s="24" t="s">
        <v>2148</v>
      </c>
      <c r="T125" s="24" t="s">
        <v>61</v>
      </c>
      <c r="U125" s="24" t="s">
        <v>175</v>
      </c>
      <c r="V125" s="24">
        <v>9922102053</v>
      </c>
      <c r="W125" s="24" t="s">
        <v>2100</v>
      </c>
      <c r="X125" s="34">
        <v>6</v>
      </c>
      <c r="Y125" s="24" t="s">
        <v>2112</v>
      </c>
      <c r="Z125" s="30">
        <v>46138</v>
      </c>
      <c r="AA125" s="24" t="s">
        <v>2177</v>
      </c>
      <c r="AB125" s="136" t="str">
        <f t="shared" si="1"/>
        <v>Silver</v>
      </c>
    </row>
    <row r="126" spans="1:28">
      <c r="A126" s="24" t="s">
        <v>706</v>
      </c>
      <c r="B126" s="24" t="s">
        <v>100</v>
      </c>
      <c r="C126" s="24" t="s">
        <v>259</v>
      </c>
      <c r="D126" s="30">
        <v>45788</v>
      </c>
      <c r="E126" s="30" t="s">
        <v>707</v>
      </c>
      <c r="F126" s="24" t="s">
        <v>103</v>
      </c>
      <c r="G126" s="24" t="s">
        <v>28</v>
      </c>
      <c r="H126" s="30" t="s">
        <v>104</v>
      </c>
      <c r="I126" s="24" t="s">
        <v>105</v>
      </c>
      <c r="J126" s="24" t="s">
        <v>106</v>
      </c>
      <c r="K126" s="24" t="s">
        <v>2111</v>
      </c>
      <c r="L126" s="24" t="s">
        <v>122</v>
      </c>
      <c r="M126" s="24" t="s">
        <v>263</v>
      </c>
      <c r="N126" s="24">
        <v>2</v>
      </c>
      <c r="O126" s="36">
        <v>33.75</v>
      </c>
      <c r="P126" s="35">
        <v>0.05</v>
      </c>
      <c r="Q126" s="36">
        <v>64.125</v>
      </c>
      <c r="R126" s="34">
        <v>3</v>
      </c>
      <c r="S126" s="24" t="s">
        <v>2149</v>
      </c>
      <c r="T126" s="24" t="s">
        <v>35</v>
      </c>
      <c r="U126" s="24" t="s">
        <v>144</v>
      </c>
      <c r="V126" s="24">
        <v>9135963930</v>
      </c>
      <c r="W126" s="24" t="s">
        <v>2100</v>
      </c>
      <c r="X126" s="34">
        <v>12</v>
      </c>
      <c r="Y126" s="24" t="s">
        <v>2110</v>
      </c>
      <c r="Z126" s="30">
        <v>46163</v>
      </c>
      <c r="AA126" s="24" t="s">
        <v>2175</v>
      </c>
      <c r="AB126" s="136" t="str">
        <f t="shared" si="1"/>
        <v>Silver</v>
      </c>
    </row>
    <row r="127" spans="1:28">
      <c r="A127" s="24" t="s">
        <v>710</v>
      </c>
      <c r="B127" s="24" t="s">
        <v>168</v>
      </c>
      <c r="C127" s="24" t="s">
        <v>72</v>
      </c>
      <c r="D127" s="30">
        <v>46024</v>
      </c>
      <c r="E127" s="30" t="s">
        <v>712</v>
      </c>
      <c r="F127" s="24" t="s">
        <v>361</v>
      </c>
      <c r="G127" s="24" t="s">
        <v>28</v>
      </c>
      <c r="H127" s="30" t="s">
        <v>173</v>
      </c>
      <c r="I127" s="24" t="s">
        <v>114</v>
      </c>
      <c r="J127" s="24" t="s">
        <v>106</v>
      </c>
      <c r="K127" s="24" t="s">
        <v>2111</v>
      </c>
      <c r="L127" s="24" t="s">
        <v>46</v>
      </c>
      <c r="M127" s="24" t="s">
        <v>78</v>
      </c>
      <c r="N127" s="24">
        <v>2</v>
      </c>
      <c r="O127" s="36">
        <v>900</v>
      </c>
      <c r="P127" s="35">
        <v>0.2</v>
      </c>
      <c r="Q127" s="36">
        <v>1440</v>
      </c>
      <c r="R127" s="34">
        <v>3</v>
      </c>
      <c r="S127" s="24" t="s">
        <v>79</v>
      </c>
      <c r="T127" s="24" t="s">
        <v>115</v>
      </c>
      <c r="U127" s="24" t="s">
        <v>175</v>
      </c>
      <c r="V127" s="24">
        <v>9429405275</v>
      </c>
      <c r="W127" s="24" t="s">
        <v>2100</v>
      </c>
      <c r="X127" s="34">
        <v>6</v>
      </c>
      <c r="Y127" s="24" t="s">
        <v>2112</v>
      </c>
      <c r="Z127" s="30">
        <v>46209</v>
      </c>
      <c r="AA127" s="24" t="s">
        <v>2177</v>
      </c>
      <c r="AB127" s="136" t="str">
        <f t="shared" si="1"/>
        <v>Silver</v>
      </c>
    </row>
    <row r="128" spans="1:28">
      <c r="A128" s="24" t="s">
        <v>715</v>
      </c>
      <c r="B128" s="24" t="s">
        <v>127</v>
      </c>
      <c r="C128" s="24" t="s">
        <v>54</v>
      </c>
      <c r="D128" s="30">
        <v>46132</v>
      </c>
      <c r="E128" s="30" t="s">
        <v>716</v>
      </c>
      <c r="F128" s="24" t="s">
        <v>200</v>
      </c>
      <c r="G128" s="24" t="s">
        <v>76</v>
      </c>
      <c r="H128" s="30" t="s">
        <v>131</v>
      </c>
      <c r="I128" s="24" t="s">
        <v>44</v>
      </c>
      <c r="J128" s="24" t="s">
        <v>45</v>
      </c>
      <c r="K128" s="24" t="s">
        <v>2113</v>
      </c>
      <c r="L128" s="24" t="s">
        <v>46</v>
      </c>
      <c r="M128" s="24" t="s">
        <v>60</v>
      </c>
      <c r="N128" s="24">
        <v>10</v>
      </c>
      <c r="O128" s="36">
        <v>41250</v>
      </c>
      <c r="P128" s="35">
        <v>0.05</v>
      </c>
      <c r="Q128" s="36">
        <v>391875</v>
      </c>
      <c r="R128" s="34">
        <v>5</v>
      </c>
      <c r="S128" s="24" t="s">
        <v>2149</v>
      </c>
      <c r="T128" s="24" t="s">
        <v>61</v>
      </c>
      <c r="U128" s="24" t="s">
        <v>132</v>
      </c>
      <c r="V128" s="24">
        <v>9521757571</v>
      </c>
      <c r="W128" s="24" t="s">
        <v>2100</v>
      </c>
      <c r="X128" s="34">
        <v>12</v>
      </c>
      <c r="Y128" s="24" t="s">
        <v>2112</v>
      </c>
      <c r="Z128" s="30">
        <v>46503</v>
      </c>
      <c r="AA128" s="24" t="s">
        <v>2176</v>
      </c>
      <c r="AB128" s="136" t="str">
        <f t="shared" si="1"/>
        <v>Platinum</v>
      </c>
    </row>
    <row r="129" spans="1:28">
      <c r="A129" s="24" t="s">
        <v>719</v>
      </c>
      <c r="B129" s="24" t="s">
        <v>251</v>
      </c>
      <c r="C129" s="24" t="s">
        <v>92</v>
      </c>
      <c r="D129" s="30">
        <v>45873</v>
      </c>
      <c r="E129" s="30" t="s">
        <v>382</v>
      </c>
      <c r="F129" s="24" t="s">
        <v>254</v>
      </c>
      <c r="G129" s="24" t="s">
        <v>28</v>
      </c>
      <c r="H129" s="30" t="s">
        <v>255</v>
      </c>
      <c r="I129" s="24" t="s">
        <v>114</v>
      </c>
      <c r="J129" s="24" t="s">
        <v>106</v>
      </c>
      <c r="K129" s="24" t="s">
        <v>2111</v>
      </c>
      <c r="L129" s="24" t="s">
        <v>32</v>
      </c>
      <c r="M129" s="24" t="s">
        <v>97</v>
      </c>
      <c r="N129" s="24">
        <v>15</v>
      </c>
      <c r="O129" s="36">
        <v>2625</v>
      </c>
      <c r="P129" s="35">
        <v>0.1</v>
      </c>
      <c r="Q129" s="36">
        <v>35437.5</v>
      </c>
      <c r="R129" s="34">
        <v>3</v>
      </c>
      <c r="S129" s="24" t="s">
        <v>2148</v>
      </c>
      <c r="T129" s="24" t="s">
        <v>115</v>
      </c>
      <c r="U129" s="24" t="s">
        <v>256</v>
      </c>
      <c r="V129" s="24">
        <v>9467375455</v>
      </c>
      <c r="W129" s="24" t="s">
        <v>2101</v>
      </c>
      <c r="X129" s="34">
        <v>6</v>
      </c>
      <c r="Y129" s="24" t="s">
        <v>2112</v>
      </c>
      <c r="Z129" s="30">
        <v>46058</v>
      </c>
      <c r="AA129" s="24" t="s">
        <v>2173</v>
      </c>
      <c r="AB129" s="136" t="str">
        <f t="shared" si="1"/>
        <v>Silver</v>
      </c>
    </row>
    <row r="130" spans="1:28">
      <c r="A130" s="24" t="s">
        <v>723</v>
      </c>
      <c r="B130" s="24" t="s">
        <v>100</v>
      </c>
      <c r="C130" s="24" t="s">
        <v>24</v>
      </c>
      <c r="D130" s="30">
        <v>45882</v>
      </c>
      <c r="E130" s="30" t="s">
        <v>724</v>
      </c>
      <c r="F130" s="24" t="s">
        <v>103</v>
      </c>
      <c r="G130" s="24" t="s">
        <v>28</v>
      </c>
      <c r="H130" s="30" t="s">
        <v>104</v>
      </c>
      <c r="I130" s="24" t="s">
        <v>105</v>
      </c>
      <c r="J130" s="24" t="s">
        <v>106</v>
      </c>
      <c r="K130" s="24" t="s">
        <v>2111</v>
      </c>
      <c r="L130" s="24" t="s">
        <v>32</v>
      </c>
      <c r="M130" s="24" t="s">
        <v>33</v>
      </c>
      <c r="N130" s="24">
        <v>10</v>
      </c>
      <c r="O130" s="36">
        <v>1650</v>
      </c>
      <c r="P130" s="35">
        <v>0.15</v>
      </c>
      <c r="Q130" s="36">
        <v>14025</v>
      </c>
      <c r="R130" s="34">
        <v>4</v>
      </c>
      <c r="S130" s="24" t="s">
        <v>79</v>
      </c>
      <c r="T130" s="24" t="s">
        <v>49</v>
      </c>
      <c r="U130" s="24" t="s">
        <v>144</v>
      </c>
      <c r="V130" s="24">
        <v>9838809695</v>
      </c>
      <c r="W130" s="24" t="s">
        <v>2101</v>
      </c>
      <c r="X130" s="34">
        <v>24</v>
      </c>
      <c r="Y130" s="24" t="s">
        <v>2110</v>
      </c>
      <c r="Z130" s="30">
        <v>46617</v>
      </c>
      <c r="AA130" s="24" t="s">
        <v>2175</v>
      </c>
      <c r="AB130" s="136" t="str">
        <f t="shared" si="1"/>
        <v>Silver</v>
      </c>
    </row>
    <row r="131" spans="1:28">
      <c r="A131" s="24" t="s">
        <v>727</v>
      </c>
      <c r="B131" s="24" t="s">
        <v>251</v>
      </c>
      <c r="C131" s="24" t="s">
        <v>92</v>
      </c>
      <c r="D131" s="30">
        <v>45824</v>
      </c>
      <c r="E131" s="30" t="s">
        <v>231</v>
      </c>
      <c r="F131" s="24" t="s">
        <v>254</v>
      </c>
      <c r="G131" s="24" t="s">
        <v>28</v>
      </c>
      <c r="H131" s="30" t="s">
        <v>255</v>
      </c>
      <c r="I131" s="24" t="s">
        <v>114</v>
      </c>
      <c r="J131" s="24" t="s">
        <v>106</v>
      </c>
      <c r="K131" s="24" t="s">
        <v>2111</v>
      </c>
      <c r="L131" s="24" t="s">
        <v>32</v>
      </c>
      <c r="M131" s="24" t="s">
        <v>97</v>
      </c>
      <c r="N131" s="24">
        <v>11</v>
      </c>
      <c r="O131" s="36">
        <v>2625</v>
      </c>
      <c r="P131" s="35">
        <v>0.05</v>
      </c>
      <c r="Q131" s="36">
        <v>27431.25</v>
      </c>
      <c r="R131" s="34">
        <v>5</v>
      </c>
      <c r="S131" s="24" t="s">
        <v>34</v>
      </c>
      <c r="T131" s="24" t="s">
        <v>35</v>
      </c>
      <c r="U131" s="24" t="s">
        <v>256</v>
      </c>
      <c r="V131" s="24">
        <v>9296609782</v>
      </c>
      <c r="W131" s="24" t="s">
        <v>2101</v>
      </c>
      <c r="X131" s="34">
        <v>6</v>
      </c>
      <c r="Y131" s="24" t="s">
        <v>2112</v>
      </c>
      <c r="Z131" s="30">
        <v>46015</v>
      </c>
      <c r="AA131" s="24" t="s">
        <v>2173</v>
      </c>
      <c r="AB131" s="136" t="str">
        <f t="shared" ref="AB131:AB194" si="2">IF(R131&lt;=2, "Blacklisted", IF(AND(Q131&gt;=100000, R131&gt;=4, P131&lt;=10%), "Platinum", IF(AND(Q131&gt;=50000, R131&gt;=3), "Gold", IF(Q131&lt;50000, "Silver", "Blacklisted"))))</f>
        <v>Silver</v>
      </c>
    </row>
    <row r="132" spans="1:28">
      <c r="A132" s="24" t="s">
        <v>730</v>
      </c>
      <c r="B132" s="24" t="s">
        <v>168</v>
      </c>
      <c r="C132" s="24" t="s">
        <v>72</v>
      </c>
      <c r="D132" s="30">
        <v>46139</v>
      </c>
      <c r="E132" s="30" t="s">
        <v>732</v>
      </c>
      <c r="F132" s="24" t="s">
        <v>361</v>
      </c>
      <c r="G132" s="24" t="s">
        <v>28</v>
      </c>
      <c r="H132" s="30" t="s">
        <v>173</v>
      </c>
      <c r="I132" s="24" t="s">
        <v>114</v>
      </c>
      <c r="J132" s="24" t="s">
        <v>106</v>
      </c>
      <c r="K132" s="24" t="s">
        <v>2111</v>
      </c>
      <c r="L132" s="24" t="s">
        <v>46</v>
      </c>
      <c r="M132" s="24" t="s">
        <v>78</v>
      </c>
      <c r="N132" s="24">
        <v>14</v>
      </c>
      <c r="O132" s="36">
        <v>900</v>
      </c>
      <c r="P132" s="35">
        <v>0</v>
      </c>
      <c r="Q132" s="36">
        <v>12600</v>
      </c>
      <c r="R132" s="34">
        <v>5</v>
      </c>
      <c r="S132" s="24" t="s">
        <v>34</v>
      </c>
      <c r="T132" s="24" t="s">
        <v>49</v>
      </c>
      <c r="U132" s="24" t="s">
        <v>175</v>
      </c>
      <c r="V132" s="24">
        <v>9848259992</v>
      </c>
      <c r="W132" s="24" t="s">
        <v>2100</v>
      </c>
      <c r="X132" s="34">
        <v>6</v>
      </c>
      <c r="Y132" s="24" t="s">
        <v>2112</v>
      </c>
      <c r="Z132" s="30">
        <v>46325</v>
      </c>
      <c r="AA132" s="24" t="s">
        <v>2177</v>
      </c>
      <c r="AB132" s="136" t="str">
        <f t="shared" si="2"/>
        <v>Silver</v>
      </c>
    </row>
    <row r="133" spans="1:28">
      <c r="A133" s="24" t="s">
        <v>735</v>
      </c>
      <c r="B133" s="24" t="s">
        <v>100</v>
      </c>
      <c r="C133" s="24" t="s">
        <v>222</v>
      </c>
      <c r="D133" s="30">
        <v>46070</v>
      </c>
      <c r="E133" s="30" t="s">
        <v>170</v>
      </c>
      <c r="F133" s="24" t="s">
        <v>103</v>
      </c>
      <c r="G133" s="24" t="s">
        <v>28</v>
      </c>
      <c r="H133" s="30" t="s">
        <v>104</v>
      </c>
      <c r="I133" s="24" t="s">
        <v>105</v>
      </c>
      <c r="J133" s="24" t="s">
        <v>106</v>
      </c>
      <c r="K133" s="24" t="s">
        <v>2111</v>
      </c>
      <c r="L133" s="24" t="s">
        <v>122</v>
      </c>
      <c r="M133" s="24" t="s">
        <v>227</v>
      </c>
      <c r="N133" s="24">
        <v>11</v>
      </c>
      <c r="O133" s="36">
        <v>15</v>
      </c>
      <c r="P133" s="35">
        <v>0.2</v>
      </c>
      <c r="Q133" s="36">
        <v>132</v>
      </c>
      <c r="R133" s="34">
        <v>4</v>
      </c>
      <c r="S133" s="24" t="s">
        <v>2148</v>
      </c>
      <c r="T133" s="24" t="s">
        <v>35</v>
      </c>
      <c r="U133" s="24" t="s">
        <v>144</v>
      </c>
      <c r="V133" s="24">
        <v>9254082295</v>
      </c>
      <c r="W133" s="24" t="s">
        <v>2103</v>
      </c>
      <c r="X133" s="34">
        <v>12</v>
      </c>
      <c r="Y133" s="24" t="s">
        <v>2110</v>
      </c>
      <c r="Z133" s="30">
        <v>46440</v>
      </c>
      <c r="AA133" s="24" t="s">
        <v>2175</v>
      </c>
      <c r="AB133" s="136" t="str">
        <f t="shared" si="2"/>
        <v>Silver</v>
      </c>
    </row>
    <row r="134" spans="1:28">
      <c r="A134" s="24" t="s">
        <v>739</v>
      </c>
      <c r="B134" s="24" t="s">
        <v>71</v>
      </c>
      <c r="C134" s="24" t="s">
        <v>40</v>
      </c>
      <c r="D134" s="30">
        <v>46116</v>
      </c>
      <c r="E134" s="30" t="s">
        <v>657</v>
      </c>
      <c r="F134" s="24" t="s">
        <v>217</v>
      </c>
      <c r="G134" s="24" t="s">
        <v>76</v>
      </c>
      <c r="H134" s="30" t="s">
        <v>77</v>
      </c>
      <c r="I134" s="24" t="s">
        <v>44</v>
      </c>
      <c r="J134" s="24" t="s">
        <v>45</v>
      </c>
      <c r="K134" s="24" t="s">
        <v>2114</v>
      </c>
      <c r="L134" s="24" t="s">
        <v>46</v>
      </c>
      <c r="M134" s="24" t="s">
        <v>47</v>
      </c>
      <c r="N134" s="24">
        <v>6</v>
      </c>
      <c r="O134" s="36">
        <v>9000</v>
      </c>
      <c r="P134" s="35">
        <v>0.1</v>
      </c>
      <c r="Q134" s="36">
        <v>48600</v>
      </c>
      <c r="R134" s="34">
        <v>5</v>
      </c>
      <c r="S134" s="24" t="s">
        <v>2149</v>
      </c>
      <c r="T134" s="24" t="s">
        <v>151</v>
      </c>
      <c r="U134" s="24" t="s">
        <v>80</v>
      </c>
      <c r="V134" s="24">
        <v>9687923860</v>
      </c>
      <c r="W134" s="24" t="s">
        <v>2101</v>
      </c>
      <c r="X134" s="34">
        <v>24</v>
      </c>
      <c r="Y134" s="24" t="s">
        <v>2110</v>
      </c>
      <c r="Z134" s="30">
        <v>46853</v>
      </c>
      <c r="AA134" s="24" t="s">
        <v>2173</v>
      </c>
      <c r="AB134" s="136" t="str">
        <f t="shared" si="2"/>
        <v>Silver</v>
      </c>
    </row>
    <row r="135" spans="1:28">
      <c r="A135" s="24" t="s">
        <v>743</v>
      </c>
      <c r="B135" s="24" t="s">
        <v>71</v>
      </c>
      <c r="C135" s="24" t="s">
        <v>24</v>
      </c>
      <c r="D135" s="30">
        <v>45756</v>
      </c>
      <c r="E135" s="30" t="s">
        <v>539</v>
      </c>
      <c r="F135" s="24" t="s">
        <v>217</v>
      </c>
      <c r="G135" s="24" t="s">
        <v>76</v>
      </c>
      <c r="H135" s="30" t="s">
        <v>77</v>
      </c>
      <c r="I135" s="24" t="s">
        <v>44</v>
      </c>
      <c r="J135" s="24" t="s">
        <v>45</v>
      </c>
      <c r="K135" s="24" t="s">
        <v>2114</v>
      </c>
      <c r="L135" s="24" t="s">
        <v>32</v>
      </c>
      <c r="M135" s="24" t="s">
        <v>33</v>
      </c>
      <c r="N135" s="24">
        <v>6</v>
      </c>
      <c r="O135" s="36">
        <v>1650</v>
      </c>
      <c r="P135" s="35">
        <v>0.05</v>
      </c>
      <c r="Q135" s="36">
        <v>9405</v>
      </c>
      <c r="R135" s="34">
        <v>4</v>
      </c>
      <c r="S135" s="24" t="s">
        <v>34</v>
      </c>
      <c r="T135" s="24" t="s">
        <v>49</v>
      </c>
      <c r="U135" s="24" t="s">
        <v>80</v>
      </c>
      <c r="V135" s="24">
        <v>9426459149</v>
      </c>
      <c r="W135" s="24" t="s">
        <v>2101</v>
      </c>
      <c r="X135" s="34">
        <v>24</v>
      </c>
      <c r="Y135" s="24" t="s">
        <v>2110</v>
      </c>
      <c r="Z135" s="30">
        <v>46495</v>
      </c>
      <c r="AA135" s="24" t="s">
        <v>2173</v>
      </c>
      <c r="AB135" s="136" t="str">
        <f t="shared" si="2"/>
        <v>Silver</v>
      </c>
    </row>
    <row r="136" spans="1:28">
      <c r="A136" s="24" t="s">
        <v>746</v>
      </c>
      <c r="B136" s="24" t="s">
        <v>53</v>
      </c>
      <c r="C136" s="24" t="s">
        <v>92</v>
      </c>
      <c r="D136" s="30">
        <v>45823</v>
      </c>
      <c r="E136" s="30" t="s">
        <v>488</v>
      </c>
      <c r="F136" s="24" t="s">
        <v>163</v>
      </c>
      <c r="G136" s="24" t="s">
        <v>28</v>
      </c>
      <c r="H136" s="30" t="s">
        <v>58</v>
      </c>
      <c r="I136" s="24" t="s">
        <v>59</v>
      </c>
      <c r="J136" s="24" t="s">
        <v>31</v>
      </c>
      <c r="K136" s="24" t="s">
        <v>2111</v>
      </c>
      <c r="L136" s="24" t="s">
        <v>32</v>
      </c>
      <c r="M136" s="24" t="s">
        <v>97</v>
      </c>
      <c r="N136" s="24">
        <v>3</v>
      </c>
      <c r="O136" s="36">
        <v>2625</v>
      </c>
      <c r="P136" s="35">
        <v>0.05</v>
      </c>
      <c r="Q136" s="36">
        <v>7481.25</v>
      </c>
      <c r="R136" s="34">
        <v>4</v>
      </c>
      <c r="S136" s="24" t="s">
        <v>2148</v>
      </c>
      <c r="T136" s="24" t="s">
        <v>49</v>
      </c>
      <c r="U136" s="24" t="s">
        <v>62</v>
      </c>
      <c r="V136" s="24">
        <v>9155925975</v>
      </c>
      <c r="W136" s="24" t="s">
        <v>2101</v>
      </c>
      <c r="X136" s="34">
        <v>6</v>
      </c>
      <c r="Y136" s="24" t="s">
        <v>2108</v>
      </c>
      <c r="Z136" s="30">
        <v>46018</v>
      </c>
      <c r="AA136" s="24" t="s">
        <v>2172</v>
      </c>
      <c r="AB136" s="136" t="str">
        <f t="shared" si="2"/>
        <v>Silver</v>
      </c>
    </row>
    <row r="137" spans="1:28">
      <c r="A137" s="24" t="s">
        <v>749</v>
      </c>
      <c r="B137" s="24" t="s">
        <v>71</v>
      </c>
      <c r="C137" s="24" t="s">
        <v>169</v>
      </c>
      <c r="D137" s="30">
        <v>45816</v>
      </c>
      <c r="E137" s="30" t="s">
        <v>751</v>
      </c>
      <c r="F137" s="24" t="s">
        <v>217</v>
      </c>
      <c r="G137" s="24" t="s">
        <v>76</v>
      </c>
      <c r="H137" s="30" t="s">
        <v>77</v>
      </c>
      <c r="I137" s="24" t="s">
        <v>44</v>
      </c>
      <c r="J137" s="24" t="s">
        <v>45</v>
      </c>
      <c r="K137" s="24" t="s">
        <v>2114</v>
      </c>
      <c r="L137" s="24" t="s">
        <v>32</v>
      </c>
      <c r="M137" s="24" t="s">
        <v>174</v>
      </c>
      <c r="N137" s="24">
        <v>5</v>
      </c>
      <c r="O137" s="36">
        <v>6375</v>
      </c>
      <c r="P137" s="35">
        <v>0.2</v>
      </c>
      <c r="Q137" s="36">
        <v>25500</v>
      </c>
      <c r="R137" s="34">
        <v>5</v>
      </c>
      <c r="S137" s="24" t="s">
        <v>34</v>
      </c>
      <c r="T137" s="24" t="s">
        <v>61</v>
      </c>
      <c r="U137" s="24" t="s">
        <v>80</v>
      </c>
      <c r="V137" s="24">
        <v>9945247701</v>
      </c>
      <c r="W137" s="24" t="s">
        <v>2100</v>
      </c>
      <c r="X137" s="34">
        <v>24</v>
      </c>
      <c r="Y137" s="24" t="s">
        <v>2110</v>
      </c>
      <c r="Z137" s="30">
        <v>46548</v>
      </c>
      <c r="AA137" s="24" t="s">
        <v>2173</v>
      </c>
      <c r="AB137" s="136" t="str">
        <f t="shared" si="2"/>
        <v>Silver</v>
      </c>
    </row>
    <row r="138" spans="1:28">
      <c r="A138" s="24" t="s">
        <v>754</v>
      </c>
      <c r="B138" s="24" t="s">
        <v>23</v>
      </c>
      <c r="C138" s="24" t="s">
        <v>92</v>
      </c>
      <c r="D138" s="30">
        <v>45863</v>
      </c>
      <c r="E138" s="30" t="s">
        <v>756</v>
      </c>
      <c r="F138" s="24" t="s">
        <v>27</v>
      </c>
      <c r="G138" s="24" t="s">
        <v>28</v>
      </c>
      <c r="H138" s="30" t="s">
        <v>29</v>
      </c>
      <c r="I138" s="24" t="s">
        <v>30</v>
      </c>
      <c r="J138" s="24" t="s">
        <v>31</v>
      </c>
      <c r="K138" s="24" t="s">
        <v>2111</v>
      </c>
      <c r="L138" s="24" t="s">
        <v>32</v>
      </c>
      <c r="M138" s="24" t="s">
        <v>97</v>
      </c>
      <c r="N138" s="24">
        <v>14</v>
      </c>
      <c r="O138" s="36">
        <v>2625</v>
      </c>
      <c r="P138" s="35">
        <v>0.1</v>
      </c>
      <c r="Q138" s="36">
        <v>33075</v>
      </c>
      <c r="R138" s="34">
        <v>4</v>
      </c>
      <c r="S138" s="24" t="s">
        <v>2149</v>
      </c>
      <c r="T138" s="24" t="s">
        <v>35</v>
      </c>
      <c r="U138" s="24" t="s">
        <v>50</v>
      </c>
      <c r="V138" s="24">
        <v>9597378398</v>
      </c>
      <c r="W138" s="24" t="s">
        <v>2101</v>
      </c>
      <c r="X138" s="34">
        <v>6</v>
      </c>
      <c r="Y138" s="24" t="s">
        <v>2108</v>
      </c>
      <c r="Z138" s="30">
        <v>46054</v>
      </c>
      <c r="AA138" s="24" t="s">
        <v>2171</v>
      </c>
      <c r="AB138" s="136" t="str">
        <f t="shared" si="2"/>
        <v>Silver</v>
      </c>
    </row>
    <row r="139" spans="1:28">
      <c r="A139" s="24" t="s">
        <v>759</v>
      </c>
      <c r="B139" s="24" t="s">
        <v>327</v>
      </c>
      <c r="C139" s="24" t="s">
        <v>259</v>
      </c>
      <c r="D139" s="30">
        <v>45673</v>
      </c>
      <c r="E139" s="30" t="s">
        <v>761</v>
      </c>
      <c r="F139" s="24" t="s">
        <v>394</v>
      </c>
      <c r="G139" s="24" t="s">
        <v>76</v>
      </c>
      <c r="H139" s="30" t="s">
        <v>331</v>
      </c>
      <c r="I139" s="24" t="s">
        <v>114</v>
      </c>
      <c r="J139" s="24" t="s">
        <v>106</v>
      </c>
      <c r="K139" s="24" t="s">
        <v>2109</v>
      </c>
      <c r="L139" s="24" t="s">
        <v>122</v>
      </c>
      <c r="M139" s="24" t="s">
        <v>263</v>
      </c>
      <c r="N139" s="24">
        <v>8</v>
      </c>
      <c r="O139" s="36">
        <v>33.75</v>
      </c>
      <c r="P139" s="35">
        <v>0</v>
      </c>
      <c r="Q139" s="36">
        <v>270</v>
      </c>
      <c r="R139" s="34">
        <v>1</v>
      </c>
      <c r="S139" s="24" t="s">
        <v>79</v>
      </c>
      <c r="T139" s="24" t="s">
        <v>151</v>
      </c>
      <c r="U139" s="24" t="s">
        <v>332</v>
      </c>
      <c r="V139" s="24">
        <v>9343963736</v>
      </c>
      <c r="W139" s="24" t="s">
        <v>2100</v>
      </c>
      <c r="X139" s="34">
        <v>12</v>
      </c>
      <c r="Y139" s="24" t="s">
        <v>2108</v>
      </c>
      <c r="Z139" s="30">
        <v>46043</v>
      </c>
      <c r="AA139" s="24" t="s">
        <v>2171</v>
      </c>
      <c r="AB139" s="136" t="str">
        <f t="shared" si="2"/>
        <v>Blacklisted</v>
      </c>
    </row>
    <row r="140" spans="1:28">
      <c r="A140" s="24" t="s">
        <v>764</v>
      </c>
      <c r="B140" s="24" t="s">
        <v>221</v>
      </c>
      <c r="C140" s="24" t="s">
        <v>259</v>
      </c>
      <c r="D140" s="30">
        <v>45692</v>
      </c>
      <c r="E140" s="30" t="s">
        <v>766</v>
      </c>
      <c r="F140" s="24" t="s">
        <v>225</v>
      </c>
      <c r="G140" s="24" t="s">
        <v>76</v>
      </c>
      <c r="H140" s="30" t="s">
        <v>226</v>
      </c>
      <c r="I140" s="24" t="s">
        <v>105</v>
      </c>
      <c r="J140" s="24" t="s">
        <v>106</v>
      </c>
      <c r="K140" s="24" t="s">
        <v>2113</v>
      </c>
      <c r="L140" s="24" t="s">
        <v>122</v>
      </c>
      <c r="M140" s="24" t="s">
        <v>263</v>
      </c>
      <c r="N140" s="24">
        <v>11</v>
      </c>
      <c r="O140" s="36">
        <v>33.75</v>
      </c>
      <c r="P140" s="35">
        <v>0.05</v>
      </c>
      <c r="Q140" s="36">
        <v>352.6875</v>
      </c>
      <c r="R140" s="34">
        <v>3</v>
      </c>
      <c r="S140" s="24" t="s">
        <v>79</v>
      </c>
      <c r="T140" s="24" t="s">
        <v>49</v>
      </c>
      <c r="U140" s="24" t="s">
        <v>228</v>
      </c>
      <c r="V140" s="24">
        <v>9548742147</v>
      </c>
      <c r="W140" s="24" t="s">
        <v>2100</v>
      </c>
      <c r="X140" s="34">
        <v>12</v>
      </c>
      <c r="Y140" s="24" t="s">
        <v>2112</v>
      </c>
      <c r="Z140" s="30">
        <v>46058</v>
      </c>
      <c r="AA140" s="24" t="s">
        <v>2171</v>
      </c>
      <c r="AB140" s="136" t="str">
        <f t="shared" si="2"/>
        <v>Silver</v>
      </c>
    </row>
    <row r="141" spans="1:28">
      <c r="A141" s="24" t="s">
        <v>769</v>
      </c>
      <c r="B141" s="24" t="s">
        <v>83</v>
      </c>
      <c r="C141" s="24" t="s">
        <v>54</v>
      </c>
      <c r="D141" s="30">
        <v>45679</v>
      </c>
      <c r="E141" s="30" t="s">
        <v>771</v>
      </c>
      <c r="F141" s="24" t="s">
        <v>180</v>
      </c>
      <c r="G141" s="24" t="s">
        <v>76</v>
      </c>
      <c r="H141" s="30" t="s">
        <v>87</v>
      </c>
      <c r="I141" s="24" t="s">
        <v>30</v>
      </c>
      <c r="J141" s="24" t="s">
        <v>31</v>
      </c>
      <c r="K141" s="24" t="s">
        <v>2109</v>
      </c>
      <c r="L141" s="24" t="s">
        <v>46</v>
      </c>
      <c r="M141" s="24" t="s">
        <v>60</v>
      </c>
      <c r="N141" s="24">
        <v>19</v>
      </c>
      <c r="O141" s="36">
        <v>41250</v>
      </c>
      <c r="P141" s="35">
        <v>0</v>
      </c>
      <c r="Q141" s="36">
        <v>783750</v>
      </c>
      <c r="R141" s="34">
        <v>2</v>
      </c>
      <c r="S141" s="24" t="s">
        <v>79</v>
      </c>
      <c r="T141" s="24" t="s">
        <v>35</v>
      </c>
      <c r="U141" s="24" t="s">
        <v>89</v>
      </c>
      <c r="V141" s="24">
        <v>9912945471</v>
      </c>
      <c r="W141" s="24" t="s">
        <v>2100</v>
      </c>
      <c r="X141" s="34">
        <v>12</v>
      </c>
      <c r="Y141" s="24" t="s">
        <v>2108</v>
      </c>
      <c r="Z141" s="30">
        <v>46052</v>
      </c>
      <c r="AA141" s="24" t="s">
        <v>2174</v>
      </c>
      <c r="AB141" s="136" t="str">
        <f t="shared" si="2"/>
        <v>Blacklisted</v>
      </c>
    </row>
    <row r="142" spans="1:28">
      <c r="A142" s="24" t="s">
        <v>774</v>
      </c>
      <c r="B142" s="24" t="s">
        <v>53</v>
      </c>
      <c r="C142" s="24" t="s">
        <v>92</v>
      </c>
      <c r="D142" s="30">
        <v>45758</v>
      </c>
      <c r="E142" s="30" t="s">
        <v>539</v>
      </c>
      <c r="F142" s="24" t="s">
        <v>163</v>
      </c>
      <c r="G142" s="24" t="s">
        <v>28</v>
      </c>
      <c r="H142" s="30" t="s">
        <v>58</v>
      </c>
      <c r="I142" s="24" t="s">
        <v>59</v>
      </c>
      <c r="J142" s="24" t="s">
        <v>31</v>
      </c>
      <c r="K142" s="24" t="s">
        <v>2111</v>
      </c>
      <c r="L142" s="24" t="s">
        <v>32</v>
      </c>
      <c r="M142" s="24" t="s">
        <v>97</v>
      </c>
      <c r="N142" s="24">
        <v>20</v>
      </c>
      <c r="O142" s="36">
        <v>2625</v>
      </c>
      <c r="P142" s="35">
        <v>0.2</v>
      </c>
      <c r="Q142" s="36">
        <v>42000</v>
      </c>
      <c r="R142" s="34">
        <v>4</v>
      </c>
      <c r="S142" s="24" t="s">
        <v>2148</v>
      </c>
      <c r="T142" s="24" t="s">
        <v>49</v>
      </c>
      <c r="U142" s="24" t="s">
        <v>62</v>
      </c>
      <c r="V142" s="24">
        <v>9912630684</v>
      </c>
      <c r="W142" s="24" t="s">
        <v>2101</v>
      </c>
      <c r="X142" s="34">
        <v>6</v>
      </c>
      <c r="Y142" s="24" t="s">
        <v>2108</v>
      </c>
      <c r="Z142" s="30">
        <v>45948</v>
      </c>
      <c r="AA142" s="24" t="s">
        <v>2172</v>
      </c>
      <c r="AB142" s="136" t="str">
        <f t="shared" si="2"/>
        <v>Silver</v>
      </c>
    </row>
    <row r="143" spans="1:28">
      <c r="A143" s="24" t="s">
        <v>778</v>
      </c>
      <c r="B143" s="24" t="s">
        <v>83</v>
      </c>
      <c r="C143" s="24" t="s">
        <v>24</v>
      </c>
      <c r="D143" s="30">
        <v>45842</v>
      </c>
      <c r="E143" s="30" t="s">
        <v>779</v>
      </c>
      <c r="F143" s="24" t="s">
        <v>180</v>
      </c>
      <c r="G143" s="24" t="s">
        <v>76</v>
      </c>
      <c r="H143" s="30" t="s">
        <v>87</v>
      </c>
      <c r="I143" s="24" t="s">
        <v>30</v>
      </c>
      <c r="J143" s="24" t="s">
        <v>31</v>
      </c>
      <c r="K143" s="24" t="s">
        <v>2109</v>
      </c>
      <c r="L143" s="24" t="s">
        <v>32</v>
      </c>
      <c r="M143" s="24" t="s">
        <v>33</v>
      </c>
      <c r="N143" s="24">
        <v>17</v>
      </c>
      <c r="O143" s="36">
        <v>1650</v>
      </c>
      <c r="P143" s="35">
        <v>0</v>
      </c>
      <c r="Q143" s="36">
        <v>28050</v>
      </c>
      <c r="R143" s="34">
        <v>5</v>
      </c>
      <c r="S143" s="24" t="s">
        <v>2148</v>
      </c>
      <c r="T143" s="24" t="s">
        <v>35</v>
      </c>
      <c r="U143" s="24" t="s">
        <v>89</v>
      </c>
      <c r="V143" s="24">
        <v>9114017237</v>
      </c>
      <c r="W143" s="24" t="s">
        <v>2101</v>
      </c>
      <c r="X143" s="34">
        <v>24</v>
      </c>
      <c r="Y143" s="24" t="s">
        <v>2108</v>
      </c>
      <c r="Z143" s="30">
        <v>46582</v>
      </c>
      <c r="AA143" s="24" t="s">
        <v>2174</v>
      </c>
      <c r="AB143" s="136" t="str">
        <f t="shared" si="2"/>
        <v>Silver</v>
      </c>
    </row>
    <row r="144" spans="1:28">
      <c r="A144" s="24" t="s">
        <v>782</v>
      </c>
      <c r="B144" s="24" t="s">
        <v>83</v>
      </c>
      <c r="C144" s="24" t="s">
        <v>72</v>
      </c>
      <c r="D144" s="30">
        <v>45679</v>
      </c>
      <c r="E144" s="30" t="s">
        <v>783</v>
      </c>
      <c r="F144" s="24" t="s">
        <v>180</v>
      </c>
      <c r="G144" s="24" t="s">
        <v>76</v>
      </c>
      <c r="H144" s="30" t="s">
        <v>87</v>
      </c>
      <c r="I144" s="24" t="s">
        <v>30</v>
      </c>
      <c r="J144" s="24" t="s">
        <v>31</v>
      </c>
      <c r="K144" s="24" t="s">
        <v>2109</v>
      </c>
      <c r="L144" s="24" t="s">
        <v>46</v>
      </c>
      <c r="M144" s="24" t="s">
        <v>78</v>
      </c>
      <c r="N144" s="24">
        <v>10</v>
      </c>
      <c r="O144" s="36">
        <v>900</v>
      </c>
      <c r="P144" s="35">
        <v>0.05</v>
      </c>
      <c r="Q144" s="36">
        <v>8550</v>
      </c>
      <c r="R144" s="34">
        <v>2</v>
      </c>
      <c r="S144" s="24" t="s">
        <v>34</v>
      </c>
      <c r="T144" s="24" t="s">
        <v>49</v>
      </c>
      <c r="U144" s="24" t="s">
        <v>89</v>
      </c>
      <c r="V144" s="24">
        <v>9872471236</v>
      </c>
      <c r="W144" s="24" t="s">
        <v>2100</v>
      </c>
      <c r="X144" s="34">
        <v>6</v>
      </c>
      <c r="Y144" s="24" t="s">
        <v>2108</v>
      </c>
      <c r="Z144" s="30">
        <v>45867</v>
      </c>
      <c r="AA144" s="24" t="s">
        <v>2174</v>
      </c>
      <c r="AB144" s="136" t="str">
        <f t="shared" si="2"/>
        <v>Blacklisted</v>
      </c>
    </row>
    <row r="145" spans="1:28">
      <c r="A145" s="24" t="s">
        <v>786</v>
      </c>
      <c r="B145" s="24" t="s">
        <v>221</v>
      </c>
      <c r="C145" s="24" t="s">
        <v>118</v>
      </c>
      <c r="D145" s="30">
        <v>46008</v>
      </c>
      <c r="E145" s="30" t="s">
        <v>788</v>
      </c>
      <c r="F145" s="24" t="s">
        <v>225</v>
      </c>
      <c r="G145" s="24" t="s">
        <v>76</v>
      </c>
      <c r="H145" s="30" t="s">
        <v>226</v>
      </c>
      <c r="I145" s="24" t="s">
        <v>105</v>
      </c>
      <c r="J145" s="24" t="s">
        <v>106</v>
      </c>
      <c r="K145" s="24" t="s">
        <v>2113</v>
      </c>
      <c r="L145" s="24" t="s">
        <v>122</v>
      </c>
      <c r="M145" s="24" t="s">
        <v>123</v>
      </c>
      <c r="N145" s="24">
        <v>3</v>
      </c>
      <c r="O145" s="36">
        <v>45</v>
      </c>
      <c r="P145" s="35">
        <v>0</v>
      </c>
      <c r="Q145" s="36">
        <v>135</v>
      </c>
      <c r="R145" s="34">
        <v>4</v>
      </c>
      <c r="S145" s="24" t="s">
        <v>2148</v>
      </c>
      <c r="T145" s="24" t="s">
        <v>151</v>
      </c>
      <c r="U145" s="24" t="s">
        <v>228</v>
      </c>
      <c r="V145" s="24">
        <v>9461383824</v>
      </c>
      <c r="W145" s="24" t="s">
        <v>2102</v>
      </c>
      <c r="X145" s="34">
        <v>12</v>
      </c>
      <c r="Y145" s="24" t="s">
        <v>2112</v>
      </c>
      <c r="Z145" s="30">
        <v>46374</v>
      </c>
      <c r="AA145" s="24" t="s">
        <v>2171</v>
      </c>
      <c r="AB145" s="136" t="str">
        <f t="shared" si="2"/>
        <v>Silver</v>
      </c>
    </row>
    <row r="146" spans="1:28">
      <c r="A146" s="24" t="s">
        <v>791</v>
      </c>
      <c r="B146" s="24" t="s">
        <v>53</v>
      </c>
      <c r="C146" s="24" t="s">
        <v>24</v>
      </c>
      <c r="D146" s="30">
        <v>45940</v>
      </c>
      <c r="E146" s="30" t="s">
        <v>793</v>
      </c>
      <c r="F146" s="24" t="s">
        <v>163</v>
      </c>
      <c r="G146" s="24" t="s">
        <v>28</v>
      </c>
      <c r="H146" s="30" t="s">
        <v>58</v>
      </c>
      <c r="I146" s="24" t="s">
        <v>59</v>
      </c>
      <c r="J146" s="24" t="s">
        <v>31</v>
      </c>
      <c r="K146" s="24" t="s">
        <v>2111</v>
      </c>
      <c r="L146" s="24" t="s">
        <v>32</v>
      </c>
      <c r="M146" s="24" t="s">
        <v>33</v>
      </c>
      <c r="N146" s="24">
        <v>18</v>
      </c>
      <c r="O146" s="36">
        <v>1650</v>
      </c>
      <c r="P146" s="35">
        <v>0.1</v>
      </c>
      <c r="Q146" s="36">
        <v>26730</v>
      </c>
      <c r="R146" s="34">
        <v>1</v>
      </c>
      <c r="S146" s="24" t="s">
        <v>79</v>
      </c>
      <c r="T146" s="24" t="s">
        <v>151</v>
      </c>
      <c r="U146" s="24" t="s">
        <v>62</v>
      </c>
      <c r="V146" s="24">
        <v>9243407457</v>
      </c>
      <c r="W146" s="24" t="s">
        <v>2101</v>
      </c>
      <c r="X146" s="34">
        <v>24</v>
      </c>
      <c r="Y146" s="24" t="s">
        <v>2108</v>
      </c>
      <c r="Z146" s="30">
        <v>46681</v>
      </c>
      <c r="AA146" s="24" t="s">
        <v>2172</v>
      </c>
      <c r="AB146" s="136" t="str">
        <f t="shared" si="2"/>
        <v>Blacklisted</v>
      </c>
    </row>
    <row r="147" spans="1:28">
      <c r="A147" s="24" t="s">
        <v>796</v>
      </c>
      <c r="B147" s="24" t="s">
        <v>71</v>
      </c>
      <c r="C147" s="24" t="s">
        <v>118</v>
      </c>
      <c r="D147" s="30">
        <v>46088</v>
      </c>
      <c r="E147" s="30" t="s">
        <v>798</v>
      </c>
      <c r="F147" s="24" t="s">
        <v>217</v>
      </c>
      <c r="G147" s="24" t="s">
        <v>76</v>
      </c>
      <c r="H147" s="30" t="s">
        <v>77</v>
      </c>
      <c r="I147" s="24" t="s">
        <v>44</v>
      </c>
      <c r="J147" s="24" t="s">
        <v>45</v>
      </c>
      <c r="K147" s="24" t="s">
        <v>2114</v>
      </c>
      <c r="L147" s="24" t="s">
        <v>122</v>
      </c>
      <c r="M147" s="24" t="s">
        <v>123</v>
      </c>
      <c r="N147" s="24">
        <v>18</v>
      </c>
      <c r="O147" s="36">
        <v>45</v>
      </c>
      <c r="P147" s="35">
        <v>0.05</v>
      </c>
      <c r="Q147" s="36">
        <v>769.5</v>
      </c>
      <c r="R147" s="34">
        <v>3</v>
      </c>
      <c r="S147" s="24" t="s">
        <v>79</v>
      </c>
      <c r="T147" s="24" t="s">
        <v>49</v>
      </c>
      <c r="U147" s="24" t="s">
        <v>80</v>
      </c>
      <c r="V147" s="24">
        <v>9418672379</v>
      </c>
      <c r="W147" s="24" t="s">
        <v>2102</v>
      </c>
      <c r="X147" s="34">
        <v>12</v>
      </c>
      <c r="Y147" s="24" t="s">
        <v>2110</v>
      </c>
      <c r="Z147" s="30">
        <v>46456</v>
      </c>
      <c r="AA147" s="24" t="s">
        <v>2173</v>
      </c>
      <c r="AB147" s="136" t="str">
        <f t="shared" si="2"/>
        <v>Silver</v>
      </c>
    </row>
    <row r="148" spans="1:28">
      <c r="A148" s="24" t="s">
        <v>801</v>
      </c>
      <c r="B148" s="24" t="s">
        <v>127</v>
      </c>
      <c r="C148" s="24" t="s">
        <v>54</v>
      </c>
      <c r="D148" s="30">
        <v>45885</v>
      </c>
      <c r="E148" s="30" t="s">
        <v>377</v>
      </c>
      <c r="F148" s="24" t="s">
        <v>200</v>
      </c>
      <c r="G148" s="24" t="s">
        <v>76</v>
      </c>
      <c r="H148" s="30" t="s">
        <v>131</v>
      </c>
      <c r="I148" s="24" t="s">
        <v>44</v>
      </c>
      <c r="J148" s="24" t="s">
        <v>45</v>
      </c>
      <c r="K148" s="24" t="s">
        <v>2113</v>
      </c>
      <c r="L148" s="24" t="s">
        <v>46</v>
      </c>
      <c r="M148" s="24" t="s">
        <v>60</v>
      </c>
      <c r="N148" s="24">
        <v>11</v>
      </c>
      <c r="O148" s="36">
        <v>41250</v>
      </c>
      <c r="P148" s="35">
        <v>0.15</v>
      </c>
      <c r="Q148" s="36">
        <v>385687.5</v>
      </c>
      <c r="R148" s="34">
        <v>4</v>
      </c>
      <c r="S148" s="24" t="s">
        <v>2149</v>
      </c>
      <c r="T148" s="24" t="s">
        <v>115</v>
      </c>
      <c r="U148" s="24" t="s">
        <v>132</v>
      </c>
      <c r="V148" s="24">
        <v>9222733065</v>
      </c>
      <c r="W148" s="24" t="s">
        <v>2100</v>
      </c>
      <c r="X148" s="34">
        <v>12</v>
      </c>
      <c r="Y148" s="24" t="s">
        <v>2112</v>
      </c>
      <c r="Z148" s="30">
        <v>46257</v>
      </c>
      <c r="AA148" s="24" t="s">
        <v>2176</v>
      </c>
      <c r="AB148" s="136" t="str">
        <f t="shared" si="2"/>
        <v>Gold</v>
      </c>
    </row>
    <row r="149" spans="1:28">
      <c r="A149" s="24" t="s">
        <v>804</v>
      </c>
      <c r="B149" s="24" t="s">
        <v>251</v>
      </c>
      <c r="C149" s="24" t="s">
        <v>169</v>
      </c>
      <c r="D149" s="30">
        <v>46014</v>
      </c>
      <c r="E149" s="30" t="s">
        <v>464</v>
      </c>
      <c r="F149" s="24" t="s">
        <v>254</v>
      </c>
      <c r="G149" s="24" t="s">
        <v>28</v>
      </c>
      <c r="H149" s="30" t="s">
        <v>255</v>
      </c>
      <c r="I149" s="24" t="s">
        <v>114</v>
      </c>
      <c r="J149" s="24" t="s">
        <v>106</v>
      </c>
      <c r="K149" s="24" t="s">
        <v>2111</v>
      </c>
      <c r="L149" s="24" t="s">
        <v>32</v>
      </c>
      <c r="M149" s="24" t="s">
        <v>174</v>
      </c>
      <c r="N149" s="24">
        <v>5</v>
      </c>
      <c r="O149" s="36">
        <v>6375</v>
      </c>
      <c r="P149" s="35">
        <v>0.05</v>
      </c>
      <c r="Q149" s="36">
        <v>30281.25</v>
      </c>
      <c r="R149" s="34">
        <v>4</v>
      </c>
      <c r="S149" s="24" t="s">
        <v>34</v>
      </c>
      <c r="T149" s="24" t="s">
        <v>151</v>
      </c>
      <c r="U149" s="24" t="s">
        <v>256</v>
      </c>
      <c r="V149" s="24">
        <v>9684246902</v>
      </c>
      <c r="W149" s="24" t="s">
        <v>2100</v>
      </c>
      <c r="X149" s="34">
        <v>24</v>
      </c>
      <c r="Y149" s="24" t="s">
        <v>2112</v>
      </c>
      <c r="Z149" s="30">
        <v>46755</v>
      </c>
      <c r="AA149" s="24" t="s">
        <v>2173</v>
      </c>
      <c r="AB149" s="136" t="str">
        <f t="shared" si="2"/>
        <v>Silver</v>
      </c>
    </row>
    <row r="150" spans="1:28">
      <c r="A150" s="24" t="s">
        <v>355</v>
      </c>
      <c r="B150" s="24" t="s">
        <v>100</v>
      </c>
      <c r="C150" s="24" t="s">
        <v>184</v>
      </c>
      <c r="D150" s="30">
        <v>45908</v>
      </c>
      <c r="E150" s="30" t="s">
        <v>128</v>
      </c>
      <c r="F150" s="24" t="s">
        <v>103</v>
      </c>
      <c r="G150" s="24" t="s">
        <v>28</v>
      </c>
      <c r="H150" s="30" t="s">
        <v>104</v>
      </c>
      <c r="I150" s="24" t="s">
        <v>105</v>
      </c>
      <c r="J150" s="24" t="s">
        <v>106</v>
      </c>
      <c r="K150" s="24" t="s">
        <v>2111</v>
      </c>
      <c r="L150" s="24" t="s">
        <v>46</v>
      </c>
      <c r="M150" s="24" t="s">
        <v>189</v>
      </c>
      <c r="N150" s="24">
        <v>16</v>
      </c>
      <c r="O150" s="36">
        <v>525</v>
      </c>
      <c r="P150" s="35">
        <v>0.15</v>
      </c>
      <c r="Q150" s="36">
        <v>7140</v>
      </c>
      <c r="R150" s="34">
        <v>4</v>
      </c>
      <c r="S150" s="24" t="s">
        <v>79</v>
      </c>
      <c r="T150" s="24" t="s">
        <v>61</v>
      </c>
      <c r="U150" s="24" t="s">
        <v>144</v>
      </c>
      <c r="V150" s="24">
        <v>9989580228</v>
      </c>
      <c r="W150" s="24" t="s">
        <v>2100</v>
      </c>
      <c r="X150" s="34">
        <v>24</v>
      </c>
      <c r="Y150" s="24" t="s">
        <v>2110</v>
      </c>
      <c r="Z150" s="30">
        <v>46649</v>
      </c>
      <c r="AA150" s="24" t="s">
        <v>2175</v>
      </c>
      <c r="AB150" s="136" t="str">
        <f t="shared" si="2"/>
        <v>Silver</v>
      </c>
    </row>
    <row r="151" spans="1:28">
      <c r="A151" s="24" t="s">
        <v>809</v>
      </c>
      <c r="B151" s="24" t="s">
        <v>127</v>
      </c>
      <c r="C151" s="24" t="s">
        <v>184</v>
      </c>
      <c r="D151" s="30">
        <v>45845</v>
      </c>
      <c r="E151" s="30" t="s">
        <v>267</v>
      </c>
      <c r="F151" s="24" t="s">
        <v>200</v>
      </c>
      <c r="G151" s="24" t="s">
        <v>76</v>
      </c>
      <c r="H151" s="30" t="s">
        <v>131</v>
      </c>
      <c r="I151" s="24" t="s">
        <v>44</v>
      </c>
      <c r="J151" s="24" t="s">
        <v>45</v>
      </c>
      <c r="K151" s="24" t="s">
        <v>2113</v>
      </c>
      <c r="L151" s="24" t="s">
        <v>46</v>
      </c>
      <c r="M151" s="24" t="s">
        <v>189</v>
      </c>
      <c r="N151" s="24">
        <v>6</v>
      </c>
      <c r="O151" s="36">
        <v>525</v>
      </c>
      <c r="P151" s="35">
        <v>0.1</v>
      </c>
      <c r="Q151" s="36">
        <v>2835</v>
      </c>
      <c r="R151" s="34">
        <v>4</v>
      </c>
      <c r="S151" s="24" t="s">
        <v>34</v>
      </c>
      <c r="T151" s="24" t="s">
        <v>49</v>
      </c>
      <c r="U151" s="24" t="s">
        <v>132</v>
      </c>
      <c r="V151" s="24">
        <v>9110269572</v>
      </c>
      <c r="W151" s="24" t="s">
        <v>2100</v>
      </c>
      <c r="X151" s="34">
        <v>24</v>
      </c>
      <c r="Y151" s="24" t="s">
        <v>2112</v>
      </c>
      <c r="Z151" s="30">
        <v>46581</v>
      </c>
      <c r="AA151" s="24" t="s">
        <v>2176</v>
      </c>
      <c r="AB151" s="136" t="str">
        <f t="shared" si="2"/>
        <v>Silver</v>
      </c>
    </row>
    <row r="152" spans="1:28">
      <c r="A152" s="24" t="s">
        <v>812</v>
      </c>
      <c r="B152" s="24" t="s">
        <v>53</v>
      </c>
      <c r="C152" s="24" t="s">
        <v>92</v>
      </c>
      <c r="D152" s="30">
        <v>46145</v>
      </c>
      <c r="E152" s="30" t="s">
        <v>615</v>
      </c>
      <c r="F152" s="24" t="s">
        <v>163</v>
      </c>
      <c r="G152" s="24" t="s">
        <v>28</v>
      </c>
      <c r="H152" s="30" t="s">
        <v>58</v>
      </c>
      <c r="I152" s="24" t="s">
        <v>59</v>
      </c>
      <c r="J152" s="24" t="s">
        <v>31</v>
      </c>
      <c r="K152" s="24" t="s">
        <v>2111</v>
      </c>
      <c r="L152" s="24" t="s">
        <v>32</v>
      </c>
      <c r="M152" s="24" t="s">
        <v>97</v>
      </c>
      <c r="N152" s="24">
        <v>20</v>
      </c>
      <c r="O152" s="36">
        <v>2625</v>
      </c>
      <c r="P152" s="35">
        <v>0.1</v>
      </c>
      <c r="Q152" s="36">
        <v>47250</v>
      </c>
      <c r="R152" s="34">
        <v>4</v>
      </c>
      <c r="S152" s="24" t="s">
        <v>2149</v>
      </c>
      <c r="T152" s="24" t="s">
        <v>49</v>
      </c>
      <c r="U152" s="24" t="s">
        <v>62</v>
      </c>
      <c r="V152" s="24">
        <v>9745972422</v>
      </c>
      <c r="W152" s="24" t="s">
        <v>2101</v>
      </c>
      <c r="X152" s="34">
        <v>6</v>
      </c>
      <c r="Y152" s="24" t="s">
        <v>2108</v>
      </c>
      <c r="Z152" s="30">
        <v>46341</v>
      </c>
      <c r="AA152" s="24" t="s">
        <v>2172</v>
      </c>
      <c r="AB152" s="136" t="str">
        <f t="shared" si="2"/>
        <v>Silver</v>
      </c>
    </row>
    <row r="153" spans="1:28">
      <c r="A153" s="24" t="s">
        <v>815</v>
      </c>
      <c r="B153" s="24" t="s">
        <v>23</v>
      </c>
      <c r="C153" s="24" t="s">
        <v>222</v>
      </c>
      <c r="D153" s="30">
        <v>45990</v>
      </c>
      <c r="E153" s="30" t="s">
        <v>817</v>
      </c>
      <c r="F153" s="24" t="s">
        <v>27</v>
      </c>
      <c r="G153" s="24" t="s">
        <v>28</v>
      </c>
      <c r="H153" s="30" t="s">
        <v>29</v>
      </c>
      <c r="I153" s="24" t="s">
        <v>30</v>
      </c>
      <c r="J153" s="24" t="s">
        <v>31</v>
      </c>
      <c r="K153" s="24" t="s">
        <v>2111</v>
      </c>
      <c r="L153" s="24" t="s">
        <v>122</v>
      </c>
      <c r="M153" s="24" t="s">
        <v>227</v>
      </c>
      <c r="N153" s="24">
        <v>2</v>
      </c>
      <c r="O153" s="36">
        <v>15</v>
      </c>
      <c r="P153" s="35">
        <v>0.1</v>
      </c>
      <c r="Q153" s="36">
        <v>27</v>
      </c>
      <c r="R153" s="34">
        <v>1</v>
      </c>
      <c r="S153" s="24" t="s">
        <v>2148</v>
      </c>
      <c r="T153" s="24" t="s">
        <v>115</v>
      </c>
      <c r="U153" s="24" t="s">
        <v>50</v>
      </c>
      <c r="V153" s="24">
        <v>9123712257</v>
      </c>
      <c r="W153" s="24" t="s">
        <v>2103</v>
      </c>
      <c r="X153" s="34">
        <v>12</v>
      </c>
      <c r="Y153" s="24" t="s">
        <v>2108</v>
      </c>
      <c r="Z153" s="30">
        <v>46363</v>
      </c>
      <c r="AA153" s="24" t="s">
        <v>2171</v>
      </c>
      <c r="AB153" s="136" t="str">
        <f t="shared" si="2"/>
        <v>Blacklisted</v>
      </c>
    </row>
    <row r="154" spans="1:28">
      <c r="A154" s="24" t="s">
        <v>820</v>
      </c>
      <c r="B154" s="24" t="s">
        <v>100</v>
      </c>
      <c r="C154" s="24" t="s">
        <v>24</v>
      </c>
      <c r="D154" s="30">
        <v>45852</v>
      </c>
      <c r="E154" s="30" t="s">
        <v>821</v>
      </c>
      <c r="F154" s="24" t="s">
        <v>103</v>
      </c>
      <c r="G154" s="24" t="s">
        <v>28</v>
      </c>
      <c r="H154" s="30" t="s">
        <v>104</v>
      </c>
      <c r="I154" s="24" t="s">
        <v>105</v>
      </c>
      <c r="J154" s="24" t="s">
        <v>106</v>
      </c>
      <c r="K154" s="24" t="s">
        <v>2111</v>
      </c>
      <c r="L154" s="24" t="s">
        <v>32</v>
      </c>
      <c r="M154" s="24" t="s">
        <v>33</v>
      </c>
      <c r="N154" s="24">
        <v>16</v>
      </c>
      <c r="O154" s="36">
        <v>1650</v>
      </c>
      <c r="P154" s="35">
        <v>0.2</v>
      </c>
      <c r="Q154" s="36">
        <v>21120</v>
      </c>
      <c r="R154" s="34">
        <v>2</v>
      </c>
      <c r="S154" s="24" t="s">
        <v>2149</v>
      </c>
      <c r="T154" s="24" t="s">
        <v>151</v>
      </c>
      <c r="U154" s="24" t="s">
        <v>144</v>
      </c>
      <c r="V154" s="24">
        <v>9665525431</v>
      </c>
      <c r="W154" s="24" t="s">
        <v>2101</v>
      </c>
      <c r="X154" s="34">
        <v>24</v>
      </c>
      <c r="Y154" s="24" t="s">
        <v>2110</v>
      </c>
      <c r="Z154" s="30">
        <v>46587</v>
      </c>
      <c r="AA154" s="24" t="s">
        <v>2175</v>
      </c>
      <c r="AB154" s="136" t="str">
        <f t="shared" si="2"/>
        <v>Blacklisted</v>
      </c>
    </row>
    <row r="155" spans="1:28">
      <c r="A155" s="24" t="s">
        <v>824</v>
      </c>
      <c r="B155" s="24" t="s">
        <v>221</v>
      </c>
      <c r="C155" s="24" t="s">
        <v>40</v>
      </c>
      <c r="D155" s="30">
        <v>45729</v>
      </c>
      <c r="E155" s="30" t="s">
        <v>825</v>
      </c>
      <c r="F155" s="24" t="s">
        <v>225</v>
      </c>
      <c r="G155" s="24" t="s">
        <v>76</v>
      </c>
      <c r="H155" s="30" t="s">
        <v>226</v>
      </c>
      <c r="I155" s="24" t="s">
        <v>105</v>
      </c>
      <c r="J155" s="24" t="s">
        <v>106</v>
      </c>
      <c r="K155" s="24" t="s">
        <v>2113</v>
      </c>
      <c r="L155" s="24" t="s">
        <v>46</v>
      </c>
      <c r="M155" s="24" t="s">
        <v>47</v>
      </c>
      <c r="N155" s="24">
        <v>15</v>
      </c>
      <c r="O155" s="36">
        <v>9000</v>
      </c>
      <c r="P155" s="35">
        <v>0</v>
      </c>
      <c r="Q155" s="36">
        <v>135000</v>
      </c>
      <c r="R155" s="34">
        <v>1</v>
      </c>
      <c r="S155" s="24" t="s">
        <v>79</v>
      </c>
      <c r="T155" s="24" t="s">
        <v>61</v>
      </c>
      <c r="U155" s="24" t="s">
        <v>228</v>
      </c>
      <c r="V155" s="24">
        <v>9682415134</v>
      </c>
      <c r="W155" s="24" t="s">
        <v>2101</v>
      </c>
      <c r="X155" s="34">
        <v>24</v>
      </c>
      <c r="Y155" s="24" t="s">
        <v>2112</v>
      </c>
      <c r="Z155" s="30">
        <v>46469</v>
      </c>
      <c r="AA155" s="24" t="s">
        <v>2171</v>
      </c>
      <c r="AB155" s="136" t="str">
        <f t="shared" si="2"/>
        <v>Blacklisted</v>
      </c>
    </row>
    <row r="156" spans="1:28">
      <c r="A156" s="24" t="s">
        <v>828</v>
      </c>
      <c r="B156" s="24" t="s">
        <v>23</v>
      </c>
      <c r="C156" s="24" t="s">
        <v>118</v>
      </c>
      <c r="D156" s="30">
        <v>45860</v>
      </c>
      <c r="E156" s="30" t="s">
        <v>830</v>
      </c>
      <c r="F156" s="24" t="s">
        <v>27</v>
      </c>
      <c r="G156" s="24" t="s">
        <v>28</v>
      </c>
      <c r="H156" s="30" t="s">
        <v>29</v>
      </c>
      <c r="I156" s="24" t="s">
        <v>30</v>
      </c>
      <c r="J156" s="24" t="s">
        <v>31</v>
      </c>
      <c r="K156" s="24" t="s">
        <v>2111</v>
      </c>
      <c r="L156" s="24" t="s">
        <v>122</v>
      </c>
      <c r="M156" s="24" t="s">
        <v>123</v>
      </c>
      <c r="N156" s="24">
        <v>14</v>
      </c>
      <c r="O156" s="36">
        <v>45</v>
      </c>
      <c r="P156" s="35">
        <v>0.15</v>
      </c>
      <c r="Q156" s="36">
        <v>535.5</v>
      </c>
      <c r="R156" s="34">
        <v>4</v>
      </c>
      <c r="S156" s="24" t="s">
        <v>2149</v>
      </c>
      <c r="T156" s="24" t="s">
        <v>49</v>
      </c>
      <c r="U156" s="24" t="s">
        <v>50</v>
      </c>
      <c r="V156" s="24">
        <v>9808223872</v>
      </c>
      <c r="W156" s="24" t="s">
        <v>2102</v>
      </c>
      <c r="X156" s="34">
        <v>12</v>
      </c>
      <c r="Y156" s="24" t="s">
        <v>2108</v>
      </c>
      <c r="Z156" s="30">
        <v>46226</v>
      </c>
      <c r="AA156" s="24" t="s">
        <v>2171</v>
      </c>
      <c r="AB156" s="136" t="str">
        <f t="shared" si="2"/>
        <v>Silver</v>
      </c>
    </row>
    <row r="157" spans="1:28">
      <c r="A157" s="24" t="s">
        <v>833</v>
      </c>
      <c r="B157" s="24" t="s">
        <v>53</v>
      </c>
      <c r="C157" s="24" t="s">
        <v>72</v>
      </c>
      <c r="D157" s="30">
        <v>45859</v>
      </c>
      <c r="E157" s="30" t="s">
        <v>835</v>
      </c>
      <c r="F157" s="24" t="s">
        <v>163</v>
      </c>
      <c r="G157" s="24" t="s">
        <v>28</v>
      </c>
      <c r="H157" s="30" t="s">
        <v>58</v>
      </c>
      <c r="I157" s="24" t="s">
        <v>59</v>
      </c>
      <c r="J157" s="24" t="s">
        <v>31</v>
      </c>
      <c r="K157" s="24" t="s">
        <v>2111</v>
      </c>
      <c r="L157" s="24" t="s">
        <v>46</v>
      </c>
      <c r="M157" s="24" t="s">
        <v>78</v>
      </c>
      <c r="N157" s="24">
        <v>9</v>
      </c>
      <c r="O157" s="36">
        <v>900</v>
      </c>
      <c r="P157" s="35">
        <v>0.05</v>
      </c>
      <c r="Q157" s="36">
        <v>7695</v>
      </c>
      <c r="R157" s="34">
        <v>5</v>
      </c>
      <c r="S157" s="24" t="s">
        <v>2148</v>
      </c>
      <c r="T157" s="24" t="s">
        <v>61</v>
      </c>
      <c r="U157" s="24" t="s">
        <v>62</v>
      </c>
      <c r="V157" s="24">
        <v>9193549730</v>
      </c>
      <c r="W157" s="24" t="s">
        <v>2100</v>
      </c>
      <c r="X157" s="34">
        <v>6</v>
      </c>
      <c r="Y157" s="24" t="s">
        <v>2108</v>
      </c>
      <c r="Z157" s="30">
        <v>46046</v>
      </c>
      <c r="AA157" s="24" t="s">
        <v>2172</v>
      </c>
      <c r="AB157" s="136" t="str">
        <f t="shared" si="2"/>
        <v>Silver</v>
      </c>
    </row>
    <row r="158" spans="1:28">
      <c r="A158" s="24" t="s">
        <v>838</v>
      </c>
      <c r="B158" s="24" t="s">
        <v>221</v>
      </c>
      <c r="C158" s="24" t="s">
        <v>72</v>
      </c>
      <c r="D158" s="30">
        <v>45857</v>
      </c>
      <c r="E158" s="30" t="s">
        <v>839</v>
      </c>
      <c r="F158" s="24" t="s">
        <v>225</v>
      </c>
      <c r="G158" s="24" t="s">
        <v>76</v>
      </c>
      <c r="H158" s="30" t="s">
        <v>226</v>
      </c>
      <c r="I158" s="24" t="s">
        <v>105</v>
      </c>
      <c r="J158" s="24" t="s">
        <v>106</v>
      </c>
      <c r="K158" s="24" t="s">
        <v>2113</v>
      </c>
      <c r="L158" s="24" t="s">
        <v>46</v>
      </c>
      <c r="M158" s="24" t="s">
        <v>78</v>
      </c>
      <c r="N158" s="24">
        <v>3</v>
      </c>
      <c r="O158" s="36">
        <v>900</v>
      </c>
      <c r="P158" s="35">
        <v>0.1</v>
      </c>
      <c r="Q158" s="36">
        <v>2430</v>
      </c>
      <c r="R158" s="34">
        <v>2</v>
      </c>
      <c r="S158" s="24" t="s">
        <v>79</v>
      </c>
      <c r="T158" s="24" t="s">
        <v>151</v>
      </c>
      <c r="U158" s="24" t="s">
        <v>228</v>
      </c>
      <c r="V158" s="24">
        <v>9520617130</v>
      </c>
      <c r="W158" s="24" t="s">
        <v>2100</v>
      </c>
      <c r="X158" s="34">
        <v>6</v>
      </c>
      <c r="Y158" s="24" t="s">
        <v>2112</v>
      </c>
      <c r="Z158" s="30">
        <v>46051</v>
      </c>
      <c r="AA158" s="24" t="s">
        <v>2171</v>
      </c>
      <c r="AB158" s="136" t="str">
        <f t="shared" si="2"/>
        <v>Blacklisted</v>
      </c>
    </row>
    <row r="159" spans="1:28">
      <c r="A159" s="24" t="s">
        <v>842</v>
      </c>
      <c r="B159" s="24" t="s">
        <v>327</v>
      </c>
      <c r="C159" s="24" t="s">
        <v>118</v>
      </c>
      <c r="D159" s="30">
        <v>45757</v>
      </c>
      <c r="E159" s="30" t="s">
        <v>577</v>
      </c>
      <c r="F159" s="24" t="s">
        <v>394</v>
      </c>
      <c r="G159" s="24" t="s">
        <v>76</v>
      </c>
      <c r="H159" s="30" t="s">
        <v>331</v>
      </c>
      <c r="I159" s="24" t="s">
        <v>114</v>
      </c>
      <c r="J159" s="24" t="s">
        <v>106</v>
      </c>
      <c r="K159" s="24" t="s">
        <v>2109</v>
      </c>
      <c r="L159" s="24" t="s">
        <v>122</v>
      </c>
      <c r="M159" s="24" t="s">
        <v>123</v>
      </c>
      <c r="N159" s="24">
        <v>2</v>
      </c>
      <c r="O159" s="36">
        <v>45</v>
      </c>
      <c r="P159" s="35">
        <v>0.1</v>
      </c>
      <c r="Q159" s="36">
        <v>81</v>
      </c>
      <c r="R159" s="34">
        <v>2</v>
      </c>
      <c r="S159" s="24" t="s">
        <v>2149</v>
      </c>
      <c r="T159" s="24" t="s">
        <v>61</v>
      </c>
      <c r="U159" s="24" t="s">
        <v>332</v>
      </c>
      <c r="V159" s="24">
        <v>9264578122</v>
      </c>
      <c r="W159" s="24" t="s">
        <v>2102</v>
      </c>
      <c r="X159" s="34">
        <v>12</v>
      </c>
      <c r="Y159" s="24" t="s">
        <v>2108</v>
      </c>
      <c r="Z159" s="30">
        <v>46124</v>
      </c>
      <c r="AA159" s="24" t="s">
        <v>2171</v>
      </c>
      <c r="AB159" s="136" t="str">
        <f t="shared" si="2"/>
        <v>Blacklisted</v>
      </c>
    </row>
    <row r="160" spans="1:28">
      <c r="A160" s="24" t="s">
        <v>845</v>
      </c>
      <c r="B160" s="24" t="s">
        <v>71</v>
      </c>
      <c r="C160" s="24" t="s">
        <v>92</v>
      </c>
      <c r="D160" s="30">
        <v>46155</v>
      </c>
      <c r="E160" s="30" t="s">
        <v>846</v>
      </c>
      <c r="F160" s="24" t="s">
        <v>217</v>
      </c>
      <c r="G160" s="24" t="s">
        <v>76</v>
      </c>
      <c r="H160" s="30" t="s">
        <v>77</v>
      </c>
      <c r="I160" s="24" t="s">
        <v>44</v>
      </c>
      <c r="J160" s="24" t="s">
        <v>45</v>
      </c>
      <c r="K160" s="24" t="s">
        <v>2114</v>
      </c>
      <c r="L160" s="24" t="s">
        <v>32</v>
      </c>
      <c r="M160" s="24" t="s">
        <v>97</v>
      </c>
      <c r="N160" s="24">
        <v>9</v>
      </c>
      <c r="O160" s="36">
        <v>2625</v>
      </c>
      <c r="P160" s="35">
        <v>0.2</v>
      </c>
      <c r="Q160" s="36">
        <v>18900</v>
      </c>
      <c r="R160" s="34">
        <v>1</v>
      </c>
      <c r="S160" s="24" t="s">
        <v>2148</v>
      </c>
      <c r="T160" s="24" t="s">
        <v>35</v>
      </c>
      <c r="U160" s="24" t="s">
        <v>80</v>
      </c>
      <c r="V160" s="24">
        <v>9275071213</v>
      </c>
      <c r="W160" s="24" t="s">
        <v>2101</v>
      </c>
      <c r="X160" s="34">
        <v>6</v>
      </c>
      <c r="Y160" s="24" t="s">
        <v>2110</v>
      </c>
      <c r="Z160" s="30">
        <v>46349</v>
      </c>
      <c r="AA160" s="24" t="s">
        <v>2173</v>
      </c>
      <c r="AB160" s="136" t="str">
        <f t="shared" si="2"/>
        <v>Blacklisted</v>
      </c>
    </row>
    <row r="161" spans="1:28">
      <c r="A161" s="24" t="s">
        <v>849</v>
      </c>
      <c r="B161" s="24" t="s">
        <v>221</v>
      </c>
      <c r="C161" s="24" t="s">
        <v>54</v>
      </c>
      <c r="D161" s="30">
        <v>46094</v>
      </c>
      <c r="E161" s="30" t="s">
        <v>543</v>
      </c>
      <c r="F161" s="24" t="s">
        <v>225</v>
      </c>
      <c r="G161" s="24" t="s">
        <v>76</v>
      </c>
      <c r="H161" s="30" t="s">
        <v>226</v>
      </c>
      <c r="I161" s="24" t="s">
        <v>105</v>
      </c>
      <c r="J161" s="24" t="s">
        <v>106</v>
      </c>
      <c r="K161" s="24" t="s">
        <v>2113</v>
      </c>
      <c r="L161" s="24" t="s">
        <v>46</v>
      </c>
      <c r="M161" s="24" t="s">
        <v>60</v>
      </c>
      <c r="N161" s="24">
        <v>4</v>
      </c>
      <c r="O161" s="36">
        <v>41250</v>
      </c>
      <c r="P161" s="35">
        <v>0.05</v>
      </c>
      <c r="Q161" s="36">
        <v>156750</v>
      </c>
      <c r="R161" s="34">
        <v>2</v>
      </c>
      <c r="S161" s="24" t="s">
        <v>34</v>
      </c>
      <c r="T161" s="24" t="s">
        <v>151</v>
      </c>
      <c r="U161" s="24" t="s">
        <v>228</v>
      </c>
      <c r="V161" s="24">
        <v>9715222543</v>
      </c>
      <c r="W161" s="24" t="s">
        <v>2100</v>
      </c>
      <c r="X161" s="34">
        <v>12</v>
      </c>
      <c r="Y161" s="24" t="s">
        <v>2112</v>
      </c>
      <c r="Z161" s="30">
        <v>46462</v>
      </c>
      <c r="AA161" s="24" t="s">
        <v>2171</v>
      </c>
      <c r="AB161" s="136" t="str">
        <f t="shared" si="2"/>
        <v>Blacklisted</v>
      </c>
    </row>
    <row r="162" spans="1:28">
      <c r="A162" s="24" t="s">
        <v>852</v>
      </c>
      <c r="B162" s="24" t="s">
        <v>327</v>
      </c>
      <c r="C162" s="24" t="s">
        <v>184</v>
      </c>
      <c r="D162" s="30">
        <v>45835</v>
      </c>
      <c r="E162" s="30" t="s">
        <v>266</v>
      </c>
      <c r="F162" s="24" t="s">
        <v>394</v>
      </c>
      <c r="G162" s="24" t="s">
        <v>76</v>
      </c>
      <c r="H162" s="30" t="s">
        <v>331</v>
      </c>
      <c r="I162" s="24" t="s">
        <v>114</v>
      </c>
      <c r="J162" s="24" t="s">
        <v>106</v>
      </c>
      <c r="K162" s="24" t="s">
        <v>2109</v>
      </c>
      <c r="L162" s="24" t="s">
        <v>46</v>
      </c>
      <c r="M162" s="24" t="s">
        <v>189</v>
      </c>
      <c r="N162" s="24">
        <v>11</v>
      </c>
      <c r="O162" s="36">
        <v>525</v>
      </c>
      <c r="P162" s="35">
        <v>0.2</v>
      </c>
      <c r="Q162" s="36">
        <v>4620</v>
      </c>
      <c r="R162" s="34">
        <v>4</v>
      </c>
      <c r="S162" s="24" t="s">
        <v>34</v>
      </c>
      <c r="T162" s="24" t="s">
        <v>151</v>
      </c>
      <c r="U162" s="24" t="s">
        <v>332</v>
      </c>
      <c r="V162" s="24">
        <v>9942010833</v>
      </c>
      <c r="W162" s="24" t="s">
        <v>2100</v>
      </c>
      <c r="X162" s="34">
        <v>24</v>
      </c>
      <c r="Y162" s="24" t="s">
        <v>2108</v>
      </c>
      <c r="Z162" s="30">
        <v>46569</v>
      </c>
      <c r="AA162" s="24" t="s">
        <v>2171</v>
      </c>
      <c r="AB162" s="136" t="str">
        <f t="shared" si="2"/>
        <v>Silver</v>
      </c>
    </row>
    <row r="163" spans="1:28">
      <c r="A163" s="24" t="s">
        <v>856</v>
      </c>
      <c r="B163" s="24" t="s">
        <v>168</v>
      </c>
      <c r="C163" s="24" t="s">
        <v>72</v>
      </c>
      <c r="D163" s="30">
        <v>45980</v>
      </c>
      <c r="E163" s="30" t="s">
        <v>816</v>
      </c>
      <c r="F163" s="24" t="s">
        <v>361</v>
      </c>
      <c r="G163" s="24" t="s">
        <v>28</v>
      </c>
      <c r="H163" s="30" t="s">
        <v>173</v>
      </c>
      <c r="I163" s="24" t="s">
        <v>114</v>
      </c>
      <c r="J163" s="24" t="s">
        <v>106</v>
      </c>
      <c r="K163" s="24" t="s">
        <v>2111</v>
      </c>
      <c r="L163" s="24" t="s">
        <v>46</v>
      </c>
      <c r="M163" s="24" t="s">
        <v>78</v>
      </c>
      <c r="N163" s="24">
        <v>16</v>
      </c>
      <c r="O163" s="36">
        <v>900</v>
      </c>
      <c r="P163" s="35">
        <v>0.05</v>
      </c>
      <c r="Q163" s="36">
        <v>13680</v>
      </c>
      <c r="R163" s="34">
        <v>1</v>
      </c>
      <c r="S163" s="24" t="s">
        <v>79</v>
      </c>
      <c r="T163" s="24" t="s">
        <v>35</v>
      </c>
      <c r="U163" s="24" t="s">
        <v>175</v>
      </c>
      <c r="V163" s="24">
        <v>9347718932</v>
      </c>
      <c r="W163" s="24" t="s">
        <v>2100</v>
      </c>
      <c r="X163" s="34">
        <v>6</v>
      </c>
      <c r="Y163" s="24" t="s">
        <v>2112</v>
      </c>
      <c r="Z163" s="30">
        <v>46171</v>
      </c>
      <c r="AA163" s="24" t="s">
        <v>2177</v>
      </c>
      <c r="AB163" s="136" t="str">
        <f t="shared" si="2"/>
        <v>Blacklisted</v>
      </c>
    </row>
    <row r="164" spans="1:28">
      <c r="A164" s="24" t="s">
        <v>859</v>
      </c>
      <c r="B164" s="24" t="s">
        <v>168</v>
      </c>
      <c r="C164" s="24" t="s">
        <v>72</v>
      </c>
      <c r="D164" s="30">
        <v>45915</v>
      </c>
      <c r="E164" s="30" t="s">
        <v>860</v>
      </c>
      <c r="F164" s="24" t="s">
        <v>361</v>
      </c>
      <c r="G164" s="24" t="s">
        <v>28</v>
      </c>
      <c r="H164" s="30" t="s">
        <v>173</v>
      </c>
      <c r="I164" s="24" t="s">
        <v>114</v>
      </c>
      <c r="J164" s="24" t="s">
        <v>106</v>
      </c>
      <c r="K164" s="24" t="s">
        <v>2111</v>
      </c>
      <c r="L164" s="24" t="s">
        <v>46</v>
      </c>
      <c r="M164" s="24" t="s">
        <v>78</v>
      </c>
      <c r="N164" s="24">
        <v>1</v>
      </c>
      <c r="O164" s="36">
        <v>900</v>
      </c>
      <c r="P164" s="35">
        <v>0.05</v>
      </c>
      <c r="Q164" s="36">
        <v>855</v>
      </c>
      <c r="R164" s="34">
        <v>4</v>
      </c>
      <c r="S164" s="24" t="s">
        <v>79</v>
      </c>
      <c r="T164" s="24" t="s">
        <v>35</v>
      </c>
      <c r="U164" s="24" t="s">
        <v>175</v>
      </c>
      <c r="V164" s="24">
        <v>9274808844</v>
      </c>
      <c r="W164" s="24" t="s">
        <v>2100</v>
      </c>
      <c r="X164" s="34">
        <v>6</v>
      </c>
      <c r="Y164" s="24" t="s">
        <v>2112</v>
      </c>
      <c r="Z164" s="30">
        <v>46098</v>
      </c>
      <c r="AA164" s="24" t="s">
        <v>2177</v>
      </c>
      <c r="AB164" s="136" t="str">
        <f t="shared" si="2"/>
        <v>Silver</v>
      </c>
    </row>
    <row r="165" spans="1:28">
      <c r="A165" s="24" t="s">
        <v>863</v>
      </c>
      <c r="B165" s="24" t="s">
        <v>327</v>
      </c>
      <c r="C165" s="24" t="s">
        <v>118</v>
      </c>
      <c r="D165" s="30">
        <v>45965</v>
      </c>
      <c r="E165" s="30" t="s">
        <v>865</v>
      </c>
      <c r="F165" s="24" t="s">
        <v>394</v>
      </c>
      <c r="G165" s="24" t="s">
        <v>76</v>
      </c>
      <c r="H165" s="30" t="s">
        <v>331</v>
      </c>
      <c r="I165" s="24" t="s">
        <v>114</v>
      </c>
      <c r="J165" s="24" t="s">
        <v>106</v>
      </c>
      <c r="K165" s="24" t="s">
        <v>2109</v>
      </c>
      <c r="L165" s="24" t="s">
        <v>122</v>
      </c>
      <c r="M165" s="24" t="s">
        <v>123</v>
      </c>
      <c r="N165" s="24">
        <v>7</v>
      </c>
      <c r="O165" s="36">
        <v>45</v>
      </c>
      <c r="P165" s="35">
        <v>0</v>
      </c>
      <c r="Q165" s="36">
        <v>315</v>
      </c>
      <c r="R165" s="34">
        <v>2</v>
      </c>
      <c r="S165" s="24" t="s">
        <v>2149</v>
      </c>
      <c r="T165" s="24" t="s">
        <v>151</v>
      </c>
      <c r="U165" s="24" t="s">
        <v>332</v>
      </c>
      <c r="V165" s="24">
        <v>9798996063</v>
      </c>
      <c r="W165" s="24" t="s">
        <v>2102</v>
      </c>
      <c r="X165" s="34">
        <v>12</v>
      </c>
      <c r="Y165" s="24" t="s">
        <v>2108</v>
      </c>
      <c r="Z165" s="30">
        <v>46339</v>
      </c>
      <c r="AA165" s="24" t="s">
        <v>2171</v>
      </c>
      <c r="AB165" s="136" t="str">
        <f t="shared" si="2"/>
        <v>Blacklisted</v>
      </c>
    </row>
    <row r="166" spans="1:28">
      <c r="A166" s="24" t="s">
        <v>868</v>
      </c>
      <c r="B166" s="24" t="s">
        <v>168</v>
      </c>
      <c r="C166" s="24" t="s">
        <v>24</v>
      </c>
      <c r="D166" s="30">
        <v>45660</v>
      </c>
      <c r="E166" s="30" t="s">
        <v>513</v>
      </c>
      <c r="F166" s="24" t="s">
        <v>361</v>
      </c>
      <c r="G166" s="24" t="s">
        <v>28</v>
      </c>
      <c r="H166" s="30" t="s">
        <v>173</v>
      </c>
      <c r="I166" s="24" t="s">
        <v>114</v>
      </c>
      <c r="J166" s="24" t="s">
        <v>106</v>
      </c>
      <c r="K166" s="24" t="s">
        <v>2111</v>
      </c>
      <c r="L166" s="24" t="s">
        <v>32</v>
      </c>
      <c r="M166" s="24" t="s">
        <v>33</v>
      </c>
      <c r="N166" s="24">
        <v>14</v>
      </c>
      <c r="O166" s="36">
        <v>1650</v>
      </c>
      <c r="P166" s="35">
        <v>0</v>
      </c>
      <c r="Q166" s="36">
        <v>23100</v>
      </c>
      <c r="R166" s="34">
        <v>2</v>
      </c>
      <c r="S166" s="24" t="s">
        <v>2149</v>
      </c>
      <c r="T166" s="24" t="s">
        <v>35</v>
      </c>
      <c r="U166" s="24" t="s">
        <v>175</v>
      </c>
      <c r="V166" s="24">
        <v>9145200936</v>
      </c>
      <c r="W166" s="24" t="s">
        <v>2101</v>
      </c>
      <c r="X166" s="34">
        <v>24</v>
      </c>
      <c r="Y166" s="24" t="s">
        <v>2112</v>
      </c>
      <c r="Z166" s="30">
        <v>46394</v>
      </c>
      <c r="AA166" s="24" t="s">
        <v>2177</v>
      </c>
      <c r="AB166" s="136" t="str">
        <f t="shared" si="2"/>
        <v>Blacklisted</v>
      </c>
    </row>
    <row r="167" spans="1:28">
      <c r="A167" s="24" t="s">
        <v>871</v>
      </c>
      <c r="B167" s="24" t="s">
        <v>168</v>
      </c>
      <c r="C167" s="24" t="s">
        <v>92</v>
      </c>
      <c r="D167" s="30">
        <v>45827</v>
      </c>
      <c r="E167" s="30" t="s">
        <v>488</v>
      </c>
      <c r="F167" s="24" t="s">
        <v>361</v>
      </c>
      <c r="G167" s="24" t="s">
        <v>28</v>
      </c>
      <c r="H167" s="30" t="s">
        <v>173</v>
      </c>
      <c r="I167" s="24" t="s">
        <v>114</v>
      </c>
      <c r="J167" s="24" t="s">
        <v>106</v>
      </c>
      <c r="K167" s="24" t="s">
        <v>2111</v>
      </c>
      <c r="L167" s="24" t="s">
        <v>32</v>
      </c>
      <c r="M167" s="24" t="s">
        <v>97</v>
      </c>
      <c r="N167" s="24">
        <v>15</v>
      </c>
      <c r="O167" s="36">
        <v>2625</v>
      </c>
      <c r="P167" s="35">
        <v>0.15</v>
      </c>
      <c r="Q167" s="36">
        <v>33468.75</v>
      </c>
      <c r="R167" s="34">
        <v>2</v>
      </c>
      <c r="S167" s="24" t="s">
        <v>2149</v>
      </c>
      <c r="T167" s="24" t="s">
        <v>61</v>
      </c>
      <c r="U167" s="24" t="s">
        <v>175</v>
      </c>
      <c r="V167" s="24">
        <v>9697654418</v>
      </c>
      <c r="W167" s="24" t="s">
        <v>2101</v>
      </c>
      <c r="X167" s="34">
        <v>6</v>
      </c>
      <c r="Y167" s="24" t="s">
        <v>2112</v>
      </c>
      <c r="Z167" s="30">
        <v>46018</v>
      </c>
      <c r="AA167" s="24" t="s">
        <v>2177</v>
      </c>
      <c r="AB167" s="136" t="str">
        <f t="shared" si="2"/>
        <v>Blacklisted</v>
      </c>
    </row>
    <row r="168" spans="1:28">
      <c r="A168" s="24" t="s">
        <v>875</v>
      </c>
      <c r="B168" s="24" t="s">
        <v>127</v>
      </c>
      <c r="C168" s="24" t="s">
        <v>92</v>
      </c>
      <c r="D168" s="30">
        <v>45742</v>
      </c>
      <c r="E168" s="30" t="s">
        <v>877</v>
      </c>
      <c r="F168" s="24" t="s">
        <v>200</v>
      </c>
      <c r="G168" s="24" t="s">
        <v>76</v>
      </c>
      <c r="H168" s="30" t="s">
        <v>131</v>
      </c>
      <c r="I168" s="24" t="s">
        <v>44</v>
      </c>
      <c r="J168" s="24" t="s">
        <v>45</v>
      </c>
      <c r="K168" s="24" t="s">
        <v>2113</v>
      </c>
      <c r="L168" s="24" t="s">
        <v>32</v>
      </c>
      <c r="M168" s="24" t="s">
        <v>97</v>
      </c>
      <c r="N168" s="24">
        <v>19</v>
      </c>
      <c r="O168" s="36">
        <v>2625</v>
      </c>
      <c r="P168" s="35">
        <v>0.05</v>
      </c>
      <c r="Q168" s="36">
        <v>47381.25</v>
      </c>
      <c r="R168" s="34">
        <v>2</v>
      </c>
      <c r="S168" s="24" t="s">
        <v>34</v>
      </c>
      <c r="T168" s="24" t="s">
        <v>115</v>
      </c>
      <c r="U168" s="24" t="s">
        <v>132</v>
      </c>
      <c r="V168" s="24">
        <v>9457923119</v>
      </c>
      <c r="W168" s="24" t="s">
        <v>2101</v>
      </c>
      <c r="X168" s="34">
        <v>6</v>
      </c>
      <c r="Y168" s="24" t="s">
        <v>2112</v>
      </c>
      <c r="Z168" s="30">
        <v>45936</v>
      </c>
      <c r="AA168" s="24" t="s">
        <v>2176</v>
      </c>
      <c r="AB168" s="136" t="str">
        <f t="shared" si="2"/>
        <v>Blacklisted</v>
      </c>
    </row>
    <row r="169" spans="1:28">
      <c r="A169" s="24" t="s">
        <v>880</v>
      </c>
      <c r="B169" s="24" t="s">
        <v>327</v>
      </c>
      <c r="C169" s="24" t="s">
        <v>54</v>
      </c>
      <c r="D169" s="30">
        <v>45844</v>
      </c>
      <c r="E169" s="30" t="s">
        <v>640</v>
      </c>
      <c r="F169" s="24" t="s">
        <v>394</v>
      </c>
      <c r="G169" s="24" t="s">
        <v>76</v>
      </c>
      <c r="H169" s="30" t="s">
        <v>331</v>
      </c>
      <c r="I169" s="24" t="s">
        <v>114</v>
      </c>
      <c r="J169" s="24" t="s">
        <v>106</v>
      </c>
      <c r="K169" s="24" t="s">
        <v>2109</v>
      </c>
      <c r="L169" s="24" t="s">
        <v>46</v>
      </c>
      <c r="M169" s="24" t="s">
        <v>60</v>
      </c>
      <c r="N169" s="24">
        <v>12</v>
      </c>
      <c r="O169" s="36">
        <v>41250</v>
      </c>
      <c r="P169" s="35">
        <v>0.05</v>
      </c>
      <c r="Q169" s="36">
        <v>470250</v>
      </c>
      <c r="R169" s="34">
        <v>4</v>
      </c>
      <c r="S169" s="24" t="s">
        <v>79</v>
      </c>
      <c r="T169" s="24" t="s">
        <v>61</v>
      </c>
      <c r="U169" s="24" t="s">
        <v>332</v>
      </c>
      <c r="V169" s="24">
        <v>9236111271</v>
      </c>
      <c r="W169" s="24" t="s">
        <v>2100</v>
      </c>
      <c r="X169" s="34">
        <v>12</v>
      </c>
      <c r="Y169" s="24" t="s">
        <v>2108</v>
      </c>
      <c r="Z169" s="30">
        <v>46213</v>
      </c>
      <c r="AA169" s="24" t="s">
        <v>2171</v>
      </c>
      <c r="AB169" s="136" t="str">
        <f t="shared" si="2"/>
        <v>Platinum</v>
      </c>
    </row>
    <row r="170" spans="1:28">
      <c r="A170" s="24" t="s">
        <v>884</v>
      </c>
      <c r="B170" s="24" t="s">
        <v>53</v>
      </c>
      <c r="C170" s="24" t="s">
        <v>72</v>
      </c>
      <c r="D170" s="30">
        <v>46040</v>
      </c>
      <c r="E170" s="30" t="s">
        <v>483</v>
      </c>
      <c r="F170" s="24" t="s">
        <v>163</v>
      </c>
      <c r="G170" s="24" t="s">
        <v>28</v>
      </c>
      <c r="H170" s="30" t="s">
        <v>58</v>
      </c>
      <c r="I170" s="24" t="s">
        <v>59</v>
      </c>
      <c r="J170" s="24" t="s">
        <v>31</v>
      </c>
      <c r="K170" s="24" t="s">
        <v>2111</v>
      </c>
      <c r="L170" s="24" t="s">
        <v>46</v>
      </c>
      <c r="M170" s="24" t="s">
        <v>78</v>
      </c>
      <c r="N170" s="24">
        <v>6</v>
      </c>
      <c r="O170" s="36">
        <v>900</v>
      </c>
      <c r="P170" s="35">
        <v>0.1</v>
      </c>
      <c r="Q170" s="36">
        <v>4860</v>
      </c>
      <c r="R170" s="34">
        <v>5</v>
      </c>
      <c r="S170" s="24" t="s">
        <v>2148</v>
      </c>
      <c r="T170" s="24" t="s">
        <v>115</v>
      </c>
      <c r="U170" s="24" t="s">
        <v>62</v>
      </c>
      <c r="V170" s="24">
        <v>9402569141</v>
      </c>
      <c r="W170" s="24" t="s">
        <v>2100</v>
      </c>
      <c r="X170" s="34">
        <v>6</v>
      </c>
      <c r="Y170" s="24" t="s">
        <v>2108</v>
      </c>
      <c r="Z170" s="30">
        <v>46229</v>
      </c>
      <c r="AA170" s="24" t="s">
        <v>2172</v>
      </c>
      <c r="AB170" s="136" t="str">
        <f t="shared" si="2"/>
        <v>Silver</v>
      </c>
    </row>
    <row r="171" spans="1:28">
      <c r="A171" s="24" t="s">
        <v>887</v>
      </c>
      <c r="B171" s="24" t="s">
        <v>251</v>
      </c>
      <c r="C171" s="24" t="s">
        <v>169</v>
      </c>
      <c r="D171" s="30">
        <v>45919</v>
      </c>
      <c r="E171" s="30" t="s">
        <v>247</v>
      </c>
      <c r="F171" s="24" t="s">
        <v>254</v>
      </c>
      <c r="G171" s="24" t="s">
        <v>28</v>
      </c>
      <c r="H171" s="30" t="s">
        <v>255</v>
      </c>
      <c r="I171" s="24" t="s">
        <v>114</v>
      </c>
      <c r="J171" s="24" t="s">
        <v>106</v>
      </c>
      <c r="K171" s="24" t="s">
        <v>2111</v>
      </c>
      <c r="L171" s="24" t="s">
        <v>32</v>
      </c>
      <c r="M171" s="24" t="s">
        <v>174</v>
      </c>
      <c r="N171" s="24">
        <v>1</v>
      </c>
      <c r="O171" s="36">
        <v>6375</v>
      </c>
      <c r="P171" s="35">
        <v>0</v>
      </c>
      <c r="Q171" s="36">
        <v>6375</v>
      </c>
      <c r="R171" s="34">
        <v>1</v>
      </c>
      <c r="S171" s="24" t="s">
        <v>2149</v>
      </c>
      <c r="T171" s="24" t="s">
        <v>151</v>
      </c>
      <c r="U171" s="24" t="s">
        <v>256</v>
      </c>
      <c r="V171" s="24">
        <v>9138184056</v>
      </c>
      <c r="W171" s="24" t="s">
        <v>2100</v>
      </c>
      <c r="X171" s="34">
        <v>24</v>
      </c>
      <c r="Y171" s="24" t="s">
        <v>2112</v>
      </c>
      <c r="Z171" s="30">
        <v>46650</v>
      </c>
      <c r="AA171" s="24" t="s">
        <v>2173</v>
      </c>
      <c r="AB171" s="136" t="str">
        <f t="shared" si="2"/>
        <v>Blacklisted</v>
      </c>
    </row>
    <row r="172" spans="1:28">
      <c r="A172" s="24" t="s">
        <v>890</v>
      </c>
      <c r="B172" s="24" t="s">
        <v>127</v>
      </c>
      <c r="C172" s="24" t="s">
        <v>54</v>
      </c>
      <c r="D172" s="30">
        <v>46113</v>
      </c>
      <c r="E172" s="30" t="s">
        <v>892</v>
      </c>
      <c r="F172" s="24" t="s">
        <v>200</v>
      </c>
      <c r="G172" s="24" t="s">
        <v>76</v>
      </c>
      <c r="H172" s="30" t="s">
        <v>131</v>
      </c>
      <c r="I172" s="24" t="s">
        <v>44</v>
      </c>
      <c r="J172" s="24" t="s">
        <v>45</v>
      </c>
      <c r="K172" s="24" t="s">
        <v>2113</v>
      </c>
      <c r="L172" s="24" t="s">
        <v>46</v>
      </c>
      <c r="M172" s="24" t="s">
        <v>60</v>
      </c>
      <c r="N172" s="24">
        <v>20</v>
      </c>
      <c r="O172" s="36">
        <v>41250</v>
      </c>
      <c r="P172" s="35">
        <v>0.1</v>
      </c>
      <c r="Q172" s="36">
        <v>742500</v>
      </c>
      <c r="R172" s="34">
        <v>5</v>
      </c>
      <c r="S172" s="24" t="s">
        <v>2148</v>
      </c>
      <c r="T172" s="24" t="s">
        <v>151</v>
      </c>
      <c r="U172" s="24" t="s">
        <v>132</v>
      </c>
      <c r="V172" s="24">
        <v>9609598700</v>
      </c>
      <c r="W172" s="24" t="s">
        <v>2100</v>
      </c>
      <c r="X172" s="34">
        <v>12</v>
      </c>
      <c r="Y172" s="24" t="s">
        <v>2112</v>
      </c>
      <c r="Z172" s="30">
        <v>46484</v>
      </c>
      <c r="AA172" s="24" t="s">
        <v>2176</v>
      </c>
      <c r="AB172" s="136" t="str">
        <f t="shared" si="2"/>
        <v>Platinum</v>
      </c>
    </row>
    <row r="173" spans="1:28">
      <c r="A173" s="24" t="s">
        <v>895</v>
      </c>
      <c r="B173" s="24" t="s">
        <v>221</v>
      </c>
      <c r="C173" s="24" t="s">
        <v>72</v>
      </c>
      <c r="D173" s="30">
        <v>45958</v>
      </c>
      <c r="E173" s="30" t="s">
        <v>896</v>
      </c>
      <c r="F173" s="24" t="s">
        <v>225</v>
      </c>
      <c r="G173" s="24" t="s">
        <v>76</v>
      </c>
      <c r="H173" s="30" t="s">
        <v>226</v>
      </c>
      <c r="I173" s="24" t="s">
        <v>105</v>
      </c>
      <c r="J173" s="24" t="s">
        <v>106</v>
      </c>
      <c r="K173" s="24" t="s">
        <v>2113</v>
      </c>
      <c r="L173" s="24" t="s">
        <v>46</v>
      </c>
      <c r="M173" s="24" t="s">
        <v>78</v>
      </c>
      <c r="N173" s="24">
        <v>8</v>
      </c>
      <c r="O173" s="36">
        <v>900</v>
      </c>
      <c r="P173" s="35">
        <v>0.15</v>
      </c>
      <c r="Q173" s="36">
        <v>6120</v>
      </c>
      <c r="R173" s="34">
        <v>2</v>
      </c>
      <c r="S173" s="24" t="s">
        <v>2149</v>
      </c>
      <c r="T173" s="24" t="s">
        <v>115</v>
      </c>
      <c r="U173" s="24" t="s">
        <v>228</v>
      </c>
      <c r="V173" s="24">
        <v>9385894399</v>
      </c>
      <c r="W173" s="24" t="s">
        <v>2100</v>
      </c>
      <c r="X173" s="34">
        <v>6</v>
      </c>
      <c r="Y173" s="24" t="s">
        <v>2112</v>
      </c>
      <c r="Z173" s="30">
        <v>46141</v>
      </c>
      <c r="AA173" s="24" t="s">
        <v>2171</v>
      </c>
      <c r="AB173" s="136" t="str">
        <f t="shared" si="2"/>
        <v>Blacklisted</v>
      </c>
    </row>
    <row r="174" spans="1:28">
      <c r="A174" s="24" t="s">
        <v>899</v>
      </c>
      <c r="B174" s="24" t="s">
        <v>23</v>
      </c>
      <c r="C174" s="24" t="s">
        <v>92</v>
      </c>
      <c r="D174" s="30">
        <v>45694</v>
      </c>
      <c r="E174" s="30" t="s">
        <v>901</v>
      </c>
      <c r="F174" s="24" t="s">
        <v>27</v>
      </c>
      <c r="G174" s="24" t="s">
        <v>28</v>
      </c>
      <c r="H174" s="30" t="s">
        <v>29</v>
      </c>
      <c r="I174" s="24" t="s">
        <v>30</v>
      </c>
      <c r="J174" s="24" t="s">
        <v>31</v>
      </c>
      <c r="K174" s="24" t="s">
        <v>2111</v>
      </c>
      <c r="L174" s="24" t="s">
        <v>32</v>
      </c>
      <c r="M174" s="24" t="s">
        <v>97</v>
      </c>
      <c r="N174" s="24">
        <v>19</v>
      </c>
      <c r="O174" s="36">
        <v>2625</v>
      </c>
      <c r="P174" s="35">
        <v>0.05</v>
      </c>
      <c r="Q174" s="36">
        <v>47381.25</v>
      </c>
      <c r="R174" s="34">
        <v>4</v>
      </c>
      <c r="S174" s="24" t="s">
        <v>2149</v>
      </c>
      <c r="T174" s="24" t="s">
        <v>49</v>
      </c>
      <c r="U174" s="24" t="s">
        <v>50</v>
      </c>
      <c r="V174" s="24">
        <v>9329448011</v>
      </c>
      <c r="W174" s="24" t="s">
        <v>2101</v>
      </c>
      <c r="X174" s="34">
        <v>6</v>
      </c>
      <c r="Y174" s="24" t="s">
        <v>2108</v>
      </c>
      <c r="Z174" s="30">
        <v>45886</v>
      </c>
      <c r="AA174" s="24" t="s">
        <v>2171</v>
      </c>
      <c r="AB174" s="136" t="str">
        <f t="shared" si="2"/>
        <v>Silver</v>
      </c>
    </row>
    <row r="175" spans="1:28">
      <c r="A175" s="24" t="s">
        <v>904</v>
      </c>
      <c r="B175" s="24" t="s">
        <v>221</v>
      </c>
      <c r="C175" s="24" t="s">
        <v>259</v>
      </c>
      <c r="D175" s="30">
        <v>45774</v>
      </c>
      <c r="E175" s="30" t="s">
        <v>606</v>
      </c>
      <c r="F175" s="24" t="s">
        <v>225</v>
      </c>
      <c r="G175" s="24" t="s">
        <v>76</v>
      </c>
      <c r="H175" s="30" t="s">
        <v>226</v>
      </c>
      <c r="I175" s="24" t="s">
        <v>105</v>
      </c>
      <c r="J175" s="24" t="s">
        <v>106</v>
      </c>
      <c r="K175" s="24" t="s">
        <v>2113</v>
      </c>
      <c r="L175" s="24" t="s">
        <v>122</v>
      </c>
      <c r="M175" s="24" t="s">
        <v>263</v>
      </c>
      <c r="N175" s="24">
        <v>6</v>
      </c>
      <c r="O175" s="36">
        <v>33.75</v>
      </c>
      <c r="P175" s="35">
        <v>0.2</v>
      </c>
      <c r="Q175" s="36">
        <v>162</v>
      </c>
      <c r="R175" s="34">
        <v>1</v>
      </c>
      <c r="S175" s="24" t="s">
        <v>79</v>
      </c>
      <c r="T175" s="24" t="s">
        <v>49</v>
      </c>
      <c r="U175" s="24" t="s">
        <v>228</v>
      </c>
      <c r="V175" s="24">
        <v>9889544104</v>
      </c>
      <c r="W175" s="24" t="s">
        <v>2100</v>
      </c>
      <c r="X175" s="34">
        <v>12</v>
      </c>
      <c r="Y175" s="24" t="s">
        <v>2112</v>
      </c>
      <c r="Z175" s="30">
        <v>46141</v>
      </c>
      <c r="AA175" s="24" t="s">
        <v>2171</v>
      </c>
      <c r="AB175" s="136" t="str">
        <f t="shared" si="2"/>
        <v>Blacklisted</v>
      </c>
    </row>
    <row r="176" spans="1:28">
      <c r="A176" s="24" t="s">
        <v>909</v>
      </c>
      <c r="B176" s="24" t="s">
        <v>251</v>
      </c>
      <c r="C176" s="24" t="s">
        <v>259</v>
      </c>
      <c r="D176" s="30">
        <v>45730</v>
      </c>
      <c r="E176" s="30" t="s">
        <v>119</v>
      </c>
      <c r="F176" s="24" t="s">
        <v>254</v>
      </c>
      <c r="G176" s="24" t="s">
        <v>28</v>
      </c>
      <c r="H176" s="30" t="s">
        <v>255</v>
      </c>
      <c r="I176" s="24" t="s">
        <v>114</v>
      </c>
      <c r="J176" s="24" t="s">
        <v>106</v>
      </c>
      <c r="K176" s="24" t="s">
        <v>2111</v>
      </c>
      <c r="L176" s="24" t="s">
        <v>122</v>
      </c>
      <c r="M176" s="24" t="s">
        <v>263</v>
      </c>
      <c r="N176" s="24">
        <v>17</v>
      </c>
      <c r="O176" s="36">
        <v>33.75</v>
      </c>
      <c r="P176" s="35">
        <v>0.15</v>
      </c>
      <c r="Q176" s="36">
        <v>487.6875</v>
      </c>
      <c r="R176" s="34">
        <v>5</v>
      </c>
      <c r="S176" s="24" t="s">
        <v>34</v>
      </c>
      <c r="T176" s="24" t="s">
        <v>115</v>
      </c>
      <c r="U176" s="24" t="s">
        <v>256</v>
      </c>
      <c r="V176" s="24">
        <v>9101861045</v>
      </c>
      <c r="W176" s="24" t="s">
        <v>2100</v>
      </c>
      <c r="X176" s="34">
        <v>12</v>
      </c>
      <c r="Y176" s="24" t="s">
        <v>2112</v>
      </c>
      <c r="Z176" s="30">
        <v>46106</v>
      </c>
      <c r="AA176" s="24" t="s">
        <v>2173</v>
      </c>
      <c r="AB176" s="136" t="str">
        <f t="shared" si="2"/>
        <v>Silver</v>
      </c>
    </row>
    <row r="177" spans="1:28">
      <c r="A177" s="24" t="s">
        <v>913</v>
      </c>
      <c r="B177" s="24" t="s">
        <v>23</v>
      </c>
      <c r="C177" s="24" t="s">
        <v>222</v>
      </c>
      <c r="D177" s="30">
        <v>45842</v>
      </c>
      <c r="E177" s="30" t="s">
        <v>914</v>
      </c>
      <c r="F177" s="24" t="s">
        <v>27</v>
      </c>
      <c r="G177" s="24" t="s">
        <v>28</v>
      </c>
      <c r="H177" s="30" t="s">
        <v>29</v>
      </c>
      <c r="I177" s="24" t="s">
        <v>30</v>
      </c>
      <c r="J177" s="24" t="s">
        <v>31</v>
      </c>
      <c r="K177" s="24" t="s">
        <v>2111</v>
      </c>
      <c r="L177" s="24" t="s">
        <v>122</v>
      </c>
      <c r="M177" s="24" t="s">
        <v>227</v>
      </c>
      <c r="N177" s="24">
        <v>19</v>
      </c>
      <c r="O177" s="36">
        <v>15</v>
      </c>
      <c r="P177" s="35">
        <v>0.05</v>
      </c>
      <c r="Q177" s="36">
        <v>270.75</v>
      </c>
      <c r="R177" s="34">
        <v>4</v>
      </c>
      <c r="S177" s="24" t="s">
        <v>34</v>
      </c>
      <c r="T177" s="24" t="s">
        <v>35</v>
      </c>
      <c r="U177" s="24" t="s">
        <v>50</v>
      </c>
      <c r="V177" s="24">
        <v>9364712105</v>
      </c>
      <c r="W177" s="24" t="s">
        <v>2103</v>
      </c>
      <c r="X177" s="34">
        <v>12</v>
      </c>
      <c r="Y177" s="24" t="s">
        <v>2108</v>
      </c>
      <c r="Z177" s="30">
        <v>46219</v>
      </c>
      <c r="AA177" s="24" t="s">
        <v>2171</v>
      </c>
      <c r="AB177" s="136" t="str">
        <f t="shared" si="2"/>
        <v>Silver</v>
      </c>
    </row>
    <row r="178" spans="1:28">
      <c r="A178" s="24" t="s">
        <v>917</v>
      </c>
      <c r="B178" s="24" t="s">
        <v>251</v>
      </c>
      <c r="C178" s="24" t="s">
        <v>222</v>
      </c>
      <c r="D178" s="30">
        <v>45993</v>
      </c>
      <c r="E178" s="30" t="s">
        <v>352</v>
      </c>
      <c r="F178" s="24" t="s">
        <v>254</v>
      </c>
      <c r="G178" s="24" t="s">
        <v>28</v>
      </c>
      <c r="H178" s="30" t="s">
        <v>255</v>
      </c>
      <c r="I178" s="24" t="s">
        <v>114</v>
      </c>
      <c r="J178" s="24" t="s">
        <v>106</v>
      </c>
      <c r="K178" s="24" t="s">
        <v>2111</v>
      </c>
      <c r="L178" s="24" t="s">
        <v>122</v>
      </c>
      <c r="M178" s="24" t="s">
        <v>227</v>
      </c>
      <c r="N178" s="24">
        <v>11</v>
      </c>
      <c r="O178" s="36">
        <v>15</v>
      </c>
      <c r="P178" s="35">
        <v>0</v>
      </c>
      <c r="Q178" s="36">
        <v>165</v>
      </c>
      <c r="R178" s="34">
        <v>3</v>
      </c>
      <c r="S178" s="24" t="s">
        <v>2148</v>
      </c>
      <c r="T178" s="24" t="s">
        <v>49</v>
      </c>
      <c r="U178" s="24" t="s">
        <v>256</v>
      </c>
      <c r="V178" s="24">
        <v>9950206376</v>
      </c>
      <c r="W178" s="24" t="s">
        <v>2103</v>
      </c>
      <c r="X178" s="34">
        <v>12</v>
      </c>
      <c r="Y178" s="24" t="s">
        <v>2112</v>
      </c>
      <c r="Z178" s="30">
        <v>46359</v>
      </c>
      <c r="AA178" s="24" t="s">
        <v>2173</v>
      </c>
      <c r="AB178" s="136" t="str">
        <f t="shared" si="2"/>
        <v>Silver</v>
      </c>
    </row>
    <row r="179" spans="1:28">
      <c r="A179" s="24" t="s">
        <v>922</v>
      </c>
      <c r="B179" s="24" t="s">
        <v>168</v>
      </c>
      <c r="C179" s="24" t="s">
        <v>118</v>
      </c>
      <c r="D179" s="30">
        <v>46067</v>
      </c>
      <c r="E179" s="30" t="s">
        <v>923</v>
      </c>
      <c r="F179" s="24" t="s">
        <v>361</v>
      </c>
      <c r="G179" s="24" t="s">
        <v>28</v>
      </c>
      <c r="H179" s="30" t="s">
        <v>173</v>
      </c>
      <c r="I179" s="24" t="s">
        <v>114</v>
      </c>
      <c r="J179" s="24" t="s">
        <v>106</v>
      </c>
      <c r="K179" s="24" t="s">
        <v>2111</v>
      </c>
      <c r="L179" s="24" t="s">
        <v>122</v>
      </c>
      <c r="M179" s="24" t="s">
        <v>123</v>
      </c>
      <c r="N179" s="24">
        <v>12</v>
      </c>
      <c r="O179" s="36">
        <v>45</v>
      </c>
      <c r="P179" s="35">
        <v>0</v>
      </c>
      <c r="Q179" s="36">
        <v>540</v>
      </c>
      <c r="R179" s="34">
        <v>2</v>
      </c>
      <c r="S179" s="24" t="s">
        <v>2148</v>
      </c>
      <c r="T179" s="24" t="s">
        <v>49</v>
      </c>
      <c r="U179" s="24" t="s">
        <v>175</v>
      </c>
      <c r="V179" s="24">
        <v>9235822094</v>
      </c>
      <c r="W179" s="24" t="s">
        <v>2102</v>
      </c>
      <c r="X179" s="34">
        <v>12</v>
      </c>
      <c r="Y179" s="24" t="s">
        <v>2112</v>
      </c>
      <c r="Z179" s="30">
        <v>46439</v>
      </c>
      <c r="AA179" s="24" t="s">
        <v>2177</v>
      </c>
      <c r="AB179" s="136" t="str">
        <f t="shared" si="2"/>
        <v>Blacklisted</v>
      </c>
    </row>
    <row r="180" spans="1:28">
      <c r="A180" s="24" t="s">
        <v>926</v>
      </c>
      <c r="B180" s="24" t="s">
        <v>221</v>
      </c>
      <c r="C180" s="24" t="s">
        <v>259</v>
      </c>
      <c r="D180" s="30">
        <v>45970</v>
      </c>
      <c r="E180" s="30" t="s">
        <v>865</v>
      </c>
      <c r="F180" s="24" t="s">
        <v>225</v>
      </c>
      <c r="G180" s="24" t="s">
        <v>76</v>
      </c>
      <c r="H180" s="30" t="s">
        <v>226</v>
      </c>
      <c r="I180" s="24" t="s">
        <v>105</v>
      </c>
      <c r="J180" s="24" t="s">
        <v>106</v>
      </c>
      <c r="K180" s="24" t="s">
        <v>2113</v>
      </c>
      <c r="L180" s="24" t="s">
        <v>122</v>
      </c>
      <c r="M180" s="24" t="s">
        <v>263</v>
      </c>
      <c r="N180" s="24">
        <v>14</v>
      </c>
      <c r="O180" s="36">
        <v>33.75</v>
      </c>
      <c r="P180" s="35">
        <v>0.15</v>
      </c>
      <c r="Q180" s="36">
        <v>401.625</v>
      </c>
      <c r="R180" s="34">
        <v>5</v>
      </c>
      <c r="S180" s="24" t="s">
        <v>2149</v>
      </c>
      <c r="T180" s="24" t="s">
        <v>115</v>
      </c>
      <c r="U180" s="24" t="s">
        <v>228</v>
      </c>
      <c r="V180" s="24">
        <v>9311021344</v>
      </c>
      <c r="W180" s="24" t="s">
        <v>2100</v>
      </c>
      <c r="X180" s="34">
        <v>12</v>
      </c>
      <c r="Y180" s="24" t="s">
        <v>2112</v>
      </c>
      <c r="Z180" s="30">
        <v>46339</v>
      </c>
      <c r="AA180" s="24" t="s">
        <v>2171</v>
      </c>
      <c r="AB180" s="136" t="str">
        <f t="shared" si="2"/>
        <v>Silver</v>
      </c>
    </row>
    <row r="181" spans="1:28">
      <c r="A181" s="24" t="s">
        <v>931</v>
      </c>
      <c r="B181" s="24" t="s">
        <v>23</v>
      </c>
      <c r="C181" s="24" t="s">
        <v>184</v>
      </c>
      <c r="D181" s="30">
        <v>45695</v>
      </c>
      <c r="E181" s="30" t="s">
        <v>303</v>
      </c>
      <c r="F181" s="24" t="s">
        <v>27</v>
      </c>
      <c r="G181" s="24" t="s">
        <v>28</v>
      </c>
      <c r="H181" s="30" t="s">
        <v>29</v>
      </c>
      <c r="I181" s="24" t="s">
        <v>30</v>
      </c>
      <c r="J181" s="24" t="s">
        <v>31</v>
      </c>
      <c r="K181" s="24" t="s">
        <v>2111</v>
      </c>
      <c r="L181" s="24" t="s">
        <v>46</v>
      </c>
      <c r="M181" s="24" t="s">
        <v>189</v>
      </c>
      <c r="N181" s="24">
        <v>15</v>
      </c>
      <c r="O181" s="36">
        <v>525</v>
      </c>
      <c r="P181" s="35">
        <v>0.1</v>
      </c>
      <c r="Q181" s="36">
        <v>7087.5</v>
      </c>
      <c r="R181" s="34">
        <v>3</v>
      </c>
      <c r="S181" s="24" t="s">
        <v>2148</v>
      </c>
      <c r="T181" s="24" t="s">
        <v>49</v>
      </c>
      <c r="U181" s="24" t="s">
        <v>50</v>
      </c>
      <c r="V181" s="24">
        <v>9891358505</v>
      </c>
      <c r="W181" s="24" t="s">
        <v>2100</v>
      </c>
      <c r="X181" s="34">
        <v>24</v>
      </c>
      <c r="Y181" s="24" t="s">
        <v>2108</v>
      </c>
      <c r="Z181" s="30">
        <v>46437</v>
      </c>
      <c r="AA181" s="24" t="s">
        <v>2171</v>
      </c>
      <c r="AB181" s="136" t="str">
        <f t="shared" si="2"/>
        <v>Silver</v>
      </c>
    </row>
    <row r="182" spans="1:28">
      <c r="A182" s="24" t="s">
        <v>935</v>
      </c>
      <c r="B182" s="24" t="s">
        <v>100</v>
      </c>
      <c r="C182" s="24" t="s">
        <v>169</v>
      </c>
      <c r="D182" s="30">
        <v>45803</v>
      </c>
      <c r="E182" s="30" t="s">
        <v>683</v>
      </c>
      <c r="F182" s="24" t="s">
        <v>103</v>
      </c>
      <c r="G182" s="24" t="s">
        <v>28</v>
      </c>
      <c r="H182" s="30" t="s">
        <v>104</v>
      </c>
      <c r="I182" s="24" t="s">
        <v>105</v>
      </c>
      <c r="J182" s="24" t="s">
        <v>106</v>
      </c>
      <c r="K182" s="24" t="s">
        <v>2111</v>
      </c>
      <c r="L182" s="24" t="s">
        <v>32</v>
      </c>
      <c r="M182" s="24" t="s">
        <v>174</v>
      </c>
      <c r="N182" s="24">
        <v>19</v>
      </c>
      <c r="O182" s="36">
        <v>6375</v>
      </c>
      <c r="P182" s="35">
        <v>0.15</v>
      </c>
      <c r="Q182" s="36">
        <v>102956.25</v>
      </c>
      <c r="R182" s="34">
        <v>2</v>
      </c>
      <c r="S182" s="24" t="s">
        <v>34</v>
      </c>
      <c r="T182" s="24" t="s">
        <v>35</v>
      </c>
      <c r="U182" s="24" t="s">
        <v>144</v>
      </c>
      <c r="V182" s="24">
        <v>9910085332</v>
      </c>
      <c r="W182" s="24" t="s">
        <v>2100</v>
      </c>
      <c r="X182" s="34">
        <v>24</v>
      </c>
      <c r="Y182" s="24" t="s">
        <v>2110</v>
      </c>
      <c r="Z182" s="30">
        <v>46537</v>
      </c>
      <c r="AA182" s="24" t="s">
        <v>2175</v>
      </c>
      <c r="AB182" s="136" t="str">
        <f t="shared" si="2"/>
        <v>Blacklisted</v>
      </c>
    </row>
    <row r="183" spans="1:28">
      <c r="A183" s="24" t="s">
        <v>939</v>
      </c>
      <c r="B183" s="24" t="s">
        <v>251</v>
      </c>
      <c r="C183" s="24" t="s">
        <v>118</v>
      </c>
      <c r="D183" s="30">
        <v>45934</v>
      </c>
      <c r="E183" s="30" t="s">
        <v>941</v>
      </c>
      <c r="F183" s="24" t="s">
        <v>254</v>
      </c>
      <c r="G183" s="24" t="s">
        <v>28</v>
      </c>
      <c r="H183" s="30" t="s">
        <v>255</v>
      </c>
      <c r="I183" s="24" t="s">
        <v>114</v>
      </c>
      <c r="J183" s="24" t="s">
        <v>106</v>
      </c>
      <c r="K183" s="24" t="s">
        <v>2111</v>
      </c>
      <c r="L183" s="24" t="s">
        <v>122</v>
      </c>
      <c r="M183" s="24" t="s">
        <v>123</v>
      </c>
      <c r="N183" s="24">
        <v>19</v>
      </c>
      <c r="O183" s="36">
        <v>45</v>
      </c>
      <c r="P183" s="35">
        <v>0.2</v>
      </c>
      <c r="Q183" s="36">
        <v>684</v>
      </c>
      <c r="R183" s="34">
        <v>4</v>
      </c>
      <c r="S183" s="24" t="s">
        <v>79</v>
      </c>
      <c r="T183" s="24" t="s">
        <v>49</v>
      </c>
      <c r="U183" s="24" t="s">
        <v>256</v>
      </c>
      <c r="V183" s="24">
        <v>9756908023</v>
      </c>
      <c r="W183" s="24" t="s">
        <v>2102</v>
      </c>
      <c r="X183" s="34">
        <v>12</v>
      </c>
      <c r="Y183" s="24" t="s">
        <v>2112</v>
      </c>
      <c r="Z183" s="30">
        <v>46301</v>
      </c>
      <c r="AA183" s="24" t="s">
        <v>2173</v>
      </c>
      <c r="AB183" s="136" t="str">
        <f t="shared" si="2"/>
        <v>Silver</v>
      </c>
    </row>
    <row r="184" spans="1:28">
      <c r="A184" s="24" t="s">
        <v>943</v>
      </c>
      <c r="B184" s="24" t="s">
        <v>100</v>
      </c>
      <c r="C184" s="24" t="s">
        <v>259</v>
      </c>
      <c r="D184" s="30">
        <v>45792</v>
      </c>
      <c r="E184" s="30" t="s">
        <v>936</v>
      </c>
      <c r="F184" s="24" t="s">
        <v>103</v>
      </c>
      <c r="G184" s="24" t="s">
        <v>28</v>
      </c>
      <c r="H184" s="30" t="s">
        <v>104</v>
      </c>
      <c r="I184" s="24" t="s">
        <v>105</v>
      </c>
      <c r="J184" s="24" t="s">
        <v>106</v>
      </c>
      <c r="K184" s="24" t="s">
        <v>2111</v>
      </c>
      <c r="L184" s="24" t="s">
        <v>122</v>
      </c>
      <c r="M184" s="24" t="s">
        <v>263</v>
      </c>
      <c r="N184" s="24">
        <v>10</v>
      </c>
      <c r="O184" s="36">
        <v>33.75</v>
      </c>
      <c r="P184" s="35">
        <v>0.15</v>
      </c>
      <c r="Q184" s="36">
        <v>286.875</v>
      </c>
      <c r="R184" s="34">
        <v>4</v>
      </c>
      <c r="S184" s="24" t="s">
        <v>34</v>
      </c>
      <c r="T184" s="24" t="s">
        <v>151</v>
      </c>
      <c r="U184" s="24" t="s">
        <v>144</v>
      </c>
      <c r="V184" s="24">
        <v>9645913247</v>
      </c>
      <c r="W184" s="24" t="s">
        <v>2100</v>
      </c>
      <c r="X184" s="34">
        <v>12</v>
      </c>
      <c r="Y184" s="24" t="s">
        <v>2110</v>
      </c>
      <c r="Z184" s="30">
        <v>46168</v>
      </c>
      <c r="AA184" s="24" t="s">
        <v>2175</v>
      </c>
      <c r="AB184" s="136" t="str">
        <f t="shared" si="2"/>
        <v>Silver</v>
      </c>
    </row>
    <row r="185" spans="1:28">
      <c r="A185" s="24" t="s">
        <v>947</v>
      </c>
      <c r="B185" s="24" t="s">
        <v>71</v>
      </c>
      <c r="C185" s="24" t="s">
        <v>24</v>
      </c>
      <c r="D185" s="30">
        <v>45822</v>
      </c>
      <c r="E185" s="30" t="s">
        <v>949</v>
      </c>
      <c r="F185" s="24" t="s">
        <v>217</v>
      </c>
      <c r="G185" s="24" t="s">
        <v>76</v>
      </c>
      <c r="H185" s="30" t="s">
        <v>77</v>
      </c>
      <c r="I185" s="24" t="s">
        <v>44</v>
      </c>
      <c r="J185" s="24" t="s">
        <v>45</v>
      </c>
      <c r="K185" s="24" t="s">
        <v>2114</v>
      </c>
      <c r="L185" s="24" t="s">
        <v>32</v>
      </c>
      <c r="M185" s="24" t="s">
        <v>33</v>
      </c>
      <c r="N185" s="24">
        <v>7</v>
      </c>
      <c r="O185" s="36">
        <v>1650</v>
      </c>
      <c r="P185" s="35">
        <v>0.2</v>
      </c>
      <c r="Q185" s="36">
        <v>9240</v>
      </c>
      <c r="R185" s="34">
        <v>5</v>
      </c>
      <c r="S185" s="24" t="s">
        <v>2149</v>
      </c>
      <c r="T185" s="24" t="s">
        <v>49</v>
      </c>
      <c r="U185" s="24" t="s">
        <v>80</v>
      </c>
      <c r="V185" s="24">
        <v>9806914795</v>
      </c>
      <c r="W185" s="24" t="s">
        <v>2101</v>
      </c>
      <c r="X185" s="34">
        <v>24</v>
      </c>
      <c r="Y185" s="24" t="s">
        <v>2110</v>
      </c>
      <c r="Z185" s="30">
        <v>46561</v>
      </c>
      <c r="AA185" s="24" t="s">
        <v>2173</v>
      </c>
      <c r="AB185" s="136" t="str">
        <f t="shared" si="2"/>
        <v>Silver</v>
      </c>
    </row>
    <row r="186" spans="1:28">
      <c r="A186" s="24" t="s">
        <v>952</v>
      </c>
      <c r="B186" s="24" t="s">
        <v>100</v>
      </c>
      <c r="C186" s="24" t="s">
        <v>169</v>
      </c>
      <c r="D186" s="30">
        <v>45769</v>
      </c>
      <c r="E186" s="30" t="s">
        <v>42</v>
      </c>
      <c r="F186" s="24" t="s">
        <v>103</v>
      </c>
      <c r="G186" s="24" t="s">
        <v>28</v>
      </c>
      <c r="H186" s="30" t="s">
        <v>104</v>
      </c>
      <c r="I186" s="24" t="s">
        <v>105</v>
      </c>
      <c r="J186" s="24" t="s">
        <v>106</v>
      </c>
      <c r="K186" s="24" t="s">
        <v>2111</v>
      </c>
      <c r="L186" s="24" t="s">
        <v>32</v>
      </c>
      <c r="M186" s="24" t="s">
        <v>174</v>
      </c>
      <c r="N186" s="24">
        <v>20</v>
      </c>
      <c r="O186" s="36">
        <v>6375</v>
      </c>
      <c r="P186" s="35">
        <v>0.2</v>
      </c>
      <c r="Q186" s="36">
        <v>102000</v>
      </c>
      <c r="R186" s="34">
        <v>4</v>
      </c>
      <c r="S186" s="24" t="s">
        <v>2148</v>
      </c>
      <c r="T186" s="24" t="s">
        <v>35</v>
      </c>
      <c r="U186" s="24" t="s">
        <v>144</v>
      </c>
      <c r="V186" s="24">
        <v>9276222829</v>
      </c>
      <c r="W186" s="24" t="s">
        <v>2100</v>
      </c>
      <c r="X186" s="34">
        <v>24</v>
      </c>
      <c r="Y186" s="24" t="s">
        <v>2110</v>
      </c>
      <c r="Z186" s="30">
        <v>46511</v>
      </c>
      <c r="AA186" s="24" t="s">
        <v>2175</v>
      </c>
      <c r="AB186" s="136" t="str">
        <f t="shared" si="2"/>
        <v>Gold</v>
      </c>
    </row>
    <row r="187" spans="1:28">
      <c r="A187" s="24" t="s">
        <v>956</v>
      </c>
      <c r="B187" s="24" t="s">
        <v>251</v>
      </c>
      <c r="C187" s="24" t="s">
        <v>24</v>
      </c>
      <c r="D187" s="30">
        <v>45679</v>
      </c>
      <c r="E187" s="30" t="s">
        <v>957</v>
      </c>
      <c r="F187" s="24" t="s">
        <v>254</v>
      </c>
      <c r="G187" s="24" t="s">
        <v>28</v>
      </c>
      <c r="H187" s="30" t="s">
        <v>255</v>
      </c>
      <c r="I187" s="24" t="s">
        <v>114</v>
      </c>
      <c r="J187" s="24" t="s">
        <v>106</v>
      </c>
      <c r="K187" s="24" t="s">
        <v>2111</v>
      </c>
      <c r="L187" s="24" t="s">
        <v>32</v>
      </c>
      <c r="M187" s="24" t="s">
        <v>33</v>
      </c>
      <c r="N187" s="24">
        <v>10</v>
      </c>
      <c r="O187" s="36">
        <v>1650</v>
      </c>
      <c r="P187" s="35">
        <v>0.05</v>
      </c>
      <c r="Q187" s="36">
        <v>15675</v>
      </c>
      <c r="R187" s="34">
        <v>2</v>
      </c>
      <c r="S187" s="24" t="s">
        <v>2148</v>
      </c>
      <c r="T187" s="24" t="s">
        <v>49</v>
      </c>
      <c r="U187" s="24" t="s">
        <v>256</v>
      </c>
      <c r="V187" s="24">
        <v>9533835528</v>
      </c>
      <c r="W187" s="24" t="s">
        <v>2101</v>
      </c>
      <c r="X187" s="34">
        <v>24</v>
      </c>
      <c r="Y187" s="24" t="s">
        <v>2112</v>
      </c>
      <c r="Z187" s="30">
        <v>46411</v>
      </c>
      <c r="AA187" s="24" t="s">
        <v>2173</v>
      </c>
      <c r="AB187" s="136" t="str">
        <f t="shared" si="2"/>
        <v>Blacklisted</v>
      </c>
    </row>
    <row r="188" spans="1:28">
      <c r="A188" s="24" t="s">
        <v>960</v>
      </c>
      <c r="B188" s="24" t="s">
        <v>127</v>
      </c>
      <c r="C188" s="24" t="s">
        <v>118</v>
      </c>
      <c r="D188" s="30">
        <v>46007</v>
      </c>
      <c r="E188" s="30" t="s">
        <v>961</v>
      </c>
      <c r="F188" s="24" t="s">
        <v>200</v>
      </c>
      <c r="G188" s="24" t="s">
        <v>76</v>
      </c>
      <c r="H188" s="30" t="s">
        <v>131</v>
      </c>
      <c r="I188" s="24" t="s">
        <v>44</v>
      </c>
      <c r="J188" s="24" t="s">
        <v>45</v>
      </c>
      <c r="K188" s="24" t="s">
        <v>2113</v>
      </c>
      <c r="L188" s="24" t="s">
        <v>122</v>
      </c>
      <c r="M188" s="24" t="s">
        <v>123</v>
      </c>
      <c r="N188" s="24">
        <v>15</v>
      </c>
      <c r="O188" s="36">
        <v>45</v>
      </c>
      <c r="P188" s="35">
        <v>0.2</v>
      </c>
      <c r="Q188" s="36">
        <v>540</v>
      </c>
      <c r="R188" s="34">
        <v>1</v>
      </c>
      <c r="S188" s="24" t="s">
        <v>79</v>
      </c>
      <c r="T188" s="24" t="s">
        <v>35</v>
      </c>
      <c r="U188" s="24" t="s">
        <v>132</v>
      </c>
      <c r="V188" s="24">
        <v>9654885820</v>
      </c>
      <c r="W188" s="24" t="s">
        <v>2102</v>
      </c>
      <c r="X188" s="34">
        <v>12</v>
      </c>
      <c r="Y188" s="24" t="s">
        <v>2112</v>
      </c>
      <c r="Z188" s="30">
        <v>46382</v>
      </c>
      <c r="AA188" s="24" t="s">
        <v>2176</v>
      </c>
      <c r="AB188" s="136" t="str">
        <f t="shared" si="2"/>
        <v>Blacklisted</v>
      </c>
    </row>
    <row r="189" spans="1:28">
      <c r="A189" s="24" t="s">
        <v>964</v>
      </c>
      <c r="B189" s="24" t="s">
        <v>221</v>
      </c>
      <c r="C189" s="24" t="s">
        <v>92</v>
      </c>
      <c r="D189" s="30">
        <v>45832</v>
      </c>
      <c r="E189" s="30" t="s">
        <v>965</v>
      </c>
      <c r="F189" s="24" t="s">
        <v>225</v>
      </c>
      <c r="G189" s="24" t="s">
        <v>76</v>
      </c>
      <c r="H189" s="30" t="s">
        <v>226</v>
      </c>
      <c r="I189" s="24" t="s">
        <v>105</v>
      </c>
      <c r="J189" s="24" t="s">
        <v>106</v>
      </c>
      <c r="K189" s="24" t="s">
        <v>2113</v>
      </c>
      <c r="L189" s="24" t="s">
        <v>32</v>
      </c>
      <c r="M189" s="24" t="s">
        <v>97</v>
      </c>
      <c r="N189" s="24">
        <v>18</v>
      </c>
      <c r="O189" s="36">
        <v>2625</v>
      </c>
      <c r="P189" s="35">
        <v>0.05</v>
      </c>
      <c r="Q189" s="36">
        <v>44887.5</v>
      </c>
      <c r="R189" s="34">
        <v>1</v>
      </c>
      <c r="S189" s="24" t="s">
        <v>79</v>
      </c>
      <c r="T189" s="24" t="s">
        <v>49</v>
      </c>
      <c r="U189" s="24" t="s">
        <v>228</v>
      </c>
      <c r="V189" s="24">
        <v>9456029544</v>
      </c>
      <c r="W189" s="24" t="s">
        <v>2101</v>
      </c>
      <c r="X189" s="34">
        <v>6</v>
      </c>
      <c r="Y189" s="24" t="s">
        <v>2112</v>
      </c>
      <c r="Z189" s="30">
        <v>46019</v>
      </c>
      <c r="AA189" s="24" t="s">
        <v>2171</v>
      </c>
      <c r="AB189" s="136" t="str">
        <f t="shared" si="2"/>
        <v>Blacklisted</v>
      </c>
    </row>
    <row r="190" spans="1:28">
      <c r="A190" s="24" t="s">
        <v>968</v>
      </c>
      <c r="B190" s="24" t="s">
        <v>327</v>
      </c>
      <c r="C190" s="24" t="s">
        <v>40</v>
      </c>
      <c r="D190" s="30">
        <v>46154</v>
      </c>
      <c r="E190" s="30" t="s">
        <v>970</v>
      </c>
      <c r="F190" s="24" t="s">
        <v>394</v>
      </c>
      <c r="G190" s="24" t="s">
        <v>76</v>
      </c>
      <c r="H190" s="30" t="s">
        <v>331</v>
      </c>
      <c r="I190" s="24" t="s">
        <v>114</v>
      </c>
      <c r="J190" s="24" t="s">
        <v>106</v>
      </c>
      <c r="K190" s="24" t="s">
        <v>2109</v>
      </c>
      <c r="L190" s="24" t="s">
        <v>46</v>
      </c>
      <c r="M190" s="24" t="s">
        <v>47</v>
      </c>
      <c r="N190" s="24">
        <v>6</v>
      </c>
      <c r="O190" s="36">
        <v>9000</v>
      </c>
      <c r="P190" s="35">
        <v>0.05</v>
      </c>
      <c r="Q190" s="36">
        <v>51300</v>
      </c>
      <c r="R190" s="34">
        <v>1</v>
      </c>
      <c r="S190" s="24" t="s">
        <v>2148</v>
      </c>
      <c r="T190" s="24" t="s">
        <v>49</v>
      </c>
      <c r="U190" s="24" t="s">
        <v>332</v>
      </c>
      <c r="V190" s="24">
        <v>9914571493</v>
      </c>
      <c r="W190" s="24" t="s">
        <v>2101</v>
      </c>
      <c r="X190" s="34">
        <v>24</v>
      </c>
      <c r="Y190" s="24" t="s">
        <v>2108</v>
      </c>
      <c r="Z190" s="30">
        <v>46895</v>
      </c>
      <c r="AA190" s="24" t="s">
        <v>2171</v>
      </c>
      <c r="AB190" s="136" t="str">
        <f t="shared" si="2"/>
        <v>Blacklisted</v>
      </c>
    </row>
    <row r="191" spans="1:28">
      <c r="A191" s="24" t="s">
        <v>973</v>
      </c>
      <c r="B191" s="24" t="s">
        <v>327</v>
      </c>
      <c r="C191" s="24" t="s">
        <v>222</v>
      </c>
      <c r="D191" s="30">
        <v>46067</v>
      </c>
      <c r="E191" s="30" t="s">
        <v>479</v>
      </c>
      <c r="F191" s="24" t="s">
        <v>394</v>
      </c>
      <c r="G191" s="24" t="s">
        <v>76</v>
      </c>
      <c r="H191" s="30" t="s">
        <v>331</v>
      </c>
      <c r="I191" s="24" t="s">
        <v>114</v>
      </c>
      <c r="J191" s="24" t="s">
        <v>106</v>
      </c>
      <c r="K191" s="24" t="s">
        <v>2109</v>
      </c>
      <c r="L191" s="24" t="s">
        <v>122</v>
      </c>
      <c r="M191" s="24" t="s">
        <v>227</v>
      </c>
      <c r="N191" s="24">
        <v>19</v>
      </c>
      <c r="O191" s="36">
        <v>15</v>
      </c>
      <c r="P191" s="35">
        <v>0.1</v>
      </c>
      <c r="Q191" s="36">
        <v>256.5</v>
      </c>
      <c r="R191" s="34">
        <v>2</v>
      </c>
      <c r="S191" s="24" t="s">
        <v>2148</v>
      </c>
      <c r="T191" s="24" t="s">
        <v>35</v>
      </c>
      <c r="U191" s="24" t="s">
        <v>332</v>
      </c>
      <c r="V191" s="24">
        <v>9270726986</v>
      </c>
      <c r="W191" s="24" t="s">
        <v>2103</v>
      </c>
      <c r="X191" s="34">
        <v>12</v>
      </c>
      <c r="Y191" s="24" t="s">
        <v>2108</v>
      </c>
      <c r="Z191" s="30">
        <v>46434</v>
      </c>
      <c r="AA191" s="24" t="s">
        <v>2171</v>
      </c>
      <c r="AB191" s="136" t="str">
        <f t="shared" si="2"/>
        <v>Blacklisted</v>
      </c>
    </row>
    <row r="192" spans="1:28">
      <c r="A192" s="24" t="s">
        <v>976</v>
      </c>
      <c r="B192" s="24" t="s">
        <v>221</v>
      </c>
      <c r="C192" s="24" t="s">
        <v>24</v>
      </c>
      <c r="D192" s="30">
        <v>46155</v>
      </c>
      <c r="E192" s="30" t="s">
        <v>427</v>
      </c>
      <c r="F192" s="24" t="s">
        <v>225</v>
      </c>
      <c r="G192" s="24" t="s">
        <v>76</v>
      </c>
      <c r="H192" s="30" t="s">
        <v>226</v>
      </c>
      <c r="I192" s="24" t="s">
        <v>105</v>
      </c>
      <c r="J192" s="24" t="s">
        <v>106</v>
      </c>
      <c r="K192" s="24" t="s">
        <v>2113</v>
      </c>
      <c r="L192" s="24" t="s">
        <v>32</v>
      </c>
      <c r="M192" s="24" t="s">
        <v>33</v>
      </c>
      <c r="N192" s="24">
        <v>7</v>
      </c>
      <c r="O192" s="36">
        <v>1650</v>
      </c>
      <c r="P192" s="35">
        <v>0</v>
      </c>
      <c r="Q192" s="36">
        <v>11550</v>
      </c>
      <c r="R192" s="34">
        <v>1</v>
      </c>
      <c r="S192" s="24" t="s">
        <v>79</v>
      </c>
      <c r="T192" s="24" t="s">
        <v>115</v>
      </c>
      <c r="U192" s="24" t="s">
        <v>228</v>
      </c>
      <c r="V192" s="24">
        <v>9570080664</v>
      </c>
      <c r="W192" s="24" t="s">
        <v>2101</v>
      </c>
      <c r="X192" s="34">
        <v>24</v>
      </c>
      <c r="Y192" s="24" t="s">
        <v>2112</v>
      </c>
      <c r="Z192" s="30">
        <v>46893</v>
      </c>
      <c r="AA192" s="24" t="s">
        <v>2171</v>
      </c>
      <c r="AB192" s="136" t="str">
        <f t="shared" si="2"/>
        <v>Blacklisted</v>
      </c>
    </row>
    <row r="193" spans="1:28">
      <c r="A193" s="24" t="s">
        <v>979</v>
      </c>
      <c r="B193" s="24" t="s">
        <v>327</v>
      </c>
      <c r="C193" s="24" t="s">
        <v>40</v>
      </c>
      <c r="D193" s="30">
        <v>45977</v>
      </c>
      <c r="E193" s="30" t="s">
        <v>980</v>
      </c>
      <c r="F193" s="24" t="s">
        <v>394</v>
      </c>
      <c r="G193" s="24" t="s">
        <v>76</v>
      </c>
      <c r="H193" s="30" t="s">
        <v>331</v>
      </c>
      <c r="I193" s="24" t="s">
        <v>114</v>
      </c>
      <c r="J193" s="24" t="s">
        <v>106</v>
      </c>
      <c r="K193" s="24" t="s">
        <v>2109</v>
      </c>
      <c r="L193" s="24" t="s">
        <v>46</v>
      </c>
      <c r="M193" s="24" t="s">
        <v>47</v>
      </c>
      <c r="N193" s="24">
        <v>3</v>
      </c>
      <c r="O193" s="36">
        <v>9000</v>
      </c>
      <c r="P193" s="35">
        <v>0.05</v>
      </c>
      <c r="Q193" s="36">
        <v>25650</v>
      </c>
      <c r="R193" s="34">
        <v>3</v>
      </c>
      <c r="S193" s="24" t="s">
        <v>79</v>
      </c>
      <c r="T193" s="24" t="s">
        <v>61</v>
      </c>
      <c r="U193" s="24" t="s">
        <v>332</v>
      </c>
      <c r="V193" s="24">
        <v>9109009524</v>
      </c>
      <c r="W193" s="24" t="s">
        <v>2101</v>
      </c>
      <c r="X193" s="34">
        <v>24</v>
      </c>
      <c r="Y193" s="24" t="s">
        <v>2108</v>
      </c>
      <c r="Z193" s="30">
        <v>46711</v>
      </c>
      <c r="AA193" s="24" t="s">
        <v>2171</v>
      </c>
      <c r="AB193" s="136" t="str">
        <f t="shared" si="2"/>
        <v>Silver</v>
      </c>
    </row>
    <row r="194" spans="1:28">
      <c r="A194" s="24" t="s">
        <v>983</v>
      </c>
      <c r="B194" s="24" t="s">
        <v>168</v>
      </c>
      <c r="C194" s="24" t="s">
        <v>24</v>
      </c>
      <c r="D194" s="30">
        <v>45953</v>
      </c>
      <c r="E194" s="30" t="s">
        <v>864</v>
      </c>
      <c r="F194" s="24" t="s">
        <v>361</v>
      </c>
      <c r="G194" s="24" t="s">
        <v>28</v>
      </c>
      <c r="H194" s="30" t="s">
        <v>173</v>
      </c>
      <c r="I194" s="24" t="s">
        <v>114</v>
      </c>
      <c r="J194" s="24" t="s">
        <v>106</v>
      </c>
      <c r="K194" s="24" t="s">
        <v>2111</v>
      </c>
      <c r="L194" s="24" t="s">
        <v>32</v>
      </c>
      <c r="M194" s="24" t="s">
        <v>33</v>
      </c>
      <c r="N194" s="24">
        <v>16</v>
      </c>
      <c r="O194" s="36">
        <v>1650</v>
      </c>
      <c r="P194" s="35">
        <v>0</v>
      </c>
      <c r="Q194" s="36">
        <v>26400</v>
      </c>
      <c r="R194" s="34">
        <v>5</v>
      </c>
      <c r="S194" s="24" t="s">
        <v>79</v>
      </c>
      <c r="T194" s="24" t="s">
        <v>35</v>
      </c>
      <c r="U194" s="24" t="s">
        <v>175</v>
      </c>
      <c r="V194" s="24">
        <v>9701276770</v>
      </c>
      <c r="W194" s="24" t="s">
        <v>2101</v>
      </c>
      <c r="X194" s="34">
        <v>24</v>
      </c>
      <c r="Y194" s="24" t="s">
        <v>2112</v>
      </c>
      <c r="Z194" s="30">
        <v>46695</v>
      </c>
      <c r="AA194" s="24" t="s">
        <v>2177</v>
      </c>
      <c r="AB194" s="136" t="str">
        <f t="shared" si="2"/>
        <v>Silver</v>
      </c>
    </row>
    <row r="195" spans="1:28">
      <c r="A195" s="24" t="s">
        <v>986</v>
      </c>
      <c r="B195" s="24" t="s">
        <v>251</v>
      </c>
      <c r="C195" s="24" t="s">
        <v>24</v>
      </c>
      <c r="D195" s="30">
        <v>45704</v>
      </c>
      <c r="E195" s="30" t="s">
        <v>988</v>
      </c>
      <c r="F195" s="24" t="s">
        <v>254</v>
      </c>
      <c r="G195" s="24" t="s">
        <v>28</v>
      </c>
      <c r="H195" s="30" t="s">
        <v>255</v>
      </c>
      <c r="I195" s="24" t="s">
        <v>114</v>
      </c>
      <c r="J195" s="24" t="s">
        <v>106</v>
      </c>
      <c r="K195" s="24" t="s">
        <v>2111</v>
      </c>
      <c r="L195" s="24" t="s">
        <v>32</v>
      </c>
      <c r="M195" s="24" t="s">
        <v>33</v>
      </c>
      <c r="N195" s="24">
        <v>8</v>
      </c>
      <c r="O195" s="36">
        <v>1650</v>
      </c>
      <c r="P195" s="35">
        <v>0.05</v>
      </c>
      <c r="Q195" s="36">
        <v>12540</v>
      </c>
      <c r="R195" s="34">
        <v>2</v>
      </c>
      <c r="S195" s="24" t="s">
        <v>2149</v>
      </c>
      <c r="T195" s="24" t="s">
        <v>151</v>
      </c>
      <c r="U195" s="24" t="s">
        <v>256</v>
      </c>
      <c r="V195" s="24">
        <v>9298278507</v>
      </c>
      <c r="W195" s="24" t="s">
        <v>2101</v>
      </c>
      <c r="X195" s="34">
        <v>24</v>
      </c>
      <c r="Y195" s="24" t="s">
        <v>2112</v>
      </c>
      <c r="Z195" s="30">
        <v>46436</v>
      </c>
      <c r="AA195" s="24" t="s">
        <v>2173</v>
      </c>
      <c r="AB195" s="136" t="str">
        <f t="shared" ref="AB195:AB258" si="3">IF(R195&lt;=2, "Blacklisted", IF(AND(Q195&gt;=100000, R195&gt;=4, P195&lt;=10%), "Platinum", IF(AND(Q195&gt;=50000, R195&gt;=3), "Gold", IF(Q195&lt;50000, "Silver", "Blacklisted"))))</f>
        <v>Blacklisted</v>
      </c>
    </row>
    <row r="196" spans="1:28">
      <c r="A196" s="24" t="s">
        <v>991</v>
      </c>
      <c r="B196" s="24" t="s">
        <v>251</v>
      </c>
      <c r="C196" s="24" t="s">
        <v>24</v>
      </c>
      <c r="D196" s="30">
        <v>46002</v>
      </c>
      <c r="E196" s="30" t="s">
        <v>454</v>
      </c>
      <c r="F196" s="24" t="s">
        <v>254</v>
      </c>
      <c r="G196" s="24" t="s">
        <v>28</v>
      </c>
      <c r="H196" s="30" t="s">
        <v>255</v>
      </c>
      <c r="I196" s="24" t="s">
        <v>114</v>
      </c>
      <c r="J196" s="24" t="s">
        <v>106</v>
      </c>
      <c r="K196" s="24" t="s">
        <v>2111</v>
      </c>
      <c r="L196" s="24" t="s">
        <v>32</v>
      </c>
      <c r="M196" s="24" t="s">
        <v>33</v>
      </c>
      <c r="N196" s="24">
        <v>10</v>
      </c>
      <c r="O196" s="36">
        <v>1650</v>
      </c>
      <c r="P196" s="35">
        <v>0.1</v>
      </c>
      <c r="Q196" s="36">
        <v>14850</v>
      </c>
      <c r="R196" s="34">
        <v>5</v>
      </c>
      <c r="S196" s="24" t="s">
        <v>2148</v>
      </c>
      <c r="T196" s="24" t="s">
        <v>115</v>
      </c>
      <c r="U196" s="24" t="s">
        <v>256</v>
      </c>
      <c r="V196" s="24">
        <v>9895908093</v>
      </c>
      <c r="W196" s="24" t="s">
        <v>2101</v>
      </c>
      <c r="X196" s="34">
        <v>24</v>
      </c>
      <c r="Y196" s="24" t="s">
        <v>2112</v>
      </c>
      <c r="Z196" s="30">
        <v>46735</v>
      </c>
      <c r="AA196" s="24" t="s">
        <v>2173</v>
      </c>
      <c r="AB196" s="136" t="str">
        <f t="shared" si="3"/>
        <v>Silver</v>
      </c>
    </row>
    <row r="197" spans="1:28">
      <c r="A197" s="24" t="s">
        <v>994</v>
      </c>
      <c r="B197" s="24" t="s">
        <v>83</v>
      </c>
      <c r="C197" s="24" t="s">
        <v>222</v>
      </c>
      <c r="D197" s="30">
        <v>45775</v>
      </c>
      <c r="E197" s="30" t="s">
        <v>596</v>
      </c>
      <c r="F197" s="24" t="s">
        <v>180</v>
      </c>
      <c r="G197" s="24" t="s">
        <v>76</v>
      </c>
      <c r="H197" s="30" t="s">
        <v>87</v>
      </c>
      <c r="I197" s="24" t="s">
        <v>30</v>
      </c>
      <c r="J197" s="24" t="s">
        <v>31</v>
      </c>
      <c r="K197" s="24" t="s">
        <v>2109</v>
      </c>
      <c r="L197" s="24" t="s">
        <v>122</v>
      </c>
      <c r="M197" s="24" t="s">
        <v>227</v>
      </c>
      <c r="N197" s="24">
        <v>7</v>
      </c>
      <c r="O197" s="36">
        <v>15</v>
      </c>
      <c r="P197" s="35">
        <v>0.1</v>
      </c>
      <c r="Q197" s="36">
        <v>94.5</v>
      </c>
      <c r="R197" s="34">
        <v>4</v>
      </c>
      <c r="S197" s="24" t="s">
        <v>79</v>
      </c>
      <c r="T197" s="24" t="s">
        <v>61</v>
      </c>
      <c r="U197" s="24" t="s">
        <v>89</v>
      </c>
      <c r="V197" s="24">
        <v>9734108795</v>
      </c>
      <c r="W197" s="24" t="s">
        <v>2103</v>
      </c>
      <c r="X197" s="34">
        <v>12</v>
      </c>
      <c r="Y197" s="24" t="s">
        <v>2108</v>
      </c>
      <c r="Z197" s="30">
        <v>46151</v>
      </c>
      <c r="AA197" s="24" t="s">
        <v>2174</v>
      </c>
      <c r="AB197" s="136" t="str">
        <f t="shared" si="3"/>
        <v>Silver</v>
      </c>
    </row>
    <row r="198" spans="1:28">
      <c r="A198" s="24" t="s">
        <v>997</v>
      </c>
      <c r="B198" s="24" t="s">
        <v>221</v>
      </c>
      <c r="C198" s="24" t="s">
        <v>169</v>
      </c>
      <c r="D198" s="30">
        <v>46033</v>
      </c>
      <c r="E198" s="30" t="s">
        <v>998</v>
      </c>
      <c r="F198" s="24" t="s">
        <v>225</v>
      </c>
      <c r="G198" s="24" t="s">
        <v>76</v>
      </c>
      <c r="H198" s="30" t="s">
        <v>226</v>
      </c>
      <c r="I198" s="24" t="s">
        <v>105</v>
      </c>
      <c r="J198" s="24" t="s">
        <v>106</v>
      </c>
      <c r="K198" s="24" t="s">
        <v>2113</v>
      </c>
      <c r="L198" s="24" t="s">
        <v>32</v>
      </c>
      <c r="M198" s="24" t="s">
        <v>174</v>
      </c>
      <c r="N198" s="24">
        <v>19</v>
      </c>
      <c r="O198" s="36">
        <v>6375</v>
      </c>
      <c r="P198" s="35">
        <v>0.2</v>
      </c>
      <c r="Q198" s="36">
        <v>96900</v>
      </c>
      <c r="R198" s="34">
        <v>3</v>
      </c>
      <c r="S198" s="24" t="s">
        <v>2148</v>
      </c>
      <c r="T198" s="24" t="s">
        <v>61</v>
      </c>
      <c r="U198" s="24" t="s">
        <v>228</v>
      </c>
      <c r="V198" s="24">
        <v>9799597413</v>
      </c>
      <c r="W198" s="24" t="s">
        <v>2100</v>
      </c>
      <c r="X198" s="34">
        <v>24</v>
      </c>
      <c r="Y198" s="24" t="s">
        <v>2112</v>
      </c>
      <c r="Z198" s="30">
        <v>46766</v>
      </c>
      <c r="AA198" s="24" t="s">
        <v>2171</v>
      </c>
      <c r="AB198" s="136" t="str">
        <f t="shared" si="3"/>
        <v>Gold</v>
      </c>
    </row>
    <row r="199" spans="1:28">
      <c r="A199" s="24" t="s">
        <v>1001</v>
      </c>
      <c r="B199" s="24" t="s">
        <v>100</v>
      </c>
      <c r="C199" s="24" t="s">
        <v>118</v>
      </c>
      <c r="D199" s="30">
        <v>45717</v>
      </c>
      <c r="E199" s="30" t="s">
        <v>414</v>
      </c>
      <c r="F199" s="24" t="s">
        <v>103</v>
      </c>
      <c r="G199" s="24" t="s">
        <v>28</v>
      </c>
      <c r="H199" s="30" t="s">
        <v>104</v>
      </c>
      <c r="I199" s="24" t="s">
        <v>105</v>
      </c>
      <c r="J199" s="24" t="s">
        <v>106</v>
      </c>
      <c r="K199" s="24" t="s">
        <v>2111</v>
      </c>
      <c r="L199" s="24" t="s">
        <v>122</v>
      </c>
      <c r="M199" s="24" t="s">
        <v>123</v>
      </c>
      <c r="N199" s="24">
        <v>16</v>
      </c>
      <c r="O199" s="36">
        <v>45</v>
      </c>
      <c r="P199" s="35">
        <v>0</v>
      </c>
      <c r="Q199" s="36">
        <v>720</v>
      </c>
      <c r="R199" s="34">
        <v>2</v>
      </c>
      <c r="S199" s="24" t="s">
        <v>2148</v>
      </c>
      <c r="T199" s="24" t="s">
        <v>115</v>
      </c>
      <c r="U199" s="24" t="s">
        <v>144</v>
      </c>
      <c r="V199" s="24">
        <v>9688987266</v>
      </c>
      <c r="W199" s="24" t="s">
        <v>2102</v>
      </c>
      <c r="X199" s="34">
        <v>12</v>
      </c>
      <c r="Y199" s="24" t="s">
        <v>2110</v>
      </c>
      <c r="Z199" s="30">
        <v>46087</v>
      </c>
      <c r="AA199" s="24" t="s">
        <v>2175</v>
      </c>
      <c r="AB199" s="136" t="str">
        <f t="shared" si="3"/>
        <v>Blacklisted</v>
      </c>
    </row>
    <row r="200" spans="1:28">
      <c r="A200" s="24" t="s">
        <v>1004</v>
      </c>
      <c r="B200" s="24" t="s">
        <v>221</v>
      </c>
      <c r="C200" s="24" t="s">
        <v>92</v>
      </c>
      <c r="D200" s="30">
        <v>46127</v>
      </c>
      <c r="E200" s="30" t="s">
        <v>731</v>
      </c>
      <c r="F200" s="24" t="s">
        <v>225</v>
      </c>
      <c r="G200" s="24" t="s">
        <v>76</v>
      </c>
      <c r="H200" s="30" t="s">
        <v>226</v>
      </c>
      <c r="I200" s="24" t="s">
        <v>105</v>
      </c>
      <c r="J200" s="24" t="s">
        <v>106</v>
      </c>
      <c r="K200" s="24" t="s">
        <v>2113</v>
      </c>
      <c r="L200" s="24" t="s">
        <v>32</v>
      </c>
      <c r="M200" s="24" t="s">
        <v>97</v>
      </c>
      <c r="N200" s="24">
        <v>18</v>
      </c>
      <c r="O200" s="36">
        <v>2625</v>
      </c>
      <c r="P200" s="35">
        <v>0.05</v>
      </c>
      <c r="Q200" s="36">
        <v>44887.5</v>
      </c>
      <c r="R200" s="34">
        <v>1</v>
      </c>
      <c r="S200" s="24" t="s">
        <v>2149</v>
      </c>
      <c r="T200" s="24" t="s">
        <v>115</v>
      </c>
      <c r="U200" s="24" t="s">
        <v>228</v>
      </c>
      <c r="V200" s="24">
        <v>9867169037</v>
      </c>
      <c r="W200" s="24" t="s">
        <v>2101</v>
      </c>
      <c r="X200" s="34">
        <v>6</v>
      </c>
      <c r="Y200" s="24" t="s">
        <v>2112</v>
      </c>
      <c r="Z200" s="30">
        <v>46322</v>
      </c>
      <c r="AA200" s="24" t="s">
        <v>2171</v>
      </c>
      <c r="AB200" s="136" t="str">
        <f t="shared" si="3"/>
        <v>Blacklisted</v>
      </c>
    </row>
    <row r="201" spans="1:28">
      <c r="A201" s="24" t="s">
        <v>1009</v>
      </c>
      <c r="B201" s="24" t="s">
        <v>100</v>
      </c>
      <c r="C201" s="24" t="s">
        <v>54</v>
      </c>
      <c r="D201" s="30">
        <v>45708</v>
      </c>
      <c r="E201" s="30" t="s">
        <v>431</v>
      </c>
      <c r="F201" s="24" t="s">
        <v>103</v>
      </c>
      <c r="G201" s="24" t="s">
        <v>28</v>
      </c>
      <c r="H201" s="30" t="s">
        <v>104</v>
      </c>
      <c r="I201" s="24" t="s">
        <v>105</v>
      </c>
      <c r="J201" s="24" t="s">
        <v>106</v>
      </c>
      <c r="K201" s="24" t="s">
        <v>2111</v>
      </c>
      <c r="L201" s="24" t="s">
        <v>46</v>
      </c>
      <c r="M201" s="24" t="s">
        <v>60</v>
      </c>
      <c r="N201" s="24">
        <v>16</v>
      </c>
      <c r="O201" s="36">
        <v>41250</v>
      </c>
      <c r="P201" s="35">
        <v>0</v>
      </c>
      <c r="Q201" s="36">
        <v>660000</v>
      </c>
      <c r="R201" s="34">
        <v>1</v>
      </c>
      <c r="S201" s="24" t="s">
        <v>79</v>
      </c>
      <c r="T201" s="24" t="s">
        <v>61</v>
      </c>
      <c r="U201" s="24" t="s">
        <v>144</v>
      </c>
      <c r="V201" s="24">
        <v>9485547425</v>
      </c>
      <c r="W201" s="24" t="s">
        <v>2100</v>
      </c>
      <c r="X201" s="34">
        <v>12</v>
      </c>
      <c r="Y201" s="24" t="s">
        <v>2110</v>
      </c>
      <c r="Z201" s="30">
        <v>46082</v>
      </c>
      <c r="AA201" s="24" t="s">
        <v>2175</v>
      </c>
      <c r="AB201" s="136" t="str">
        <f t="shared" si="3"/>
        <v>Blacklisted</v>
      </c>
    </row>
    <row r="202" spans="1:28">
      <c r="A202" s="24" t="s">
        <v>1013</v>
      </c>
      <c r="B202" s="24" t="s">
        <v>221</v>
      </c>
      <c r="C202" s="24" t="s">
        <v>72</v>
      </c>
      <c r="D202" s="30">
        <v>45694</v>
      </c>
      <c r="E202" s="30" t="s">
        <v>435</v>
      </c>
      <c r="F202" s="24" t="s">
        <v>225</v>
      </c>
      <c r="G202" s="24" t="s">
        <v>76</v>
      </c>
      <c r="H202" s="30" t="s">
        <v>226</v>
      </c>
      <c r="I202" s="24" t="s">
        <v>105</v>
      </c>
      <c r="J202" s="24" t="s">
        <v>106</v>
      </c>
      <c r="K202" s="24" t="s">
        <v>2113</v>
      </c>
      <c r="L202" s="24" t="s">
        <v>46</v>
      </c>
      <c r="M202" s="24" t="s">
        <v>78</v>
      </c>
      <c r="N202" s="24">
        <v>18</v>
      </c>
      <c r="O202" s="36">
        <v>900</v>
      </c>
      <c r="P202" s="35">
        <v>0.15</v>
      </c>
      <c r="Q202" s="36">
        <v>13770</v>
      </c>
      <c r="R202" s="34">
        <v>2</v>
      </c>
      <c r="S202" s="24" t="s">
        <v>2148</v>
      </c>
      <c r="T202" s="24" t="s">
        <v>35</v>
      </c>
      <c r="U202" s="24" t="s">
        <v>228</v>
      </c>
      <c r="V202" s="24">
        <v>9889733076</v>
      </c>
      <c r="W202" s="24" t="s">
        <v>2100</v>
      </c>
      <c r="X202" s="34">
        <v>6</v>
      </c>
      <c r="Y202" s="24" t="s">
        <v>2112</v>
      </c>
      <c r="Z202" s="30">
        <v>45878</v>
      </c>
      <c r="AA202" s="24" t="s">
        <v>2171</v>
      </c>
      <c r="AB202" s="136" t="str">
        <f t="shared" si="3"/>
        <v>Blacklisted</v>
      </c>
    </row>
    <row r="203" spans="1:28">
      <c r="A203" s="24" t="s">
        <v>1016</v>
      </c>
      <c r="B203" s="24" t="s">
        <v>71</v>
      </c>
      <c r="C203" s="24" t="s">
        <v>259</v>
      </c>
      <c r="D203" s="30">
        <v>45801</v>
      </c>
      <c r="E203" s="30" t="s">
        <v>1018</v>
      </c>
      <c r="F203" s="24" t="s">
        <v>217</v>
      </c>
      <c r="G203" s="24" t="s">
        <v>76</v>
      </c>
      <c r="H203" s="30" t="s">
        <v>77</v>
      </c>
      <c r="I203" s="24" t="s">
        <v>44</v>
      </c>
      <c r="J203" s="24" t="s">
        <v>45</v>
      </c>
      <c r="K203" s="24" t="s">
        <v>2114</v>
      </c>
      <c r="L203" s="24" t="s">
        <v>122</v>
      </c>
      <c r="M203" s="24" t="s">
        <v>263</v>
      </c>
      <c r="N203" s="24">
        <v>2</v>
      </c>
      <c r="O203" s="36">
        <v>33.75</v>
      </c>
      <c r="P203" s="35">
        <v>0.15</v>
      </c>
      <c r="Q203" s="36">
        <v>57.375</v>
      </c>
      <c r="R203" s="34">
        <v>5</v>
      </c>
      <c r="S203" s="24" t="s">
        <v>34</v>
      </c>
      <c r="T203" s="24" t="s">
        <v>61</v>
      </c>
      <c r="U203" s="24" t="s">
        <v>80</v>
      </c>
      <c r="V203" s="24">
        <v>9145434449</v>
      </c>
      <c r="W203" s="24" t="s">
        <v>2100</v>
      </c>
      <c r="X203" s="34">
        <v>12</v>
      </c>
      <c r="Y203" s="24" t="s">
        <v>2110</v>
      </c>
      <c r="Z203" s="30">
        <v>46169</v>
      </c>
      <c r="AA203" s="24" t="s">
        <v>2173</v>
      </c>
      <c r="AB203" s="136" t="str">
        <f t="shared" si="3"/>
        <v>Silver</v>
      </c>
    </row>
    <row r="204" spans="1:28">
      <c r="A204" s="24" t="s">
        <v>1021</v>
      </c>
      <c r="B204" s="24" t="s">
        <v>53</v>
      </c>
      <c r="C204" s="24" t="s">
        <v>169</v>
      </c>
      <c r="D204" s="30">
        <v>46028</v>
      </c>
      <c r="E204" s="30" t="s">
        <v>85</v>
      </c>
      <c r="F204" s="24" t="s">
        <v>163</v>
      </c>
      <c r="G204" s="24" t="s">
        <v>28</v>
      </c>
      <c r="H204" s="30" t="s">
        <v>58</v>
      </c>
      <c r="I204" s="24" t="s">
        <v>59</v>
      </c>
      <c r="J204" s="24" t="s">
        <v>31</v>
      </c>
      <c r="K204" s="24" t="s">
        <v>2111</v>
      </c>
      <c r="L204" s="24" t="s">
        <v>32</v>
      </c>
      <c r="M204" s="24" t="s">
        <v>174</v>
      </c>
      <c r="N204" s="24">
        <v>20</v>
      </c>
      <c r="O204" s="36">
        <v>6375</v>
      </c>
      <c r="P204" s="35">
        <v>0</v>
      </c>
      <c r="Q204" s="36">
        <v>127500</v>
      </c>
      <c r="R204" s="34">
        <v>4</v>
      </c>
      <c r="S204" s="24" t="s">
        <v>2148</v>
      </c>
      <c r="T204" s="24" t="s">
        <v>61</v>
      </c>
      <c r="U204" s="24" t="s">
        <v>62</v>
      </c>
      <c r="V204" s="24">
        <v>9598942148</v>
      </c>
      <c r="W204" s="24" t="s">
        <v>2100</v>
      </c>
      <c r="X204" s="34">
        <v>24</v>
      </c>
      <c r="Y204" s="24" t="s">
        <v>2108</v>
      </c>
      <c r="Z204" s="30">
        <v>46764</v>
      </c>
      <c r="AA204" s="24" t="s">
        <v>2172</v>
      </c>
      <c r="AB204" s="136" t="str">
        <f t="shared" si="3"/>
        <v>Platinum</v>
      </c>
    </row>
    <row r="205" spans="1:28">
      <c r="A205" s="24" t="s">
        <v>1024</v>
      </c>
      <c r="B205" s="24" t="s">
        <v>127</v>
      </c>
      <c r="C205" s="24" t="s">
        <v>92</v>
      </c>
      <c r="D205" s="30">
        <v>46089</v>
      </c>
      <c r="E205" s="30" t="s">
        <v>1025</v>
      </c>
      <c r="F205" s="24" t="s">
        <v>200</v>
      </c>
      <c r="G205" s="24" t="s">
        <v>76</v>
      </c>
      <c r="H205" s="30" t="s">
        <v>131</v>
      </c>
      <c r="I205" s="24" t="s">
        <v>44</v>
      </c>
      <c r="J205" s="24" t="s">
        <v>45</v>
      </c>
      <c r="K205" s="24" t="s">
        <v>2113</v>
      </c>
      <c r="L205" s="24" t="s">
        <v>32</v>
      </c>
      <c r="M205" s="24" t="s">
        <v>97</v>
      </c>
      <c r="N205" s="24">
        <v>6</v>
      </c>
      <c r="O205" s="36">
        <v>2625</v>
      </c>
      <c r="P205" s="35">
        <v>0.05</v>
      </c>
      <c r="Q205" s="36">
        <v>14962.5</v>
      </c>
      <c r="R205" s="34">
        <v>1</v>
      </c>
      <c r="S205" s="24" t="s">
        <v>34</v>
      </c>
      <c r="T205" s="24" t="s">
        <v>151</v>
      </c>
      <c r="U205" s="24" t="s">
        <v>132</v>
      </c>
      <c r="V205" s="24">
        <v>9599252705</v>
      </c>
      <c r="W205" s="24" t="s">
        <v>2101</v>
      </c>
      <c r="X205" s="34">
        <v>6</v>
      </c>
      <c r="Y205" s="24" t="s">
        <v>2112</v>
      </c>
      <c r="Z205" s="30">
        <v>46274</v>
      </c>
      <c r="AA205" s="24" t="s">
        <v>2176</v>
      </c>
      <c r="AB205" s="136" t="str">
        <f t="shared" si="3"/>
        <v>Blacklisted</v>
      </c>
    </row>
    <row r="206" spans="1:28">
      <c r="A206" s="24" t="s">
        <v>1027</v>
      </c>
      <c r="B206" s="24" t="s">
        <v>168</v>
      </c>
      <c r="C206" s="24" t="s">
        <v>259</v>
      </c>
      <c r="D206" s="30">
        <v>45935</v>
      </c>
      <c r="E206" s="30" t="s">
        <v>281</v>
      </c>
      <c r="F206" s="24" t="s">
        <v>361</v>
      </c>
      <c r="G206" s="24" t="s">
        <v>28</v>
      </c>
      <c r="H206" s="30" t="s">
        <v>173</v>
      </c>
      <c r="I206" s="24" t="s">
        <v>114</v>
      </c>
      <c r="J206" s="24" t="s">
        <v>106</v>
      </c>
      <c r="K206" s="24" t="s">
        <v>2111</v>
      </c>
      <c r="L206" s="24" t="s">
        <v>122</v>
      </c>
      <c r="M206" s="24" t="s">
        <v>263</v>
      </c>
      <c r="N206" s="24">
        <v>8</v>
      </c>
      <c r="O206" s="36">
        <v>33.75</v>
      </c>
      <c r="P206" s="35">
        <v>0.05</v>
      </c>
      <c r="Q206" s="36">
        <v>256.5</v>
      </c>
      <c r="R206" s="34">
        <v>2</v>
      </c>
      <c r="S206" s="24" t="s">
        <v>34</v>
      </c>
      <c r="T206" s="24" t="s">
        <v>49</v>
      </c>
      <c r="U206" s="24" t="s">
        <v>175</v>
      </c>
      <c r="V206" s="24">
        <v>9626843681</v>
      </c>
      <c r="W206" s="24" t="s">
        <v>2100</v>
      </c>
      <c r="X206" s="34">
        <v>12</v>
      </c>
      <c r="Y206" s="24" t="s">
        <v>2112</v>
      </c>
      <c r="Z206" s="30">
        <v>46304</v>
      </c>
      <c r="AA206" s="24" t="s">
        <v>2177</v>
      </c>
      <c r="AB206" s="136" t="str">
        <f t="shared" si="3"/>
        <v>Blacklisted</v>
      </c>
    </row>
    <row r="207" spans="1:28">
      <c r="A207" s="24" t="s">
        <v>1030</v>
      </c>
      <c r="B207" s="24" t="s">
        <v>327</v>
      </c>
      <c r="C207" s="24" t="s">
        <v>24</v>
      </c>
      <c r="D207" s="30">
        <v>45722</v>
      </c>
      <c r="E207" s="30" t="s">
        <v>1031</v>
      </c>
      <c r="F207" s="24" t="s">
        <v>394</v>
      </c>
      <c r="G207" s="24" t="s">
        <v>76</v>
      </c>
      <c r="H207" s="30" t="s">
        <v>331</v>
      </c>
      <c r="I207" s="24" t="s">
        <v>114</v>
      </c>
      <c r="J207" s="24" t="s">
        <v>106</v>
      </c>
      <c r="K207" s="24" t="s">
        <v>2109</v>
      </c>
      <c r="L207" s="24" t="s">
        <v>32</v>
      </c>
      <c r="M207" s="24" t="s">
        <v>33</v>
      </c>
      <c r="N207" s="24">
        <v>18</v>
      </c>
      <c r="O207" s="36">
        <v>1650</v>
      </c>
      <c r="P207" s="35">
        <v>0.15</v>
      </c>
      <c r="Q207" s="36">
        <v>25245</v>
      </c>
      <c r="R207" s="34">
        <v>4</v>
      </c>
      <c r="S207" s="24" t="s">
        <v>79</v>
      </c>
      <c r="T207" s="24" t="s">
        <v>61</v>
      </c>
      <c r="U207" s="24" t="s">
        <v>332</v>
      </c>
      <c r="V207" s="24">
        <v>9934933215</v>
      </c>
      <c r="W207" s="24" t="s">
        <v>2101</v>
      </c>
      <c r="X207" s="34">
        <v>24</v>
      </c>
      <c r="Y207" s="24" t="s">
        <v>2108</v>
      </c>
      <c r="Z207" s="30">
        <v>46458</v>
      </c>
      <c r="AA207" s="24" t="s">
        <v>2171</v>
      </c>
      <c r="AB207" s="136" t="str">
        <f t="shared" si="3"/>
        <v>Silver</v>
      </c>
    </row>
    <row r="208" spans="1:28">
      <c r="A208" s="24" t="s">
        <v>1034</v>
      </c>
      <c r="B208" s="24" t="s">
        <v>221</v>
      </c>
      <c r="C208" s="24" t="s">
        <v>184</v>
      </c>
      <c r="D208" s="30">
        <v>46118</v>
      </c>
      <c r="E208" s="30" t="s">
        <v>1005</v>
      </c>
      <c r="F208" s="24" t="s">
        <v>225</v>
      </c>
      <c r="G208" s="24" t="s">
        <v>76</v>
      </c>
      <c r="H208" s="30" t="s">
        <v>226</v>
      </c>
      <c r="I208" s="24" t="s">
        <v>105</v>
      </c>
      <c r="J208" s="24" t="s">
        <v>106</v>
      </c>
      <c r="K208" s="24" t="s">
        <v>2113</v>
      </c>
      <c r="L208" s="24" t="s">
        <v>46</v>
      </c>
      <c r="M208" s="24" t="s">
        <v>189</v>
      </c>
      <c r="N208" s="24">
        <v>18</v>
      </c>
      <c r="O208" s="36">
        <v>525</v>
      </c>
      <c r="P208" s="35">
        <v>0.15</v>
      </c>
      <c r="Q208" s="36">
        <v>8032.5</v>
      </c>
      <c r="R208" s="34">
        <v>3</v>
      </c>
      <c r="S208" s="24" t="s">
        <v>79</v>
      </c>
      <c r="T208" s="24" t="s">
        <v>151</v>
      </c>
      <c r="U208" s="24" t="s">
        <v>228</v>
      </c>
      <c r="V208" s="24">
        <v>9508025585</v>
      </c>
      <c r="W208" s="24" t="s">
        <v>2100</v>
      </c>
      <c r="X208" s="34">
        <v>24</v>
      </c>
      <c r="Y208" s="24" t="s">
        <v>2112</v>
      </c>
      <c r="Z208" s="30">
        <v>46858</v>
      </c>
      <c r="AA208" s="24" t="s">
        <v>2171</v>
      </c>
      <c r="AB208" s="136" t="str">
        <f t="shared" si="3"/>
        <v>Silver</v>
      </c>
    </row>
    <row r="209" spans="1:28">
      <c r="A209" s="24" t="s">
        <v>1038</v>
      </c>
      <c r="B209" s="24" t="s">
        <v>327</v>
      </c>
      <c r="C209" s="24" t="s">
        <v>54</v>
      </c>
      <c r="D209" s="30">
        <v>46039</v>
      </c>
      <c r="E209" s="30" t="s">
        <v>1040</v>
      </c>
      <c r="F209" s="24" t="s">
        <v>394</v>
      </c>
      <c r="G209" s="24" t="s">
        <v>76</v>
      </c>
      <c r="H209" s="30" t="s">
        <v>331</v>
      </c>
      <c r="I209" s="24" t="s">
        <v>114</v>
      </c>
      <c r="J209" s="24" t="s">
        <v>106</v>
      </c>
      <c r="K209" s="24" t="s">
        <v>2109</v>
      </c>
      <c r="L209" s="24" t="s">
        <v>46</v>
      </c>
      <c r="M209" s="24" t="s">
        <v>60</v>
      </c>
      <c r="N209" s="24">
        <v>12</v>
      </c>
      <c r="O209" s="36">
        <v>41250</v>
      </c>
      <c r="P209" s="35">
        <v>0</v>
      </c>
      <c r="Q209" s="36">
        <v>495000</v>
      </c>
      <c r="R209" s="34">
        <v>2</v>
      </c>
      <c r="S209" s="24" t="s">
        <v>2149</v>
      </c>
      <c r="T209" s="24" t="s">
        <v>49</v>
      </c>
      <c r="U209" s="24" t="s">
        <v>332</v>
      </c>
      <c r="V209" s="24">
        <v>9364681052</v>
      </c>
      <c r="W209" s="24" t="s">
        <v>2100</v>
      </c>
      <c r="X209" s="34">
        <v>12</v>
      </c>
      <c r="Y209" s="24" t="s">
        <v>2108</v>
      </c>
      <c r="Z209" s="30">
        <v>46407</v>
      </c>
      <c r="AA209" s="24" t="s">
        <v>2171</v>
      </c>
      <c r="AB209" s="136" t="str">
        <f t="shared" si="3"/>
        <v>Blacklisted</v>
      </c>
    </row>
    <row r="210" spans="1:28">
      <c r="A210" s="24" t="s">
        <v>1043</v>
      </c>
      <c r="B210" s="24" t="s">
        <v>23</v>
      </c>
      <c r="C210" s="24" t="s">
        <v>40</v>
      </c>
      <c r="D210" s="30">
        <v>45976</v>
      </c>
      <c r="E210" s="30" t="s">
        <v>1044</v>
      </c>
      <c r="F210" s="24" t="s">
        <v>27</v>
      </c>
      <c r="G210" s="24" t="s">
        <v>28</v>
      </c>
      <c r="H210" s="30" t="s">
        <v>29</v>
      </c>
      <c r="I210" s="24" t="s">
        <v>30</v>
      </c>
      <c r="J210" s="24" t="s">
        <v>31</v>
      </c>
      <c r="K210" s="24" t="s">
        <v>2111</v>
      </c>
      <c r="L210" s="24" t="s">
        <v>46</v>
      </c>
      <c r="M210" s="24" t="s">
        <v>47</v>
      </c>
      <c r="N210" s="24">
        <v>7</v>
      </c>
      <c r="O210" s="36">
        <v>9000</v>
      </c>
      <c r="P210" s="35">
        <v>0.05</v>
      </c>
      <c r="Q210" s="36">
        <v>59850</v>
      </c>
      <c r="R210" s="34">
        <v>3</v>
      </c>
      <c r="S210" s="24" t="s">
        <v>79</v>
      </c>
      <c r="T210" s="24" t="s">
        <v>151</v>
      </c>
      <c r="U210" s="24" t="s">
        <v>50</v>
      </c>
      <c r="V210" s="24">
        <v>9117102884</v>
      </c>
      <c r="W210" s="24" t="s">
        <v>2101</v>
      </c>
      <c r="X210" s="34">
        <v>24</v>
      </c>
      <c r="Y210" s="24" t="s">
        <v>2108</v>
      </c>
      <c r="Z210" s="30">
        <v>46715</v>
      </c>
      <c r="AA210" s="24" t="s">
        <v>2171</v>
      </c>
      <c r="AB210" s="136" t="str">
        <f t="shared" si="3"/>
        <v>Gold</v>
      </c>
    </row>
    <row r="211" spans="1:28">
      <c r="A211" s="24" t="s">
        <v>1047</v>
      </c>
      <c r="B211" s="24" t="s">
        <v>251</v>
      </c>
      <c r="C211" s="24" t="s">
        <v>40</v>
      </c>
      <c r="D211" s="30">
        <v>45921</v>
      </c>
      <c r="E211" s="30" t="s">
        <v>129</v>
      </c>
      <c r="F211" s="24" t="s">
        <v>254</v>
      </c>
      <c r="G211" s="24" t="s">
        <v>28</v>
      </c>
      <c r="H211" s="30" t="s">
        <v>255</v>
      </c>
      <c r="I211" s="24" t="s">
        <v>114</v>
      </c>
      <c r="J211" s="24" t="s">
        <v>106</v>
      </c>
      <c r="K211" s="24" t="s">
        <v>2111</v>
      </c>
      <c r="L211" s="24" t="s">
        <v>46</v>
      </c>
      <c r="M211" s="24" t="s">
        <v>47</v>
      </c>
      <c r="N211" s="24">
        <v>8</v>
      </c>
      <c r="O211" s="36">
        <v>9000</v>
      </c>
      <c r="P211" s="35">
        <v>0.15</v>
      </c>
      <c r="Q211" s="36">
        <v>61200</v>
      </c>
      <c r="R211" s="34">
        <v>4</v>
      </c>
      <c r="S211" s="24" t="s">
        <v>79</v>
      </c>
      <c r="T211" s="24" t="s">
        <v>49</v>
      </c>
      <c r="U211" s="24" t="s">
        <v>256</v>
      </c>
      <c r="V211" s="24">
        <v>9819453185</v>
      </c>
      <c r="W211" s="24" t="s">
        <v>2101</v>
      </c>
      <c r="X211" s="34">
        <v>24</v>
      </c>
      <c r="Y211" s="24" t="s">
        <v>2112</v>
      </c>
      <c r="Z211" s="30">
        <v>46653</v>
      </c>
      <c r="AA211" s="24" t="s">
        <v>2173</v>
      </c>
      <c r="AB211" s="136" t="str">
        <f t="shared" si="3"/>
        <v>Gold</v>
      </c>
    </row>
    <row r="212" spans="1:28">
      <c r="A212" s="24" t="s">
        <v>1051</v>
      </c>
      <c r="B212" s="24" t="s">
        <v>327</v>
      </c>
      <c r="C212" s="24" t="s">
        <v>92</v>
      </c>
      <c r="D212" s="30">
        <v>46009</v>
      </c>
      <c r="E212" s="30" t="s">
        <v>1052</v>
      </c>
      <c r="F212" s="24" t="s">
        <v>394</v>
      </c>
      <c r="G212" s="24" t="s">
        <v>76</v>
      </c>
      <c r="H212" s="30" t="s">
        <v>331</v>
      </c>
      <c r="I212" s="24" t="s">
        <v>114</v>
      </c>
      <c r="J212" s="24" t="s">
        <v>106</v>
      </c>
      <c r="K212" s="24" t="s">
        <v>2109</v>
      </c>
      <c r="L212" s="24" t="s">
        <v>32</v>
      </c>
      <c r="M212" s="24" t="s">
        <v>97</v>
      </c>
      <c r="N212" s="24">
        <v>19</v>
      </c>
      <c r="O212" s="36">
        <v>2625</v>
      </c>
      <c r="P212" s="35">
        <v>0.05</v>
      </c>
      <c r="Q212" s="36">
        <v>47381.25</v>
      </c>
      <c r="R212" s="34">
        <v>3</v>
      </c>
      <c r="S212" s="24" t="s">
        <v>79</v>
      </c>
      <c r="T212" s="24" t="s">
        <v>61</v>
      </c>
      <c r="U212" s="24" t="s">
        <v>332</v>
      </c>
      <c r="V212" s="24">
        <v>9511806701</v>
      </c>
      <c r="W212" s="24" t="s">
        <v>2101</v>
      </c>
      <c r="X212" s="34">
        <v>6</v>
      </c>
      <c r="Y212" s="24" t="s">
        <v>2108</v>
      </c>
      <c r="Z212" s="30">
        <v>46200</v>
      </c>
      <c r="AA212" s="24" t="s">
        <v>2171</v>
      </c>
      <c r="AB212" s="136" t="str">
        <f t="shared" si="3"/>
        <v>Silver</v>
      </c>
    </row>
    <row r="213" spans="1:28">
      <c r="A213" s="24" t="s">
        <v>1055</v>
      </c>
      <c r="B213" s="24" t="s">
        <v>251</v>
      </c>
      <c r="C213" s="24" t="s">
        <v>259</v>
      </c>
      <c r="D213" s="30">
        <v>45694</v>
      </c>
      <c r="E213" s="30" t="s">
        <v>987</v>
      </c>
      <c r="F213" s="24" t="s">
        <v>254</v>
      </c>
      <c r="G213" s="24" t="s">
        <v>28</v>
      </c>
      <c r="H213" s="30" t="s">
        <v>255</v>
      </c>
      <c r="I213" s="24" t="s">
        <v>114</v>
      </c>
      <c r="J213" s="24" t="s">
        <v>106</v>
      </c>
      <c r="K213" s="24" t="s">
        <v>2111</v>
      </c>
      <c r="L213" s="24" t="s">
        <v>122</v>
      </c>
      <c r="M213" s="24" t="s">
        <v>263</v>
      </c>
      <c r="N213" s="24">
        <v>7</v>
      </c>
      <c r="O213" s="36">
        <v>33.75</v>
      </c>
      <c r="P213" s="35">
        <v>0.05</v>
      </c>
      <c r="Q213" s="36">
        <v>224.4375</v>
      </c>
      <c r="R213" s="34">
        <v>3</v>
      </c>
      <c r="S213" s="24" t="s">
        <v>79</v>
      </c>
      <c r="T213" s="24" t="s">
        <v>35</v>
      </c>
      <c r="U213" s="24" t="s">
        <v>256</v>
      </c>
      <c r="V213" s="24">
        <v>9875249891</v>
      </c>
      <c r="W213" s="24" t="s">
        <v>2100</v>
      </c>
      <c r="X213" s="34">
        <v>12</v>
      </c>
      <c r="Y213" s="24" t="s">
        <v>2112</v>
      </c>
      <c r="Z213" s="30">
        <v>46069</v>
      </c>
      <c r="AA213" s="24" t="s">
        <v>2173</v>
      </c>
      <c r="AB213" s="136" t="str">
        <f t="shared" si="3"/>
        <v>Silver</v>
      </c>
    </row>
    <row r="214" spans="1:28">
      <c r="A214" s="24" t="s">
        <v>1058</v>
      </c>
      <c r="B214" s="24" t="s">
        <v>23</v>
      </c>
      <c r="C214" s="24" t="s">
        <v>118</v>
      </c>
      <c r="D214" s="30">
        <v>45810</v>
      </c>
      <c r="E214" s="30" t="s">
        <v>750</v>
      </c>
      <c r="F214" s="24" t="s">
        <v>27</v>
      </c>
      <c r="G214" s="24" t="s">
        <v>28</v>
      </c>
      <c r="H214" s="30" t="s">
        <v>29</v>
      </c>
      <c r="I214" s="24" t="s">
        <v>30</v>
      </c>
      <c r="J214" s="24" t="s">
        <v>31</v>
      </c>
      <c r="K214" s="24" t="s">
        <v>2111</v>
      </c>
      <c r="L214" s="24" t="s">
        <v>122</v>
      </c>
      <c r="M214" s="24" t="s">
        <v>123</v>
      </c>
      <c r="N214" s="24">
        <v>3</v>
      </c>
      <c r="O214" s="36">
        <v>45</v>
      </c>
      <c r="P214" s="35">
        <v>0.15</v>
      </c>
      <c r="Q214" s="36">
        <v>114.75</v>
      </c>
      <c r="R214" s="34">
        <v>3</v>
      </c>
      <c r="S214" s="24" t="s">
        <v>2148</v>
      </c>
      <c r="T214" s="24" t="s">
        <v>49</v>
      </c>
      <c r="U214" s="24" t="s">
        <v>50</v>
      </c>
      <c r="V214" s="24">
        <v>9438232503</v>
      </c>
      <c r="W214" s="24" t="s">
        <v>2102</v>
      </c>
      <c r="X214" s="34">
        <v>12</v>
      </c>
      <c r="Y214" s="24" t="s">
        <v>2108</v>
      </c>
      <c r="Z214" s="30">
        <v>46181</v>
      </c>
      <c r="AA214" s="24" t="s">
        <v>2171</v>
      </c>
      <c r="AB214" s="136" t="str">
        <f t="shared" si="3"/>
        <v>Silver</v>
      </c>
    </row>
    <row r="215" spans="1:28">
      <c r="A215" s="24" t="s">
        <v>1060</v>
      </c>
      <c r="B215" s="24" t="s">
        <v>53</v>
      </c>
      <c r="C215" s="24" t="s">
        <v>259</v>
      </c>
      <c r="D215" s="30">
        <v>46134</v>
      </c>
      <c r="E215" s="30" t="s">
        <v>582</v>
      </c>
      <c r="F215" s="24" t="s">
        <v>163</v>
      </c>
      <c r="G215" s="24" t="s">
        <v>28</v>
      </c>
      <c r="H215" s="30" t="s">
        <v>58</v>
      </c>
      <c r="I215" s="24" t="s">
        <v>59</v>
      </c>
      <c r="J215" s="24" t="s">
        <v>31</v>
      </c>
      <c r="K215" s="24" t="s">
        <v>2111</v>
      </c>
      <c r="L215" s="24" t="s">
        <v>122</v>
      </c>
      <c r="M215" s="24" t="s">
        <v>263</v>
      </c>
      <c r="N215" s="24">
        <v>19</v>
      </c>
      <c r="O215" s="36">
        <v>33.75</v>
      </c>
      <c r="P215" s="35">
        <v>0</v>
      </c>
      <c r="Q215" s="36">
        <v>641.25</v>
      </c>
      <c r="R215" s="34">
        <v>2</v>
      </c>
      <c r="S215" s="24" t="s">
        <v>34</v>
      </c>
      <c r="T215" s="24" t="s">
        <v>61</v>
      </c>
      <c r="U215" s="24" t="s">
        <v>62</v>
      </c>
      <c r="V215" s="24">
        <v>9449953754</v>
      </c>
      <c r="W215" s="24" t="s">
        <v>2100</v>
      </c>
      <c r="X215" s="34">
        <v>12</v>
      </c>
      <c r="Y215" s="24" t="s">
        <v>2108</v>
      </c>
      <c r="Z215" s="30">
        <v>46511</v>
      </c>
      <c r="AA215" s="24" t="s">
        <v>2172</v>
      </c>
      <c r="AB215" s="136" t="str">
        <f t="shared" si="3"/>
        <v>Blacklisted</v>
      </c>
    </row>
    <row r="216" spans="1:28">
      <c r="A216" s="24" t="s">
        <v>1064</v>
      </c>
      <c r="B216" s="24" t="s">
        <v>100</v>
      </c>
      <c r="C216" s="24" t="s">
        <v>40</v>
      </c>
      <c r="D216" s="30">
        <v>46087</v>
      </c>
      <c r="E216" s="30" t="s">
        <v>543</v>
      </c>
      <c r="F216" s="24" t="s">
        <v>103</v>
      </c>
      <c r="G216" s="24" t="s">
        <v>28</v>
      </c>
      <c r="H216" s="30" t="s">
        <v>104</v>
      </c>
      <c r="I216" s="24" t="s">
        <v>105</v>
      </c>
      <c r="J216" s="24" t="s">
        <v>106</v>
      </c>
      <c r="K216" s="24" t="s">
        <v>2111</v>
      </c>
      <c r="L216" s="24" t="s">
        <v>46</v>
      </c>
      <c r="M216" s="24" t="s">
        <v>47</v>
      </c>
      <c r="N216" s="24">
        <v>10</v>
      </c>
      <c r="O216" s="36">
        <v>9000</v>
      </c>
      <c r="P216" s="35">
        <v>0.05</v>
      </c>
      <c r="Q216" s="36">
        <v>85500</v>
      </c>
      <c r="R216" s="34">
        <v>1</v>
      </c>
      <c r="S216" s="24" t="s">
        <v>79</v>
      </c>
      <c r="T216" s="24" t="s">
        <v>115</v>
      </c>
      <c r="U216" s="24" t="s">
        <v>144</v>
      </c>
      <c r="V216" s="24">
        <v>9833801891</v>
      </c>
      <c r="W216" s="24" t="s">
        <v>2101</v>
      </c>
      <c r="X216" s="34">
        <v>24</v>
      </c>
      <c r="Y216" s="24" t="s">
        <v>2110</v>
      </c>
      <c r="Z216" s="30">
        <v>46828</v>
      </c>
      <c r="AA216" s="24" t="s">
        <v>2175</v>
      </c>
      <c r="AB216" s="136" t="str">
        <f t="shared" si="3"/>
        <v>Blacklisted</v>
      </c>
    </row>
    <row r="217" spans="1:28">
      <c r="A217" s="24" t="s">
        <v>1068</v>
      </c>
      <c r="B217" s="24" t="s">
        <v>23</v>
      </c>
      <c r="C217" s="24" t="s">
        <v>72</v>
      </c>
      <c r="D217" s="30">
        <v>45716</v>
      </c>
      <c r="E217" s="30" t="s">
        <v>1031</v>
      </c>
      <c r="F217" s="24" t="s">
        <v>27</v>
      </c>
      <c r="G217" s="24" t="s">
        <v>28</v>
      </c>
      <c r="H217" s="30" t="s">
        <v>29</v>
      </c>
      <c r="I217" s="24" t="s">
        <v>30</v>
      </c>
      <c r="J217" s="24" t="s">
        <v>31</v>
      </c>
      <c r="K217" s="24" t="s">
        <v>2111</v>
      </c>
      <c r="L217" s="24" t="s">
        <v>46</v>
      </c>
      <c r="M217" s="24" t="s">
        <v>78</v>
      </c>
      <c r="N217" s="24">
        <v>4</v>
      </c>
      <c r="O217" s="36">
        <v>900</v>
      </c>
      <c r="P217" s="35">
        <v>0</v>
      </c>
      <c r="Q217" s="36">
        <v>3600</v>
      </c>
      <c r="R217" s="34">
        <v>4</v>
      </c>
      <c r="S217" s="24" t="s">
        <v>34</v>
      </c>
      <c r="T217" s="24" t="s">
        <v>61</v>
      </c>
      <c r="U217" s="24" t="s">
        <v>50</v>
      </c>
      <c r="V217" s="24">
        <v>9183949273</v>
      </c>
      <c r="W217" s="24" t="s">
        <v>2100</v>
      </c>
      <c r="X217" s="34">
        <v>6</v>
      </c>
      <c r="Y217" s="24" t="s">
        <v>2108</v>
      </c>
      <c r="Z217" s="30">
        <v>45912</v>
      </c>
      <c r="AA217" s="24" t="s">
        <v>2171</v>
      </c>
      <c r="AB217" s="136" t="str">
        <f t="shared" si="3"/>
        <v>Silver</v>
      </c>
    </row>
    <row r="218" spans="1:28">
      <c r="A218" s="24" t="s">
        <v>1072</v>
      </c>
      <c r="B218" s="24" t="s">
        <v>221</v>
      </c>
      <c r="C218" s="24" t="s">
        <v>169</v>
      </c>
      <c r="D218" s="30">
        <v>45961</v>
      </c>
      <c r="E218" s="30" t="s">
        <v>1073</v>
      </c>
      <c r="F218" s="24" t="s">
        <v>225</v>
      </c>
      <c r="G218" s="24" t="s">
        <v>76</v>
      </c>
      <c r="H218" s="30" t="s">
        <v>226</v>
      </c>
      <c r="I218" s="24" t="s">
        <v>105</v>
      </c>
      <c r="J218" s="24" t="s">
        <v>106</v>
      </c>
      <c r="K218" s="24" t="s">
        <v>2113</v>
      </c>
      <c r="L218" s="24" t="s">
        <v>32</v>
      </c>
      <c r="M218" s="24" t="s">
        <v>174</v>
      </c>
      <c r="N218" s="24">
        <v>2</v>
      </c>
      <c r="O218" s="36">
        <v>6375</v>
      </c>
      <c r="P218" s="35">
        <v>0.2</v>
      </c>
      <c r="Q218" s="36">
        <v>10200</v>
      </c>
      <c r="R218" s="34">
        <v>3</v>
      </c>
      <c r="S218" s="24" t="s">
        <v>79</v>
      </c>
      <c r="T218" s="24" t="s">
        <v>151</v>
      </c>
      <c r="U218" s="24" t="s">
        <v>228</v>
      </c>
      <c r="V218" s="24">
        <v>9168257367</v>
      </c>
      <c r="W218" s="24" t="s">
        <v>2100</v>
      </c>
      <c r="X218" s="34">
        <v>24</v>
      </c>
      <c r="Y218" s="24" t="s">
        <v>2112</v>
      </c>
      <c r="Z218" s="30">
        <v>46698</v>
      </c>
      <c r="AA218" s="24" t="s">
        <v>2171</v>
      </c>
      <c r="AB218" s="136" t="str">
        <f t="shared" si="3"/>
        <v>Silver</v>
      </c>
    </row>
    <row r="219" spans="1:28">
      <c r="A219" s="24" t="s">
        <v>1076</v>
      </c>
      <c r="B219" s="24" t="s">
        <v>83</v>
      </c>
      <c r="C219" s="24" t="s">
        <v>184</v>
      </c>
      <c r="D219" s="30">
        <v>46052</v>
      </c>
      <c r="E219" s="30" t="s">
        <v>322</v>
      </c>
      <c r="F219" s="24" t="s">
        <v>180</v>
      </c>
      <c r="G219" s="24" t="s">
        <v>76</v>
      </c>
      <c r="H219" s="30" t="s">
        <v>87</v>
      </c>
      <c r="I219" s="24" t="s">
        <v>30</v>
      </c>
      <c r="J219" s="24" t="s">
        <v>31</v>
      </c>
      <c r="K219" s="24" t="s">
        <v>2109</v>
      </c>
      <c r="L219" s="24" t="s">
        <v>46</v>
      </c>
      <c r="M219" s="24" t="s">
        <v>189</v>
      </c>
      <c r="N219" s="24">
        <v>7</v>
      </c>
      <c r="O219" s="36">
        <v>525</v>
      </c>
      <c r="P219" s="35">
        <v>0.2</v>
      </c>
      <c r="Q219" s="36">
        <v>2940</v>
      </c>
      <c r="R219" s="34">
        <v>2</v>
      </c>
      <c r="S219" s="24" t="s">
        <v>79</v>
      </c>
      <c r="T219" s="24" t="s">
        <v>151</v>
      </c>
      <c r="U219" s="24" t="s">
        <v>89</v>
      </c>
      <c r="V219" s="24">
        <v>9580903210</v>
      </c>
      <c r="W219" s="24" t="s">
        <v>2100</v>
      </c>
      <c r="X219" s="34">
        <v>24</v>
      </c>
      <c r="Y219" s="24" t="s">
        <v>2108</v>
      </c>
      <c r="Z219" s="30">
        <v>46791</v>
      </c>
      <c r="AA219" s="24" t="s">
        <v>2174</v>
      </c>
      <c r="AB219" s="136" t="str">
        <f t="shared" si="3"/>
        <v>Blacklisted</v>
      </c>
    </row>
    <row r="220" spans="1:28">
      <c r="A220" s="24" t="s">
        <v>1080</v>
      </c>
      <c r="B220" s="24" t="s">
        <v>53</v>
      </c>
      <c r="C220" s="24" t="s">
        <v>222</v>
      </c>
      <c r="D220" s="30">
        <v>46141</v>
      </c>
      <c r="E220" s="30" t="s">
        <v>518</v>
      </c>
      <c r="F220" s="24" t="s">
        <v>163</v>
      </c>
      <c r="G220" s="24" t="s">
        <v>28</v>
      </c>
      <c r="H220" s="30" t="s">
        <v>58</v>
      </c>
      <c r="I220" s="24" t="s">
        <v>59</v>
      </c>
      <c r="J220" s="24" t="s">
        <v>31</v>
      </c>
      <c r="K220" s="24" t="s">
        <v>2111</v>
      </c>
      <c r="L220" s="24" t="s">
        <v>122</v>
      </c>
      <c r="M220" s="24" t="s">
        <v>227</v>
      </c>
      <c r="N220" s="24">
        <v>9</v>
      </c>
      <c r="O220" s="36">
        <v>15</v>
      </c>
      <c r="P220" s="35">
        <v>0.15</v>
      </c>
      <c r="Q220" s="36">
        <v>114.75</v>
      </c>
      <c r="R220" s="34">
        <v>3</v>
      </c>
      <c r="S220" s="24" t="s">
        <v>2148</v>
      </c>
      <c r="T220" s="24" t="s">
        <v>115</v>
      </c>
      <c r="U220" s="24" t="s">
        <v>62</v>
      </c>
      <c r="V220" s="24">
        <v>9602152945</v>
      </c>
      <c r="W220" s="24" t="s">
        <v>2103</v>
      </c>
      <c r="X220" s="34">
        <v>12</v>
      </c>
      <c r="Y220" s="24" t="s">
        <v>2108</v>
      </c>
      <c r="Z220" s="30">
        <v>46510</v>
      </c>
      <c r="AA220" s="24" t="s">
        <v>2172</v>
      </c>
      <c r="AB220" s="136" t="str">
        <f t="shared" si="3"/>
        <v>Silver</v>
      </c>
    </row>
    <row r="221" spans="1:28">
      <c r="A221" s="24" t="s">
        <v>1084</v>
      </c>
      <c r="B221" s="24" t="s">
        <v>100</v>
      </c>
      <c r="C221" s="24" t="s">
        <v>169</v>
      </c>
      <c r="D221" s="30">
        <v>45795</v>
      </c>
      <c r="E221" s="30" t="s">
        <v>1086</v>
      </c>
      <c r="F221" s="24" t="s">
        <v>103</v>
      </c>
      <c r="G221" s="24" t="s">
        <v>28</v>
      </c>
      <c r="H221" s="30" t="s">
        <v>104</v>
      </c>
      <c r="I221" s="24" t="s">
        <v>105</v>
      </c>
      <c r="J221" s="24" t="s">
        <v>106</v>
      </c>
      <c r="K221" s="24" t="s">
        <v>2111</v>
      </c>
      <c r="L221" s="24" t="s">
        <v>32</v>
      </c>
      <c r="M221" s="24" t="s">
        <v>174</v>
      </c>
      <c r="N221" s="24">
        <v>16</v>
      </c>
      <c r="O221" s="36">
        <v>6375</v>
      </c>
      <c r="P221" s="35">
        <v>0</v>
      </c>
      <c r="Q221" s="36">
        <v>102000</v>
      </c>
      <c r="R221" s="34">
        <v>4</v>
      </c>
      <c r="S221" s="24" t="s">
        <v>2148</v>
      </c>
      <c r="T221" s="24" t="s">
        <v>35</v>
      </c>
      <c r="U221" s="24" t="s">
        <v>144</v>
      </c>
      <c r="V221" s="24">
        <v>9646917552</v>
      </c>
      <c r="W221" s="24" t="s">
        <v>2100</v>
      </c>
      <c r="X221" s="34">
        <v>24</v>
      </c>
      <c r="Y221" s="24" t="s">
        <v>2110</v>
      </c>
      <c r="Z221" s="30">
        <v>46527</v>
      </c>
      <c r="AA221" s="24" t="s">
        <v>2175</v>
      </c>
      <c r="AB221" s="136" t="str">
        <f t="shared" si="3"/>
        <v>Platinum</v>
      </c>
    </row>
    <row r="222" spans="1:28">
      <c r="A222" s="24" t="s">
        <v>1089</v>
      </c>
      <c r="B222" s="24" t="s">
        <v>251</v>
      </c>
      <c r="C222" s="24" t="s">
        <v>92</v>
      </c>
      <c r="D222" s="30">
        <v>46107</v>
      </c>
      <c r="E222" s="30" t="s">
        <v>1090</v>
      </c>
      <c r="F222" s="24" t="s">
        <v>254</v>
      </c>
      <c r="G222" s="24" t="s">
        <v>28</v>
      </c>
      <c r="H222" s="30" t="s">
        <v>255</v>
      </c>
      <c r="I222" s="24" t="s">
        <v>114</v>
      </c>
      <c r="J222" s="24" t="s">
        <v>106</v>
      </c>
      <c r="K222" s="24" t="s">
        <v>2111</v>
      </c>
      <c r="L222" s="24" t="s">
        <v>32</v>
      </c>
      <c r="M222" s="24" t="s">
        <v>97</v>
      </c>
      <c r="N222" s="24">
        <v>10</v>
      </c>
      <c r="O222" s="36">
        <v>2625</v>
      </c>
      <c r="P222" s="35">
        <v>0.05</v>
      </c>
      <c r="Q222" s="36">
        <v>24937.5</v>
      </c>
      <c r="R222" s="34">
        <v>3</v>
      </c>
      <c r="S222" s="24" t="s">
        <v>2148</v>
      </c>
      <c r="T222" s="24" t="s">
        <v>115</v>
      </c>
      <c r="U222" s="24" t="s">
        <v>256</v>
      </c>
      <c r="V222" s="24">
        <v>9127548552</v>
      </c>
      <c r="W222" s="24" t="s">
        <v>2101</v>
      </c>
      <c r="X222" s="34">
        <v>6</v>
      </c>
      <c r="Y222" s="24" t="s">
        <v>2112</v>
      </c>
      <c r="Z222" s="30">
        <v>46293</v>
      </c>
      <c r="AA222" s="24" t="s">
        <v>2173</v>
      </c>
      <c r="AB222" s="136" t="str">
        <f t="shared" si="3"/>
        <v>Silver</v>
      </c>
    </row>
    <row r="223" spans="1:28">
      <c r="A223" s="24" t="s">
        <v>1093</v>
      </c>
      <c r="B223" s="24" t="s">
        <v>53</v>
      </c>
      <c r="C223" s="24" t="s">
        <v>40</v>
      </c>
      <c r="D223" s="30">
        <v>46041</v>
      </c>
      <c r="E223" s="30" t="s">
        <v>588</v>
      </c>
      <c r="F223" s="24" t="s">
        <v>163</v>
      </c>
      <c r="G223" s="24" t="s">
        <v>28</v>
      </c>
      <c r="H223" s="30" t="s">
        <v>58</v>
      </c>
      <c r="I223" s="24" t="s">
        <v>59</v>
      </c>
      <c r="J223" s="24" t="s">
        <v>31</v>
      </c>
      <c r="K223" s="24" t="s">
        <v>2111</v>
      </c>
      <c r="L223" s="24" t="s">
        <v>46</v>
      </c>
      <c r="M223" s="24" t="s">
        <v>47</v>
      </c>
      <c r="N223" s="24">
        <v>1</v>
      </c>
      <c r="O223" s="36">
        <v>9000</v>
      </c>
      <c r="P223" s="35">
        <v>0</v>
      </c>
      <c r="Q223" s="36">
        <v>9000</v>
      </c>
      <c r="R223" s="34">
        <v>5</v>
      </c>
      <c r="S223" s="24" t="s">
        <v>2149</v>
      </c>
      <c r="T223" s="24" t="s">
        <v>115</v>
      </c>
      <c r="U223" s="24" t="s">
        <v>62</v>
      </c>
      <c r="V223" s="24">
        <v>9712805603</v>
      </c>
      <c r="W223" s="24" t="s">
        <v>2101</v>
      </c>
      <c r="X223" s="34">
        <v>24</v>
      </c>
      <c r="Y223" s="24" t="s">
        <v>2108</v>
      </c>
      <c r="Z223" s="30">
        <v>46779</v>
      </c>
      <c r="AA223" s="24" t="s">
        <v>2172</v>
      </c>
      <c r="AB223" s="136" t="str">
        <f t="shared" si="3"/>
        <v>Silver</v>
      </c>
    </row>
    <row r="224" spans="1:28">
      <c r="A224" s="24" t="s">
        <v>1097</v>
      </c>
      <c r="B224" s="24" t="s">
        <v>327</v>
      </c>
      <c r="C224" s="24" t="s">
        <v>259</v>
      </c>
      <c r="D224" s="30">
        <v>46144</v>
      </c>
      <c r="E224" s="30" t="s">
        <v>601</v>
      </c>
      <c r="F224" s="24" t="s">
        <v>394</v>
      </c>
      <c r="G224" s="24" t="s">
        <v>76</v>
      </c>
      <c r="H224" s="30" t="s">
        <v>331</v>
      </c>
      <c r="I224" s="24" t="s">
        <v>114</v>
      </c>
      <c r="J224" s="24" t="s">
        <v>106</v>
      </c>
      <c r="K224" s="24" t="s">
        <v>2109</v>
      </c>
      <c r="L224" s="24" t="s">
        <v>122</v>
      </c>
      <c r="M224" s="24" t="s">
        <v>263</v>
      </c>
      <c r="N224" s="24">
        <v>19</v>
      </c>
      <c r="O224" s="36">
        <v>33.75</v>
      </c>
      <c r="P224" s="35">
        <v>0.15</v>
      </c>
      <c r="Q224" s="36">
        <v>545.0625</v>
      </c>
      <c r="R224" s="34">
        <v>2</v>
      </c>
      <c r="S224" s="24" t="s">
        <v>2149</v>
      </c>
      <c r="T224" s="24" t="s">
        <v>151</v>
      </c>
      <c r="U224" s="24" t="s">
        <v>332</v>
      </c>
      <c r="V224" s="24">
        <v>9798313682</v>
      </c>
      <c r="W224" s="24" t="s">
        <v>2100</v>
      </c>
      <c r="X224" s="34">
        <v>12</v>
      </c>
      <c r="Y224" s="24" t="s">
        <v>2108</v>
      </c>
      <c r="Z224" s="30">
        <v>46517</v>
      </c>
      <c r="AA224" s="24" t="s">
        <v>2171</v>
      </c>
      <c r="AB224" s="136" t="str">
        <f t="shared" si="3"/>
        <v>Blacklisted</v>
      </c>
    </row>
    <row r="225" spans="1:28">
      <c r="A225" s="24" t="s">
        <v>1101</v>
      </c>
      <c r="B225" s="24" t="s">
        <v>23</v>
      </c>
      <c r="C225" s="24" t="s">
        <v>54</v>
      </c>
      <c r="D225" s="30">
        <v>45961</v>
      </c>
      <c r="E225" s="30" t="s">
        <v>1102</v>
      </c>
      <c r="F225" s="24" t="s">
        <v>27</v>
      </c>
      <c r="G225" s="24" t="s">
        <v>28</v>
      </c>
      <c r="H225" s="30" t="s">
        <v>29</v>
      </c>
      <c r="I225" s="24" t="s">
        <v>30</v>
      </c>
      <c r="J225" s="24" t="s">
        <v>31</v>
      </c>
      <c r="K225" s="24" t="s">
        <v>2111</v>
      </c>
      <c r="L225" s="24" t="s">
        <v>46</v>
      </c>
      <c r="M225" s="24" t="s">
        <v>60</v>
      </c>
      <c r="N225" s="24">
        <v>13</v>
      </c>
      <c r="O225" s="36">
        <v>41250</v>
      </c>
      <c r="P225" s="35">
        <v>0.05</v>
      </c>
      <c r="Q225" s="36">
        <v>509437.5</v>
      </c>
      <c r="R225" s="34">
        <v>4</v>
      </c>
      <c r="S225" s="24" t="s">
        <v>79</v>
      </c>
      <c r="T225" s="24" t="s">
        <v>49</v>
      </c>
      <c r="U225" s="24" t="s">
        <v>50</v>
      </c>
      <c r="V225" s="24">
        <v>9642822397</v>
      </c>
      <c r="W225" s="24" t="s">
        <v>2100</v>
      </c>
      <c r="X225" s="34">
        <v>12</v>
      </c>
      <c r="Y225" s="24" t="s">
        <v>2108</v>
      </c>
      <c r="Z225" s="30">
        <v>46328</v>
      </c>
      <c r="AA225" s="24" t="s">
        <v>2171</v>
      </c>
      <c r="AB225" s="136" t="str">
        <f t="shared" si="3"/>
        <v>Platinum</v>
      </c>
    </row>
    <row r="226" spans="1:28">
      <c r="A226" s="24" t="s">
        <v>1105</v>
      </c>
      <c r="B226" s="24" t="s">
        <v>83</v>
      </c>
      <c r="C226" s="24" t="s">
        <v>259</v>
      </c>
      <c r="D226" s="30">
        <v>45858</v>
      </c>
      <c r="E226" s="30" t="s">
        <v>155</v>
      </c>
      <c r="F226" s="24" t="s">
        <v>180</v>
      </c>
      <c r="G226" s="24" t="s">
        <v>76</v>
      </c>
      <c r="H226" s="30" t="s">
        <v>87</v>
      </c>
      <c r="I226" s="24" t="s">
        <v>30</v>
      </c>
      <c r="J226" s="24" t="s">
        <v>31</v>
      </c>
      <c r="K226" s="24" t="s">
        <v>2109</v>
      </c>
      <c r="L226" s="24" t="s">
        <v>122</v>
      </c>
      <c r="M226" s="24" t="s">
        <v>263</v>
      </c>
      <c r="N226" s="24">
        <v>2</v>
      </c>
      <c r="O226" s="36">
        <v>33.75</v>
      </c>
      <c r="P226" s="35">
        <v>0.15</v>
      </c>
      <c r="Q226" s="36">
        <v>57.375</v>
      </c>
      <c r="R226" s="34">
        <v>1</v>
      </c>
      <c r="S226" s="24" t="s">
        <v>2148</v>
      </c>
      <c r="T226" s="24" t="s">
        <v>115</v>
      </c>
      <c r="U226" s="24" t="s">
        <v>89</v>
      </c>
      <c r="V226" s="24">
        <v>9490067655</v>
      </c>
      <c r="W226" s="24" t="s">
        <v>2100</v>
      </c>
      <c r="X226" s="34">
        <v>12</v>
      </c>
      <c r="Y226" s="24" t="s">
        <v>2108</v>
      </c>
      <c r="Z226" s="30">
        <v>46229</v>
      </c>
      <c r="AA226" s="24" t="s">
        <v>2174</v>
      </c>
      <c r="AB226" s="136" t="str">
        <f t="shared" si="3"/>
        <v>Blacklisted</v>
      </c>
    </row>
    <row r="227" spans="1:28">
      <c r="A227" s="24" t="s">
        <v>1109</v>
      </c>
      <c r="B227" s="24" t="s">
        <v>100</v>
      </c>
      <c r="C227" s="24" t="s">
        <v>222</v>
      </c>
      <c r="D227" s="30">
        <v>45707</v>
      </c>
      <c r="E227" s="30" t="s">
        <v>1110</v>
      </c>
      <c r="F227" s="24" t="s">
        <v>103</v>
      </c>
      <c r="G227" s="24" t="s">
        <v>28</v>
      </c>
      <c r="H227" s="30" t="s">
        <v>104</v>
      </c>
      <c r="I227" s="24" t="s">
        <v>105</v>
      </c>
      <c r="J227" s="24" t="s">
        <v>106</v>
      </c>
      <c r="K227" s="24" t="s">
        <v>2111</v>
      </c>
      <c r="L227" s="24" t="s">
        <v>122</v>
      </c>
      <c r="M227" s="24" t="s">
        <v>227</v>
      </c>
      <c r="N227" s="24">
        <v>8</v>
      </c>
      <c r="O227" s="36">
        <v>15</v>
      </c>
      <c r="P227" s="35">
        <v>0.15</v>
      </c>
      <c r="Q227" s="36">
        <v>102</v>
      </c>
      <c r="R227" s="34">
        <v>1</v>
      </c>
      <c r="S227" s="24" t="s">
        <v>79</v>
      </c>
      <c r="T227" s="24" t="s">
        <v>35</v>
      </c>
      <c r="U227" s="24" t="s">
        <v>144</v>
      </c>
      <c r="V227" s="24">
        <v>9389792144</v>
      </c>
      <c r="W227" s="24" t="s">
        <v>2103</v>
      </c>
      <c r="X227" s="34">
        <v>12</v>
      </c>
      <c r="Y227" s="24" t="s">
        <v>2110</v>
      </c>
      <c r="Z227" s="30">
        <v>46077</v>
      </c>
      <c r="AA227" s="24" t="s">
        <v>2175</v>
      </c>
      <c r="AB227" s="136" t="str">
        <f t="shared" si="3"/>
        <v>Blacklisted</v>
      </c>
    </row>
    <row r="228" spans="1:28">
      <c r="A228" s="24" t="s">
        <v>1113</v>
      </c>
      <c r="B228" s="24" t="s">
        <v>168</v>
      </c>
      <c r="C228" s="24" t="s">
        <v>40</v>
      </c>
      <c r="D228" s="30">
        <v>45767</v>
      </c>
      <c r="E228" s="30" t="s">
        <v>1115</v>
      </c>
      <c r="F228" s="24" t="s">
        <v>361</v>
      </c>
      <c r="G228" s="24" t="s">
        <v>28</v>
      </c>
      <c r="H228" s="30" t="s">
        <v>173</v>
      </c>
      <c r="I228" s="24" t="s">
        <v>114</v>
      </c>
      <c r="J228" s="24" t="s">
        <v>106</v>
      </c>
      <c r="K228" s="24" t="s">
        <v>2111</v>
      </c>
      <c r="L228" s="24" t="s">
        <v>46</v>
      </c>
      <c r="M228" s="24" t="s">
        <v>47</v>
      </c>
      <c r="N228" s="24">
        <v>9</v>
      </c>
      <c r="O228" s="36">
        <v>9000</v>
      </c>
      <c r="P228" s="35">
        <v>0.05</v>
      </c>
      <c r="Q228" s="36">
        <v>76950</v>
      </c>
      <c r="R228" s="34">
        <v>2</v>
      </c>
      <c r="S228" s="24" t="s">
        <v>79</v>
      </c>
      <c r="T228" s="24" t="s">
        <v>35</v>
      </c>
      <c r="U228" s="24" t="s">
        <v>175</v>
      </c>
      <c r="V228" s="24">
        <v>9736113863</v>
      </c>
      <c r="W228" s="24" t="s">
        <v>2101</v>
      </c>
      <c r="X228" s="34">
        <v>24</v>
      </c>
      <c r="Y228" s="24" t="s">
        <v>2112</v>
      </c>
      <c r="Z228" s="30">
        <v>46508</v>
      </c>
      <c r="AA228" s="24" t="s">
        <v>2177</v>
      </c>
      <c r="AB228" s="136" t="str">
        <f t="shared" si="3"/>
        <v>Blacklisted</v>
      </c>
    </row>
    <row r="229" spans="1:28">
      <c r="A229" s="24" t="s">
        <v>1118</v>
      </c>
      <c r="B229" s="24" t="s">
        <v>71</v>
      </c>
      <c r="C229" s="24" t="s">
        <v>92</v>
      </c>
      <c r="D229" s="30">
        <v>45813</v>
      </c>
      <c r="E229" s="30" t="s">
        <v>1120</v>
      </c>
      <c r="F229" s="24" t="s">
        <v>217</v>
      </c>
      <c r="G229" s="24" t="s">
        <v>76</v>
      </c>
      <c r="H229" s="30" t="s">
        <v>77</v>
      </c>
      <c r="I229" s="24" t="s">
        <v>44</v>
      </c>
      <c r="J229" s="24" t="s">
        <v>45</v>
      </c>
      <c r="K229" s="24" t="s">
        <v>2114</v>
      </c>
      <c r="L229" s="24" t="s">
        <v>32</v>
      </c>
      <c r="M229" s="24" t="s">
        <v>97</v>
      </c>
      <c r="N229" s="24">
        <v>3</v>
      </c>
      <c r="O229" s="36">
        <v>2625</v>
      </c>
      <c r="P229" s="35">
        <v>0.15</v>
      </c>
      <c r="Q229" s="36">
        <v>6693.75</v>
      </c>
      <c r="R229" s="34">
        <v>1</v>
      </c>
      <c r="S229" s="24" t="s">
        <v>34</v>
      </c>
      <c r="T229" s="24" t="s">
        <v>49</v>
      </c>
      <c r="U229" s="24" t="s">
        <v>80</v>
      </c>
      <c r="V229" s="24">
        <v>9324634732</v>
      </c>
      <c r="W229" s="24" t="s">
        <v>2101</v>
      </c>
      <c r="X229" s="34">
        <v>6</v>
      </c>
      <c r="Y229" s="24" t="s">
        <v>2110</v>
      </c>
      <c r="Z229" s="30">
        <v>46004</v>
      </c>
      <c r="AA229" s="24" t="s">
        <v>2173</v>
      </c>
      <c r="AB229" s="136" t="str">
        <f t="shared" si="3"/>
        <v>Blacklisted</v>
      </c>
    </row>
    <row r="230" spans="1:28">
      <c r="A230" s="24" t="s">
        <v>1123</v>
      </c>
      <c r="B230" s="24" t="s">
        <v>100</v>
      </c>
      <c r="C230" s="24" t="s">
        <v>184</v>
      </c>
      <c r="D230" s="30">
        <v>45797</v>
      </c>
      <c r="E230" s="30" t="s">
        <v>1124</v>
      </c>
      <c r="F230" s="24" t="s">
        <v>103</v>
      </c>
      <c r="G230" s="24" t="s">
        <v>28</v>
      </c>
      <c r="H230" s="30" t="s">
        <v>104</v>
      </c>
      <c r="I230" s="24" t="s">
        <v>105</v>
      </c>
      <c r="J230" s="24" t="s">
        <v>106</v>
      </c>
      <c r="K230" s="24" t="s">
        <v>2111</v>
      </c>
      <c r="L230" s="24" t="s">
        <v>46</v>
      </c>
      <c r="M230" s="24" t="s">
        <v>189</v>
      </c>
      <c r="N230" s="24">
        <v>18</v>
      </c>
      <c r="O230" s="36">
        <v>525</v>
      </c>
      <c r="P230" s="35">
        <v>0.2</v>
      </c>
      <c r="Q230" s="36">
        <v>7560</v>
      </c>
      <c r="R230" s="34">
        <v>1</v>
      </c>
      <c r="S230" s="24" t="s">
        <v>79</v>
      </c>
      <c r="T230" s="24" t="s">
        <v>151</v>
      </c>
      <c r="U230" s="24" t="s">
        <v>144</v>
      </c>
      <c r="V230" s="24">
        <v>9529968110</v>
      </c>
      <c r="W230" s="24" t="s">
        <v>2100</v>
      </c>
      <c r="X230" s="34">
        <v>24</v>
      </c>
      <c r="Y230" s="24" t="s">
        <v>2110</v>
      </c>
      <c r="Z230" s="30">
        <v>46530</v>
      </c>
      <c r="AA230" s="24" t="s">
        <v>2175</v>
      </c>
      <c r="AB230" s="136" t="str">
        <f t="shared" si="3"/>
        <v>Blacklisted</v>
      </c>
    </row>
    <row r="231" spans="1:28">
      <c r="A231" s="24" t="s">
        <v>1127</v>
      </c>
      <c r="B231" s="24" t="s">
        <v>71</v>
      </c>
      <c r="C231" s="24" t="s">
        <v>92</v>
      </c>
      <c r="D231" s="30">
        <v>46046</v>
      </c>
      <c r="E231" s="30" t="s">
        <v>110</v>
      </c>
      <c r="F231" s="24" t="s">
        <v>217</v>
      </c>
      <c r="G231" s="24" t="s">
        <v>76</v>
      </c>
      <c r="H231" s="30" t="s">
        <v>77</v>
      </c>
      <c r="I231" s="24" t="s">
        <v>44</v>
      </c>
      <c r="J231" s="24" t="s">
        <v>45</v>
      </c>
      <c r="K231" s="24" t="s">
        <v>2114</v>
      </c>
      <c r="L231" s="24" t="s">
        <v>32</v>
      </c>
      <c r="M231" s="24" t="s">
        <v>97</v>
      </c>
      <c r="N231" s="24">
        <v>14</v>
      </c>
      <c r="O231" s="36">
        <v>2625</v>
      </c>
      <c r="P231" s="35">
        <v>0.05</v>
      </c>
      <c r="Q231" s="36">
        <v>34912.5</v>
      </c>
      <c r="R231" s="34">
        <v>1</v>
      </c>
      <c r="S231" s="24" t="s">
        <v>34</v>
      </c>
      <c r="T231" s="24" t="s">
        <v>61</v>
      </c>
      <c r="U231" s="24" t="s">
        <v>80</v>
      </c>
      <c r="V231" s="24">
        <v>9102417647</v>
      </c>
      <c r="W231" s="24" t="s">
        <v>2101</v>
      </c>
      <c r="X231" s="34">
        <v>6</v>
      </c>
      <c r="Y231" s="24" t="s">
        <v>2110</v>
      </c>
      <c r="Z231" s="30">
        <v>46234</v>
      </c>
      <c r="AA231" s="24" t="s">
        <v>2173</v>
      </c>
      <c r="AB231" s="136" t="str">
        <f t="shared" si="3"/>
        <v>Blacklisted</v>
      </c>
    </row>
    <row r="232" spans="1:28">
      <c r="A232" s="24" t="s">
        <v>1131</v>
      </c>
      <c r="B232" s="24" t="s">
        <v>100</v>
      </c>
      <c r="C232" s="24" t="s">
        <v>184</v>
      </c>
      <c r="D232" s="30">
        <v>45810</v>
      </c>
      <c r="E232" s="30" t="s">
        <v>318</v>
      </c>
      <c r="F232" s="24" t="s">
        <v>103</v>
      </c>
      <c r="G232" s="24" t="s">
        <v>28</v>
      </c>
      <c r="H232" s="30" t="s">
        <v>104</v>
      </c>
      <c r="I232" s="24" t="s">
        <v>105</v>
      </c>
      <c r="J232" s="24" t="s">
        <v>106</v>
      </c>
      <c r="K232" s="24" t="s">
        <v>2111</v>
      </c>
      <c r="L232" s="24" t="s">
        <v>46</v>
      </c>
      <c r="M232" s="24" t="s">
        <v>189</v>
      </c>
      <c r="N232" s="24">
        <v>6</v>
      </c>
      <c r="O232" s="36">
        <v>525</v>
      </c>
      <c r="P232" s="35">
        <v>0.05</v>
      </c>
      <c r="Q232" s="36">
        <v>2992.5</v>
      </c>
      <c r="R232" s="34">
        <v>5</v>
      </c>
      <c r="S232" s="24" t="s">
        <v>34</v>
      </c>
      <c r="T232" s="24" t="s">
        <v>35</v>
      </c>
      <c r="U232" s="24" t="s">
        <v>144</v>
      </c>
      <c r="V232" s="24">
        <v>9630302865</v>
      </c>
      <c r="W232" s="24" t="s">
        <v>2100</v>
      </c>
      <c r="X232" s="34">
        <v>24</v>
      </c>
      <c r="Y232" s="24" t="s">
        <v>2110</v>
      </c>
      <c r="Z232" s="30">
        <v>46542</v>
      </c>
      <c r="AA232" s="24" t="s">
        <v>2175</v>
      </c>
      <c r="AB232" s="136" t="str">
        <f t="shared" si="3"/>
        <v>Silver</v>
      </c>
    </row>
    <row r="233" spans="1:28">
      <c r="A233" s="24" t="s">
        <v>1134</v>
      </c>
      <c r="B233" s="24" t="s">
        <v>100</v>
      </c>
      <c r="C233" s="24" t="s">
        <v>92</v>
      </c>
      <c r="D233" s="30">
        <v>45819</v>
      </c>
      <c r="E233" s="30" t="s">
        <v>872</v>
      </c>
      <c r="F233" s="24" t="s">
        <v>103</v>
      </c>
      <c r="G233" s="24" t="s">
        <v>28</v>
      </c>
      <c r="H233" s="30" t="s">
        <v>104</v>
      </c>
      <c r="I233" s="24" t="s">
        <v>105</v>
      </c>
      <c r="J233" s="24" t="s">
        <v>106</v>
      </c>
      <c r="K233" s="24" t="s">
        <v>2111</v>
      </c>
      <c r="L233" s="24" t="s">
        <v>32</v>
      </c>
      <c r="M233" s="24" t="s">
        <v>97</v>
      </c>
      <c r="N233" s="24">
        <v>17</v>
      </c>
      <c r="O233" s="36">
        <v>2625</v>
      </c>
      <c r="P233" s="35">
        <v>0.15</v>
      </c>
      <c r="Q233" s="36">
        <v>37931.25</v>
      </c>
      <c r="R233" s="34">
        <v>3</v>
      </c>
      <c r="S233" s="24" t="s">
        <v>2148</v>
      </c>
      <c r="T233" s="24" t="s">
        <v>49</v>
      </c>
      <c r="U233" s="24" t="s">
        <v>144</v>
      </c>
      <c r="V233" s="24">
        <v>9465353780</v>
      </c>
      <c r="W233" s="24" t="s">
        <v>2101</v>
      </c>
      <c r="X233" s="34">
        <v>6</v>
      </c>
      <c r="Y233" s="24" t="s">
        <v>2110</v>
      </c>
      <c r="Z233" s="30">
        <v>46010</v>
      </c>
      <c r="AA233" s="24" t="s">
        <v>2175</v>
      </c>
      <c r="AB233" s="136" t="str">
        <f t="shared" si="3"/>
        <v>Silver</v>
      </c>
    </row>
    <row r="234" spans="1:28">
      <c r="A234" s="24" t="s">
        <v>1137</v>
      </c>
      <c r="B234" s="24" t="s">
        <v>251</v>
      </c>
      <c r="C234" s="24" t="s">
        <v>222</v>
      </c>
      <c r="D234" s="30">
        <v>46038</v>
      </c>
      <c r="E234" s="30" t="s">
        <v>1128</v>
      </c>
      <c r="F234" s="24" t="s">
        <v>254</v>
      </c>
      <c r="G234" s="24" t="s">
        <v>28</v>
      </c>
      <c r="H234" s="30" t="s">
        <v>255</v>
      </c>
      <c r="I234" s="24" t="s">
        <v>114</v>
      </c>
      <c r="J234" s="24" t="s">
        <v>106</v>
      </c>
      <c r="K234" s="24" t="s">
        <v>2111</v>
      </c>
      <c r="L234" s="24" t="s">
        <v>122</v>
      </c>
      <c r="M234" s="24" t="s">
        <v>227</v>
      </c>
      <c r="N234" s="24">
        <v>7</v>
      </c>
      <c r="O234" s="36">
        <v>15</v>
      </c>
      <c r="P234" s="35">
        <v>0.05</v>
      </c>
      <c r="Q234" s="36">
        <v>99.75</v>
      </c>
      <c r="R234" s="34">
        <v>2</v>
      </c>
      <c r="S234" s="24" t="s">
        <v>2149</v>
      </c>
      <c r="T234" s="24" t="s">
        <v>151</v>
      </c>
      <c r="U234" s="24" t="s">
        <v>256</v>
      </c>
      <c r="V234" s="24">
        <v>9837426414</v>
      </c>
      <c r="W234" s="24" t="s">
        <v>2103</v>
      </c>
      <c r="X234" s="34">
        <v>12</v>
      </c>
      <c r="Y234" s="24" t="s">
        <v>2112</v>
      </c>
      <c r="Z234" s="30">
        <v>46411</v>
      </c>
      <c r="AA234" s="24" t="s">
        <v>2173</v>
      </c>
      <c r="AB234" s="136" t="str">
        <f t="shared" si="3"/>
        <v>Blacklisted</v>
      </c>
    </row>
    <row r="235" spans="1:28">
      <c r="A235" s="24" t="s">
        <v>1140</v>
      </c>
      <c r="B235" s="24" t="s">
        <v>23</v>
      </c>
      <c r="C235" s="24" t="s">
        <v>24</v>
      </c>
      <c r="D235" s="30">
        <v>46073</v>
      </c>
      <c r="E235" s="30" t="s">
        <v>1142</v>
      </c>
      <c r="F235" s="24" t="s">
        <v>27</v>
      </c>
      <c r="G235" s="24" t="s">
        <v>28</v>
      </c>
      <c r="H235" s="30" t="s">
        <v>29</v>
      </c>
      <c r="I235" s="24" t="s">
        <v>30</v>
      </c>
      <c r="J235" s="24" t="s">
        <v>31</v>
      </c>
      <c r="K235" s="24" t="s">
        <v>2111</v>
      </c>
      <c r="L235" s="24" t="s">
        <v>32</v>
      </c>
      <c r="M235" s="24" t="s">
        <v>33</v>
      </c>
      <c r="N235" s="24">
        <v>15</v>
      </c>
      <c r="O235" s="36">
        <v>1650</v>
      </c>
      <c r="P235" s="35">
        <v>0.2</v>
      </c>
      <c r="Q235" s="36">
        <v>19800</v>
      </c>
      <c r="R235" s="34">
        <v>2</v>
      </c>
      <c r="S235" s="24" t="s">
        <v>34</v>
      </c>
      <c r="T235" s="24" t="s">
        <v>61</v>
      </c>
      <c r="U235" s="24" t="s">
        <v>50</v>
      </c>
      <c r="V235" s="24">
        <v>9249918272</v>
      </c>
      <c r="W235" s="24" t="s">
        <v>2101</v>
      </c>
      <c r="X235" s="34">
        <v>24</v>
      </c>
      <c r="Y235" s="24" t="s">
        <v>2108</v>
      </c>
      <c r="Z235" s="30">
        <v>46816</v>
      </c>
      <c r="AA235" s="24" t="s">
        <v>2171</v>
      </c>
      <c r="AB235" s="136" t="str">
        <f t="shared" si="3"/>
        <v>Blacklisted</v>
      </c>
    </row>
    <row r="236" spans="1:28">
      <c r="A236" s="24" t="s">
        <v>1145</v>
      </c>
      <c r="B236" s="24" t="s">
        <v>71</v>
      </c>
      <c r="C236" s="24" t="s">
        <v>222</v>
      </c>
      <c r="D236" s="30">
        <v>46070</v>
      </c>
      <c r="E236" s="30" t="s">
        <v>94</v>
      </c>
      <c r="F236" s="24" t="s">
        <v>217</v>
      </c>
      <c r="G236" s="24" t="s">
        <v>76</v>
      </c>
      <c r="H236" s="30" t="s">
        <v>77</v>
      </c>
      <c r="I236" s="24" t="s">
        <v>44</v>
      </c>
      <c r="J236" s="24" t="s">
        <v>45</v>
      </c>
      <c r="K236" s="24" t="s">
        <v>2114</v>
      </c>
      <c r="L236" s="24" t="s">
        <v>122</v>
      </c>
      <c r="M236" s="24" t="s">
        <v>227</v>
      </c>
      <c r="N236" s="24">
        <v>5</v>
      </c>
      <c r="O236" s="36">
        <v>15</v>
      </c>
      <c r="P236" s="35">
        <v>0</v>
      </c>
      <c r="Q236" s="36">
        <v>75</v>
      </c>
      <c r="R236" s="34">
        <v>3</v>
      </c>
      <c r="S236" s="24" t="s">
        <v>34</v>
      </c>
      <c r="T236" s="24" t="s">
        <v>151</v>
      </c>
      <c r="U236" s="24" t="s">
        <v>80</v>
      </c>
      <c r="V236" s="24">
        <v>9265580582</v>
      </c>
      <c r="W236" s="24" t="s">
        <v>2103</v>
      </c>
      <c r="X236" s="34">
        <v>12</v>
      </c>
      <c r="Y236" s="24" t="s">
        <v>2110</v>
      </c>
      <c r="Z236" s="30">
        <v>46443</v>
      </c>
      <c r="AA236" s="24" t="s">
        <v>2173</v>
      </c>
      <c r="AB236" s="136" t="str">
        <f t="shared" si="3"/>
        <v>Silver</v>
      </c>
    </row>
    <row r="237" spans="1:28">
      <c r="A237" s="24" t="s">
        <v>1148</v>
      </c>
      <c r="B237" s="24" t="s">
        <v>127</v>
      </c>
      <c r="C237" s="24" t="s">
        <v>40</v>
      </c>
      <c r="D237" s="30">
        <v>45847</v>
      </c>
      <c r="E237" s="30" t="s">
        <v>779</v>
      </c>
      <c r="F237" s="24" t="s">
        <v>200</v>
      </c>
      <c r="G237" s="24" t="s">
        <v>76</v>
      </c>
      <c r="H237" s="30" t="s">
        <v>131</v>
      </c>
      <c r="I237" s="24" t="s">
        <v>44</v>
      </c>
      <c r="J237" s="24" t="s">
        <v>45</v>
      </c>
      <c r="K237" s="24" t="s">
        <v>2113</v>
      </c>
      <c r="L237" s="24" t="s">
        <v>46</v>
      </c>
      <c r="M237" s="24" t="s">
        <v>47</v>
      </c>
      <c r="N237" s="24">
        <v>8</v>
      </c>
      <c r="O237" s="36">
        <v>9000</v>
      </c>
      <c r="P237" s="35">
        <v>0.2</v>
      </c>
      <c r="Q237" s="36">
        <v>57600</v>
      </c>
      <c r="R237" s="34">
        <v>3</v>
      </c>
      <c r="S237" s="24" t="s">
        <v>79</v>
      </c>
      <c r="T237" s="24" t="s">
        <v>61</v>
      </c>
      <c r="U237" s="24" t="s">
        <v>132</v>
      </c>
      <c r="V237" s="24">
        <v>9751049833</v>
      </c>
      <c r="W237" s="24" t="s">
        <v>2101</v>
      </c>
      <c r="X237" s="34">
        <v>24</v>
      </c>
      <c r="Y237" s="24" t="s">
        <v>2112</v>
      </c>
      <c r="Z237" s="30">
        <v>46582</v>
      </c>
      <c r="AA237" s="24" t="s">
        <v>2176</v>
      </c>
      <c r="AB237" s="136" t="str">
        <f t="shared" si="3"/>
        <v>Gold</v>
      </c>
    </row>
    <row r="238" spans="1:28">
      <c r="A238" s="24" t="s">
        <v>1152</v>
      </c>
      <c r="B238" s="24" t="s">
        <v>127</v>
      </c>
      <c r="C238" s="24" t="s">
        <v>92</v>
      </c>
      <c r="D238" s="30">
        <v>45696</v>
      </c>
      <c r="E238" s="30" t="s">
        <v>987</v>
      </c>
      <c r="F238" s="24" t="s">
        <v>200</v>
      </c>
      <c r="G238" s="24" t="s">
        <v>76</v>
      </c>
      <c r="H238" s="30" t="s">
        <v>131</v>
      </c>
      <c r="I238" s="24" t="s">
        <v>44</v>
      </c>
      <c r="J238" s="24" t="s">
        <v>45</v>
      </c>
      <c r="K238" s="24" t="s">
        <v>2113</v>
      </c>
      <c r="L238" s="24" t="s">
        <v>32</v>
      </c>
      <c r="M238" s="24" t="s">
        <v>97</v>
      </c>
      <c r="N238" s="24">
        <v>4</v>
      </c>
      <c r="O238" s="36">
        <v>2625</v>
      </c>
      <c r="P238" s="35">
        <v>0.2</v>
      </c>
      <c r="Q238" s="36">
        <v>8400</v>
      </c>
      <c r="R238" s="34">
        <v>1</v>
      </c>
      <c r="S238" s="24" t="s">
        <v>79</v>
      </c>
      <c r="T238" s="24" t="s">
        <v>115</v>
      </c>
      <c r="U238" s="24" t="s">
        <v>132</v>
      </c>
      <c r="V238" s="24">
        <v>9741671507</v>
      </c>
      <c r="W238" s="24" t="s">
        <v>2101</v>
      </c>
      <c r="X238" s="34">
        <v>6</v>
      </c>
      <c r="Y238" s="24" t="s">
        <v>2112</v>
      </c>
      <c r="Z238" s="30">
        <v>45885</v>
      </c>
      <c r="AA238" s="24" t="s">
        <v>2176</v>
      </c>
      <c r="AB238" s="136" t="str">
        <f t="shared" si="3"/>
        <v>Blacklisted</v>
      </c>
    </row>
    <row r="239" spans="1:28">
      <c r="A239" s="24" t="s">
        <v>1156</v>
      </c>
      <c r="B239" s="24" t="s">
        <v>221</v>
      </c>
      <c r="C239" s="24" t="s">
        <v>259</v>
      </c>
      <c r="D239" s="30">
        <v>45713</v>
      </c>
      <c r="E239" s="30" t="s">
        <v>1157</v>
      </c>
      <c r="F239" s="24" t="s">
        <v>225</v>
      </c>
      <c r="G239" s="24" t="s">
        <v>76</v>
      </c>
      <c r="H239" s="30" t="s">
        <v>226</v>
      </c>
      <c r="I239" s="24" t="s">
        <v>105</v>
      </c>
      <c r="J239" s="24" t="s">
        <v>106</v>
      </c>
      <c r="K239" s="24" t="s">
        <v>2113</v>
      </c>
      <c r="L239" s="24" t="s">
        <v>122</v>
      </c>
      <c r="M239" s="24" t="s">
        <v>263</v>
      </c>
      <c r="N239" s="24">
        <v>19</v>
      </c>
      <c r="O239" s="36">
        <v>33.75</v>
      </c>
      <c r="P239" s="35">
        <v>0.1</v>
      </c>
      <c r="Q239" s="36">
        <v>577.125</v>
      </c>
      <c r="R239" s="34">
        <v>1</v>
      </c>
      <c r="S239" s="24" t="s">
        <v>34</v>
      </c>
      <c r="T239" s="24" t="s">
        <v>115</v>
      </c>
      <c r="U239" s="24" t="s">
        <v>228</v>
      </c>
      <c r="V239" s="24">
        <v>9367541035</v>
      </c>
      <c r="W239" s="24" t="s">
        <v>2100</v>
      </c>
      <c r="X239" s="34">
        <v>12</v>
      </c>
      <c r="Y239" s="24" t="s">
        <v>2112</v>
      </c>
      <c r="Z239" s="30">
        <v>46085</v>
      </c>
      <c r="AA239" s="24" t="s">
        <v>2171</v>
      </c>
      <c r="AB239" s="136" t="str">
        <f t="shared" si="3"/>
        <v>Blacklisted</v>
      </c>
    </row>
    <row r="240" spans="1:28">
      <c r="A240" s="24" t="s">
        <v>1160</v>
      </c>
      <c r="B240" s="24" t="s">
        <v>53</v>
      </c>
      <c r="C240" s="24" t="s">
        <v>259</v>
      </c>
      <c r="D240" s="30">
        <v>46049</v>
      </c>
      <c r="E240" s="30" t="s">
        <v>1161</v>
      </c>
      <c r="F240" s="24" t="s">
        <v>163</v>
      </c>
      <c r="G240" s="24" t="s">
        <v>28</v>
      </c>
      <c r="H240" s="30" t="s">
        <v>58</v>
      </c>
      <c r="I240" s="24" t="s">
        <v>59</v>
      </c>
      <c r="J240" s="24" t="s">
        <v>31</v>
      </c>
      <c r="K240" s="24" t="s">
        <v>2111</v>
      </c>
      <c r="L240" s="24" t="s">
        <v>122</v>
      </c>
      <c r="M240" s="24" t="s">
        <v>263</v>
      </c>
      <c r="N240" s="24">
        <v>10</v>
      </c>
      <c r="O240" s="36">
        <v>33.75</v>
      </c>
      <c r="P240" s="35">
        <v>0</v>
      </c>
      <c r="Q240" s="36">
        <v>337.5</v>
      </c>
      <c r="R240" s="34">
        <v>4</v>
      </c>
      <c r="S240" s="24" t="s">
        <v>2149</v>
      </c>
      <c r="T240" s="24" t="s">
        <v>61</v>
      </c>
      <c r="U240" s="24" t="s">
        <v>62</v>
      </c>
      <c r="V240" s="24">
        <v>9323696971</v>
      </c>
      <c r="W240" s="24" t="s">
        <v>2100</v>
      </c>
      <c r="X240" s="34">
        <v>12</v>
      </c>
      <c r="Y240" s="24" t="s">
        <v>2108</v>
      </c>
      <c r="Z240" s="30">
        <v>46424</v>
      </c>
      <c r="AA240" s="24" t="s">
        <v>2172</v>
      </c>
      <c r="AB240" s="136" t="str">
        <f t="shared" si="3"/>
        <v>Silver</v>
      </c>
    </row>
    <row r="241" spans="1:28">
      <c r="A241" s="24" t="s">
        <v>1164</v>
      </c>
      <c r="B241" s="24" t="s">
        <v>53</v>
      </c>
      <c r="C241" s="24" t="s">
        <v>259</v>
      </c>
      <c r="D241" s="30">
        <v>46030</v>
      </c>
      <c r="E241" s="30" t="s">
        <v>1039</v>
      </c>
      <c r="F241" s="24" t="s">
        <v>163</v>
      </c>
      <c r="G241" s="24" t="s">
        <v>28</v>
      </c>
      <c r="H241" s="30" t="s">
        <v>58</v>
      </c>
      <c r="I241" s="24" t="s">
        <v>59</v>
      </c>
      <c r="J241" s="24" t="s">
        <v>31</v>
      </c>
      <c r="K241" s="24" t="s">
        <v>2111</v>
      </c>
      <c r="L241" s="24" t="s">
        <v>122</v>
      </c>
      <c r="M241" s="24" t="s">
        <v>263</v>
      </c>
      <c r="N241" s="24">
        <v>16</v>
      </c>
      <c r="O241" s="36">
        <v>33.75</v>
      </c>
      <c r="P241" s="35">
        <v>0.15</v>
      </c>
      <c r="Q241" s="36">
        <v>459</v>
      </c>
      <c r="R241" s="34">
        <v>3</v>
      </c>
      <c r="S241" s="24" t="s">
        <v>34</v>
      </c>
      <c r="T241" s="24" t="s">
        <v>115</v>
      </c>
      <c r="U241" s="24" t="s">
        <v>62</v>
      </c>
      <c r="V241" s="24">
        <v>9786384529</v>
      </c>
      <c r="W241" s="24" t="s">
        <v>2100</v>
      </c>
      <c r="X241" s="34">
        <v>12</v>
      </c>
      <c r="Y241" s="24" t="s">
        <v>2108</v>
      </c>
      <c r="Z241" s="30">
        <v>46404</v>
      </c>
      <c r="AA241" s="24" t="s">
        <v>2172</v>
      </c>
      <c r="AB241" s="136" t="str">
        <f t="shared" si="3"/>
        <v>Silver</v>
      </c>
    </row>
    <row r="242" spans="1:28">
      <c r="A242" s="24" t="s">
        <v>1168</v>
      </c>
      <c r="B242" s="24" t="s">
        <v>168</v>
      </c>
      <c r="C242" s="24" t="s">
        <v>169</v>
      </c>
      <c r="D242" s="30">
        <v>45741</v>
      </c>
      <c r="E242" s="30" t="s">
        <v>120</v>
      </c>
      <c r="F242" s="24" t="s">
        <v>361</v>
      </c>
      <c r="G242" s="24" t="s">
        <v>28</v>
      </c>
      <c r="H242" s="30" t="s">
        <v>173</v>
      </c>
      <c r="I242" s="24" t="s">
        <v>114</v>
      </c>
      <c r="J242" s="24" t="s">
        <v>106</v>
      </c>
      <c r="K242" s="24" t="s">
        <v>2111</v>
      </c>
      <c r="L242" s="24" t="s">
        <v>32</v>
      </c>
      <c r="M242" s="24" t="s">
        <v>174</v>
      </c>
      <c r="N242" s="24">
        <v>16</v>
      </c>
      <c r="O242" s="36">
        <v>6375</v>
      </c>
      <c r="P242" s="35">
        <v>0.15</v>
      </c>
      <c r="Q242" s="36">
        <v>86700</v>
      </c>
      <c r="R242" s="34">
        <v>4</v>
      </c>
      <c r="S242" s="24" t="s">
        <v>2148</v>
      </c>
      <c r="T242" s="24" t="s">
        <v>35</v>
      </c>
      <c r="U242" s="24" t="s">
        <v>175</v>
      </c>
      <c r="V242" s="24">
        <v>9444900541</v>
      </c>
      <c r="W242" s="24" t="s">
        <v>2100</v>
      </c>
      <c r="X242" s="34">
        <v>24</v>
      </c>
      <c r="Y242" s="24" t="s">
        <v>2112</v>
      </c>
      <c r="Z242" s="30">
        <v>46473</v>
      </c>
      <c r="AA242" s="24" t="s">
        <v>2177</v>
      </c>
      <c r="AB242" s="136" t="str">
        <f t="shared" si="3"/>
        <v>Gold</v>
      </c>
    </row>
    <row r="243" spans="1:28">
      <c r="A243" s="24" t="s">
        <v>1171</v>
      </c>
      <c r="B243" s="24" t="s">
        <v>168</v>
      </c>
      <c r="C243" s="24" t="s">
        <v>222</v>
      </c>
      <c r="D243" s="30">
        <v>45901</v>
      </c>
      <c r="E243" s="30" t="s">
        <v>1172</v>
      </c>
      <c r="F243" s="24" t="s">
        <v>361</v>
      </c>
      <c r="G243" s="24" t="s">
        <v>28</v>
      </c>
      <c r="H243" s="30" t="s">
        <v>173</v>
      </c>
      <c r="I243" s="24" t="s">
        <v>114</v>
      </c>
      <c r="J243" s="24" t="s">
        <v>106</v>
      </c>
      <c r="K243" s="24" t="s">
        <v>2111</v>
      </c>
      <c r="L243" s="24" t="s">
        <v>122</v>
      </c>
      <c r="M243" s="24" t="s">
        <v>227</v>
      </c>
      <c r="N243" s="24">
        <v>15</v>
      </c>
      <c r="O243" s="36">
        <v>15</v>
      </c>
      <c r="P243" s="35">
        <v>0.2</v>
      </c>
      <c r="Q243" s="36">
        <v>180</v>
      </c>
      <c r="R243" s="34">
        <v>3</v>
      </c>
      <c r="S243" s="24" t="s">
        <v>2148</v>
      </c>
      <c r="T243" s="24" t="s">
        <v>49</v>
      </c>
      <c r="U243" s="24" t="s">
        <v>175</v>
      </c>
      <c r="V243" s="24">
        <v>9108024911</v>
      </c>
      <c r="W243" s="24" t="s">
        <v>2103</v>
      </c>
      <c r="X243" s="34">
        <v>12</v>
      </c>
      <c r="Y243" s="24" t="s">
        <v>2112</v>
      </c>
      <c r="Z243" s="30">
        <v>46277</v>
      </c>
      <c r="AA243" s="24" t="s">
        <v>2177</v>
      </c>
      <c r="AB243" s="136" t="str">
        <f t="shared" si="3"/>
        <v>Silver</v>
      </c>
    </row>
    <row r="244" spans="1:28">
      <c r="A244" s="24" t="s">
        <v>1175</v>
      </c>
      <c r="B244" s="24" t="s">
        <v>83</v>
      </c>
      <c r="C244" s="24" t="s">
        <v>118</v>
      </c>
      <c r="D244" s="30">
        <v>46031</v>
      </c>
      <c r="E244" s="30" t="s">
        <v>1176</v>
      </c>
      <c r="F244" s="24" t="s">
        <v>180</v>
      </c>
      <c r="G244" s="24" t="s">
        <v>76</v>
      </c>
      <c r="H244" s="30" t="s">
        <v>87</v>
      </c>
      <c r="I244" s="24" t="s">
        <v>30</v>
      </c>
      <c r="J244" s="24" t="s">
        <v>31</v>
      </c>
      <c r="K244" s="24" t="s">
        <v>2109</v>
      </c>
      <c r="L244" s="24" t="s">
        <v>122</v>
      </c>
      <c r="M244" s="24" t="s">
        <v>123</v>
      </c>
      <c r="N244" s="24">
        <v>14</v>
      </c>
      <c r="O244" s="36">
        <v>45</v>
      </c>
      <c r="P244" s="35">
        <v>0.05</v>
      </c>
      <c r="Q244" s="36">
        <v>598.5</v>
      </c>
      <c r="R244" s="34">
        <v>4</v>
      </c>
      <c r="S244" s="24" t="s">
        <v>34</v>
      </c>
      <c r="T244" s="24" t="s">
        <v>49</v>
      </c>
      <c r="U244" s="24" t="s">
        <v>89</v>
      </c>
      <c r="V244" s="24">
        <v>9897181325</v>
      </c>
      <c r="W244" s="24" t="s">
        <v>2102</v>
      </c>
      <c r="X244" s="34">
        <v>12</v>
      </c>
      <c r="Y244" s="24" t="s">
        <v>2108</v>
      </c>
      <c r="Z244" s="30">
        <v>46400</v>
      </c>
      <c r="AA244" s="24" t="s">
        <v>2174</v>
      </c>
      <c r="AB244" s="136" t="str">
        <f t="shared" si="3"/>
        <v>Silver</v>
      </c>
    </row>
    <row r="245" spans="1:28">
      <c r="A245" s="24" t="s">
        <v>1179</v>
      </c>
      <c r="B245" s="24" t="s">
        <v>53</v>
      </c>
      <c r="C245" s="24" t="s">
        <v>72</v>
      </c>
      <c r="D245" s="30">
        <v>46158</v>
      </c>
      <c r="E245" s="30" t="s">
        <v>1181</v>
      </c>
      <c r="F245" s="24" t="s">
        <v>163</v>
      </c>
      <c r="G245" s="24" t="s">
        <v>28</v>
      </c>
      <c r="H245" s="30" t="s">
        <v>58</v>
      </c>
      <c r="I245" s="24" t="s">
        <v>59</v>
      </c>
      <c r="J245" s="24" t="s">
        <v>31</v>
      </c>
      <c r="K245" s="24" t="s">
        <v>2111</v>
      </c>
      <c r="L245" s="24" t="s">
        <v>46</v>
      </c>
      <c r="M245" s="24" t="s">
        <v>78</v>
      </c>
      <c r="N245" s="24">
        <v>19</v>
      </c>
      <c r="O245" s="36">
        <v>900</v>
      </c>
      <c r="P245" s="35">
        <v>0.2</v>
      </c>
      <c r="Q245" s="36">
        <v>13680</v>
      </c>
      <c r="R245" s="34">
        <v>2</v>
      </c>
      <c r="S245" s="24" t="s">
        <v>34</v>
      </c>
      <c r="T245" s="24" t="s">
        <v>115</v>
      </c>
      <c r="U245" s="24" t="s">
        <v>62</v>
      </c>
      <c r="V245" s="24">
        <v>9554719621</v>
      </c>
      <c r="W245" s="24" t="s">
        <v>2100</v>
      </c>
      <c r="X245" s="34">
        <v>6</v>
      </c>
      <c r="Y245" s="24" t="s">
        <v>2108</v>
      </c>
      <c r="Z245" s="30">
        <v>46345</v>
      </c>
      <c r="AA245" s="24" t="s">
        <v>2172</v>
      </c>
      <c r="AB245" s="136" t="str">
        <f t="shared" si="3"/>
        <v>Blacklisted</v>
      </c>
    </row>
    <row r="246" spans="1:28">
      <c r="A246" s="24" t="s">
        <v>1184</v>
      </c>
      <c r="B246" s="24" t="s">
        <v>23</v>
      </c>
      <c r="C246" s="24" t="s">
        <v>259</v>
      </c>
      <c r="D246" s="30">
        <v>45943</v>
      </c>
      <c r="E246" s="30" t="s">
        <v>346</v>
      </c>
      <c r="F246" s="24" t="s">
        <v>27</v>
      </c>
      <c r="G246" s="24" t="s">
        <v>28</v>
      </c>
      <c r="H246" s="30" t="s">
        <v>29</v>
      </c>
      <c r="I246" s="24" t="s">
        <v>30</v>
      </c>
      <c r="J246" s="24" t="s">
        <v>31</v>
      </c>
      <c r="K246" s="24" t="s">
        <v>2111</v>
      </c>
      <c r="L246" s="24" t="s">
        <v>122</v>
      </c>
      <c r="M246" s="24" t="s">
        <v>263</v>
      </c>
      <c r="N246" s="24">
        <v>5</v>
      </c>
      <c r="O246" s="36">
        <v>33.75</v>
      </c>
      <c r="P246" s="35">
        <v>0.15</v>
      </c>
      <c r="Q246" s="36">
        <v>143.4375</v>
      </c>
      <c r="R246" s="34">
        <v>2</v>
      </c>
      <c r="S246" s="24" t="s">
        <v>34</v>
      </c>
      <c r="T246" s="24" t="s">
        <v>61</v>
      </c>
      <c r="U246" s="24" t="s">
        <v>50</v>
      </c>
      <c r="V246" s="24">
        <v>9815899217</v>
      </c>
      <c r="W246" s="24" t="s">
        <v>2100</v>
      </c>
      <c r="X246" s="34">
        <v>12</v>
      </c>
      <c r="Y246" s="24" t="s">
        <v>2108</v>
      </c>
      <c r="Z246" s="30">
        <v>46309</v>
      </c>
      <c r="AA246" s="24" t="s">
        <v>2171</v>
      </c>
      <c r="AB246" s="136" t="str">
        <f t="shared" si="3"/>
        <v>Blacklisted</v>
      </c>
    </row>
    <row r="247" spans="1:28">
      <c r="A247" s="24" t="s">
        <v>1187</v>
      </c>
      <c r="B247" s="24" t="s">
        <v>327</v>
      </c>
      <c r="C247" s="24" t="s">
        <v>184</v>
      </c>
      <c r="D247" s="30">
        <v>45802</v>
      </c>
      <c r="E247" s="30" t="s">
        <v>1188</v>
      </c>
      <c r="F247" s="24" t="s">
        <v>394</v>
      </c>
      <c r="G247" s="24" t="s">
        <v>76</v>
      </c>
      <c r="H247" s="30" t="s">
        <v>331</v>
      </c>
      <c r="I247" s="24" t="s">
        <v>114</v>
      </c>
      <c r="J247" s="24" t="s">
        <v>106</v>
      </c>
      <c r="K247" s="24" t="s">
        <v>2109</v>
      </c>
      <c r="L247" s="24" t="s">
        <v>46</v>
      </c>
      <c r="M247" s="24" t="s">
        <v>189</v>
      </c>
      <c r="N247" s="24">
        <v>19</v>
      </c>
      <c r="O247" s="36">
        <v>525</v>
      </c>
      <c r="P247" s="35">
        <v>0.05</v>
      </c>
      <c r="Q247" s="36">
        <v>9476.25</v>
      </c>
      <c r="R247" s="34">
        <v>5</v>
      </c>
      <c r="S247" s="24" t="s">
        <v>2149</v>
      </c>
      <c r="T247" s="24" t="s">
        <v>151</v>
      </c>
      <c r="U247" s="24" t="s">
        <v>332</v>
      </c>
      <c r="V247" s="24">
        <v>9308497039</v>
      </c>
      <c r="W247" s="24" t="s">
        <v>2100</v>
      </c>
      <c r="X247" s="34">
        <v>24</v>
      </c>
      <c r="Y247" s="24" t="s">
        <v>2108</v>
      </c>
      <c r="Z247" s="30">
        <v>46539</v>
      </c>
      <c r="AA247" s="24" t="s">
        <v>2171</v>
      </c>
      <c r="AB247" s="136" t="str">
        <f t="shared" si="3"/>
        <v>Silver</v>
      </c>
    </row>
    <row r="248" spans="1:28">
      <c r="A248" s="24" t="s">
        <v>1191</v>
      </c>
      <c r="B248" s="24" t="s">
        <v>127</v>
      </c>
      <c r="C248" s="24" t="s">
        <v>118</v>
      </c>
      <c r="D248" s="30">
        <v>46025</v>
      </c>
      <c r="E248" s="30" t="s">
        <v>84</v>
      </c>
      <c r="F248" s="24" t="s">
        <v>200</v>
      </c>
      <c r="G248" s="24" t="s">
        <v>76</v>
      </c>
      <c r="H248" s="30" t="s">
        <v>131</v>
      </c>
      <c r="I248" s="24" t="s">
        <v>44</v>
      </c>
      <c r="J248" s="24" t="s">
        <v>45</v>
      </c>
      <c r="K248" s="24" t="s">
        <v>2113</v>
      </c>
      <c r="L248" s="24" t="s">
        <v>122</v>
      </c>
      <c r="M248" s="24" t="s">
        <v>123</v>
      </c>
      <c r="N248" s="24">
        <v>7</v>
      </c>
      <c r="O248" s="36">
        <v>45</v>
      </c>
      <c r="P248" s="35">
        <v>0</v>
      </c>
      <c r="Q248" s="36">
        <v>315</v>
      </c>
      <c r="R248" s="34">
        <v>4</v>
      </c>
      <c r="S248" s="24" t="s">
        <v>34</v>
      </c>
      <c r="T248" s="24" t="s">
        <v>115</v>
      </c>
      <c r="U248" s="24" t="s">
        <v>132</v>
      </c>
      <c r="V248" s="24">
        <v>9882054354</v>
      </c>
      <c r="W248" s="24" t="s">
        <v>2102</v>
      </c>
      <c r="X248" s="34">
        <v>12</v>
      </c>
      <c r="Y248" s="24" t="s">
        <v>2112</v>
      </c>
      <c r="Z248" s="30">
        <v>46391</v>
      </c>
      <c r="AA248" s="24" t="s">
        <v>2176</v>
      </c>
      <c r="AB248" s="136" t="str">
        <f t="shared" si="3"/>
        <v>Silver</v>
      </c>
    </row>
    <row r="249" spans="1:28">
      <c r="A249" s="24" t="s">
        <v>1194</v>
      </c>
      <c r="B249" s="24" t="s">
        <v>71</v>
      </c>
      <c r="C249" s="24" t="s">
        <v>24</v>
      </c>
      <c r="D249" s="30">
        <v>46013</v>
      </c>
      <c r="E249" s="30" t="s">
        <v>711</v>
      </c>
      <c r="F249" s="24" t="s">
        <v>217</v>
      </c>
      <c r="G249" s="24" t="s">
        <v>76</v>
      </c>
      <c r="H249" s="30" t="s">
        <v>77</v>
      </c>
      <c r="I249" s="24" t="s">
        <v>44</v>
      </c>
      <c r="J249" s="24" t="s">
        <v>45</v>
      </c>
      <c r="K249" s="24" t="s">
        <v>2114</v>
      </c>
      <c r="L249" s="24" t="s">
        <v>32</v>
      </c>
      <c r="M249" s="24" t="s">
        <v>33</v>
      </c>
      <c r="N249" s="24">
        <v>13</v>
      </c>
      <c r="O249" s="36">
        <v>1650</v>
      </c>
      <c r="P249" s="35">
        <v>0.1</v>
      </c>
      <c r="Q249" s="36">
        <v>19305</v>
      </c>
      <c r="R249" s="34">
        <v>1</v>
      </c>
      <c r="S249" s="24" t="s">
        <v>79</v>
      </c>
      <c r="T249" s="24" t="s">
        <v>151</v>
      </c>
      <c r="U249" s="24" t="s">
        <v>80</v>
      </c>
      <c r="V249" s="24">
        <v>9193016830</v>
      </c>
      <c r="W249" s="24" t="s">
        <v>2101</v>
      </c>
      <c r="X249" s="34">
        <v>24</v>
      </c>
      <c r="Y249" s="24" t="s">
        <v>2110</v>
      </c>
      <c r="Z249" s="30">
        <v>46754</v>
      </c>
      <c r="AA249" s="24" t="s">
        <v>2173</v>
      </c>
      <c r="AB249" s="136" t="str">
        <f t="shared" si="3"/>
        <v>Blacklisted</v>
      </c>
    </row>
    <row r="250" spans="1:28">
      <c r="A250" s="24" t="s">
        <v>1197</v>
      </c>
      <c r="B250" s="24" t="s">
        <v>71</v>
      </c>
      <c r="C250" s="24" t="s">
        <v>24</v>
      </c>
      <c r="D250" s="30">
        <v>46019</v>
      </c>
      <c r="E250" s="30" t="s">
        <v>1199</v>
      </c>
      <c r="F250" s="24" t="s">
        <v>217</v>
      </c>
      <c r="G250" s="24" t="s">
        <v>76</v>
      </c>
      <c r="H250" s="30" t="s">
        <v>77</v>
      </c>
      <c r="I250" s="24" t="s">
        <v>44</v>
      </c>
      <c r="J250" s="24" t="s">
        <v>45</v>
      </c>
      <c r="K250" s="24" t="s">
        <v>2114</v>
      </c>
      <c r="L250" s="24" t="s">
        <v>32</v>
      </c>
      <c r="M250" s="24" t="s">
        <v>33</v>
      </c>
      <c r="N250" s="24">
        <v>9</v>
      </c>
      <c r="O250" s="36">
        <v>1650</v>
      </c>
      <c r="P250" s="35">
        <v>0.1</v>
      </c>
      <c r="Q250" s="36">
        <v>13365</v>
      </c>
      <c r="R250" s="34">
        <v>2</v>
      </c>
      <c r="S250" s="24" t="s">
        <v>1201</v>
      </c>
      <c r="T250" s="24" t="s">
        <v>61</v>
      </c>
      <c r="U250" s="24" t="s">
        <v>80</v>
      </c>
      <c r="V250" s="24">
        <v>9921470418</v>
      </c>
      <c r="W250" s="24" t="s">
        <v>2101</v>
      </c>
      <c r="X250" s="34">
        <v>24</v>
      </c>
      <c r="Y250" s="24" t="s">
        <v>2110</v>
      </c>
      <c r="Z250" s="30">
        <v>46757</v>
      </c>
      <c r="AA250" s="24" t="s">
        <v>2173</v>
      </c>
      <c r="AB250" s="136" t="str">
        <f t="shared" si="3"/>
        <v>Blacklisted</v>
      </c>
    </row>
    <row r="251" spans="1:28">
      <c r="A251" s="24" t="s">
        <v>1203</v>
      </c>
      <c r="B251" s="24" t="s">
        <v>327</v>
      </c>
      <c r="C251" s="24" t="s">
        <v>169</v>
      </c>
      <c r="D251" s="30">
        <v>45792</v>
      </c>
      <c r="E251" s="30" t="s">
        <v>1204</v>
      </c>
      <c r="F251" s="24" t="s">
        <v>394</v>
      </c>
      <c r="G251" s="24" t="s">
        <v>76</v>
      </c>
      <c r="H251" s="30" t="s">
        <v>331</v>
      </c>
      <c r="I251" s="24" t="s">
        <v>114</v>
      </c>
      <c r="J251" s="24" t="s">
        <v>106</v>
      </c>
      <c r="K251" s="24" t="s">
        <v>2109</v>
      </c>
      <c r="L251" s="24" t="s">
        <v>32</v>
      </c>
      <c r="M251" s="24" t="s">
        <v>174</v>
      </c>
      <c r="N251" s="24">
        <v>6</v>
      </c>
      <c r="O251" s="36">
        <v>6375</v>
      </c>
      <c r="P251" s="35">
        <v>0.15</v>
      </c>
      <c r="Q251" s="36">
        <v>32512.5</v>
      </c>
      <c r="R251" s="34">
        <v>2</v>
      </c>
      <c r="S251" s="24" t="s">
        <v>34</v>
      </c>
      <c r="T251" s="24" t="s">
        <v>151</v>
      </c>
      <c r="U251" s="24" t="s">
        <v>332</v>
      </c>
      <c r="V251" s="24">
        <v>9686979026</v>
      </c>
      <c r="W251" s="24" t="s">
        <v>2100</v>
      </c>
      <c r="X251" s="34">
        <v>24</v>
      </c>
      <c r="Y251" s="24" t="s">
        <v>2108</v>
      </c>
      <c r="Z251" s="30">
        <v>46524</v>
      </c>
      <c r="AA251" s="24" t="s">
        <v>2171</v>
      </c>
      <c r="AB251" s="136" t="str">
        <f t="shared" si="3"/>
        <v>Blacklisted</v>
      </c>
    </row>
    <row r="252" spans="1:28">
      <c r="A252" s="24" t="s">
        <v>1207</v>
      </c>
      <c r="B252" s="24" t="s">
        <v>221</v>
      </c>
      <c r="C252" s="24" t="s">
        <v>24</v>
      </c>
      <c r="D252" s="30">
        <v>46070</v>
      </c>
      <c r="E252" s="30" t="s">
        <v>94</v>
      </c>
      <c r="F252" s="24" t="s">
        <v>225</v>
      </c>
      <c r="G252" s="24" t="s">
        <v>76</v>
      </c>
      <c r="H252" s="30" t="s">
        <v>226</v>
      </c>
      <c r="I252" s="24" t="s">
        <v>105</v>
      </c>
      <c r="J252" s="24" t="s">
        <v>106</v>
      </c>
      <c r="K252" s="24" t="s">
        <v>2113</v>
      </c>
      <c r="L252" s="24" t="s">
        <v>32</v>
      </c>
      <c r="M252" s="24" t="s">
        <v>33</v>
      </c>
      <c r="N252" s="24">
        <v>9</v>
      </c>
      <c r="O252" s="36">
        <v>1650</v>
      </c>
      <c r="P252" s="35">
        <v>0.1</v>
      </c>
      <c r="Q252" s="36">
        <v>13365</v>
      </c>
      <c r="R252" s="34">
        <v>3</v>
      </c>
      <c r="S252" s="24" t="s">
        <v>79</v>
      </c>
      <c r="T252" s="24" t="s">
        <v>35</v>
      </c>
      <c r="U252" s="24" t="s">
        <v>228</v>
      </c>
      <c r="V252" s="24">
        <v>9569007422</v>
      </c>
      <c r="W252" s="24" t="s">
        <v>2101</v>
      </c>
      <c r="X252" s="34">
        <v>24</v>
      </c>
      <c r="Y252" s="24" t="s">
        <v>2112</v>
      </c>
      <c r="Z252" s="30">
        <v>46808</v>
      </c>
      <c r="AA252" s="24" t="s">
        <v>2171</v>
      </c>
      <c r="AB252" s="136" t="str">
        <f t="shared" si="3"/>
        <v>Silver</v>
      </c>
    </row>
    <row r="253" spans="1:28">
      <c r="A253" s="24" t="s">
        <v>1210</v>
      </c>
      <c r="B253" s="24" t="s">
        <v>23</v>
      </c>
      <c r="C253" s="24" t="s">
        <v>169</v>
      </c>
      <c r="D253" s="30">
        <v>45739</v>
      </c>
      <c r="E253" s="30" t="s">
        <v>876</v>
      </c>
      <c r="F253" s="24" t="s">
        <v>27</v>
      </c>
      <c r="G253" s="24" t="s">
        <v>28</v>
      </c>
      <c r="H253" s="30" t="s">
        <v>29</v>
      </c>
      <c r="I253" s="24" t="s">
        <v>30</v>
      </c>
      <c r="J253" s="24" t="s">
        <v>31</v>
      </c>
      <c r="K253" s="24" t="s">
        <v>2111</v>
      </c>
      <c r="L253" s="24" t="s">
        <v>32</v>
      </c>
      <c r="M253" s="24" t="s">
        <v>174</v>
      </c>
      <c r="N253" s="24">
        <v>16</v>
      </c>
      <c r="O253" s="36">
        <v>6375</v>
      </c>
      <c r="P253" s="35">
        <v>0</v>
      </c>
      <c r="Q253" s="36">
        <v>102000</v>
      </c>
      <c r="R253" s="34">
        <v>5</v>
      </c>
      <c r="S253" s="24" t="s">
        <v>2149</v>
      </c>
      <c r="T253" s="24" t="s">
        <v>115</v>
      </c>
      <c r="U253" s="24" t="s">
        <v>50</v>
      </c>
      <c r="V253" s="24">
        <v>9180820441</v>
      </c>
      <c r="W253" s="24" t="s">
        <v>2100</v>
      </c>
      <c r="X253" s="34">
        <v>24</v>
      </c>
      <c r="Y253" s="24" t="s">
        <v>2108</v>
      </c>
      <c r="Z253" s="30">
        <v>46472</v>
      </c>
      <c r="AA253" s="24" t="s">
        <v>2171</v>
      </c>
      <c r="AB253" s="136" t="str">
        <f t="shared" si="3"/>
        <v>Platinum</v>
      </c>
    </row>
    <row r="254" spans="1:28">
      <c r="A254" s="24" t="s">
        <v>1213</v>
      </c>
      <c r="B254" s="24" t="s">
        <v>327</v>
      </c>
      <c r="C254" s="24" t="s">
        <v>72</v>
      </c>
      <c r="D254" s="30">
        <v>46006</v>
      </c>
      <c r="E254" s="30" t="s">
        <v>692</v>
      </c>
      <c r="F254" s="24" t="s">
        <v>394</v>
      </c>
      <c r="G254" s="24" t="s">
        <v>76</v>
      </c>
      <c r="H254" s="30" t="s">
        <v>331</v>
      </c>
      <c r="I254" s="24" t="s">
        <v>114</v>
      </c>
      <c r="J254" s="24" t="s">
        <v>106</v>
      </c>
      <c r="K254" s="24" t="s">
        <v>2109</v>
      </c>
      <c r="L254" s="24" t="s">
        <v>46</v>
      </c>
      <c r="M254" s="24" t="s">
        <v>78</v>
      </c>
      <c r="N254" s="24">
        <v>10</v>
      </c>
      <c r="O254" s="36">
        <v>900</v>
      </c>
      <c r="P254" s="35">
        <v>0.15</v>
      </c>
      <c r="Q254" s="36">
        <v>7650</v>
      </c>
      <c r="R254" s="34">
        <v>5</v>
      </c>
      <c r="S254" s="24" t="s">
        <v>34</v>
      </c>
      <c r="T254" s="24" t="s">
        <v>49</v>
      </c>
      <c r="U254" s="24" t="s">
        <v>332</v>
      </c>
      <c r="V254" s="24">
        <v>9769075826</v>
      </c>
      <c r="W254" s="24" t="s">
        <v>2100</v>
      </c>
      <c r="X254" s="34">
        <v>6</v>
      </c>
      <c r="Y254" s="24" t="s">
        <v>2108</v>
      </c>
      <c r="Z254" s="30">
        <v>46189</v>
      </c>
      <c r="AA254" s="24" t="s">
        <v>2171</v>
      </c>
      <c r="AB254" s="136" t="str">
        <f t="shared" si="3"/>
        <v>Silver</v>
      </c>
    </row>
    <row r="255" spans="1:28">
      <c r="A255" s="24" t="s">
        <v>1217</v>
      </c>
      <c r="B255" s="24" t="s">
        <v>127</v>
      </c>
      <c r="C255" s="24" t="s">
        <v>40</v>
      </c>
      <c r="D255" s="30">
        <v>45721</v>
      </c>
      <c r="E255" s="30" t="s">
        <v>136</v>
      </c>
      <c r="F255" s="24" t="s">
        <v>200</v>
      </c>
      <c r="G255" s="24" t="s">
        <v>76</v>
      </c>
      <c r="H255" s="30" t="s">
        <v>131</v>
      </c>
      <c r="I255" s="24" t="s">
        <v>44</v>
      </c>
      <c r="J255" s="24" t="s">
        <v>45</v>
      </c>
      <c r="K255" s="24" t="s">
        <v>2113</v>
      </c>
      <c r="L255" s="24" t="s">
        <v>46</v>
      </c>
      <c r="M255" s="24" t="s">
        <v>47</v>
      </c>
      <c r="N255" s="24">
        <v>7</v>
      </c>
      <c r="O255" s="36">
        <v>9000</v>
      </c>
      <c r="P255" s="35">
        <v>0</v>
      </c>
      <c r="Q255" s="36">
        <v>63000</v>
      </c>
      <c r="R255" s="34">
        <v>1</v>
      </c>
      <c r="S255" s="24" t="s">
        <v>2149</v>
      </c>
      <c r="T255" s="24" t="s">
        <v>151</v>
      </c>
      <c r="U255" s="24" t="s">
        <v>132</v>
      </c>
      <c r="V255" s="24">
        <v>9467916296</v>
      </c>
      <c r="W255" s="24" t="s">
        <v>2101</v>
      </c>
      <c r="X255" s="34">
        <v>24</v>
      </c>
      <c r="Y255" s="24" t="s">
        <v>2112</v>
      </c>
      <c r="Z255" s="30">
        <v>46461</v>
      </c>
      <c r="AA255" s="24" t="s">
        <v>2176</v>
      </c>
      <c r="AB255" s="136" t="str">
        <f t="shared" si="3"/>
        <v>Blacklisted</v>
      </c>
    </row>
    <row r="256" spans="1:28">
      <c r="A256" s="24" t="s">
        <v>1220</v>
      </c>
      <c r="B256" s="24" t="s">
        <v>221</v>
      </c>
      <c r="C256" s="24" t="s">
        <v>40</v>
      </c>
      <c r="D256" s="30">
        <v>45919</v>
      </c>
      <c r="E256" s="30" t="s">
        <v>1221</v>
      </c>
      <c r="F256" s="24" t="s">
        <v>225</v>
      </c>
      <c r="G256" s="24" t="s">
        <v>76</v>
      </c>
      <c r="H256" s="30" t="s">
        <v>226</v>
      </c>
      <c r="I256" s="24" t="s">
        <v>105</v>
      </c>
      <c r="J256" s="24" t="s">
        <v>106</v>
      </c>
      <c r="K256" s="24" t="s">
        <v>2113</v>
      </c>
      <c r="L256" s="24" t="s">
        <v>46</v>
      </c>
      <c r="M256" s="24" t="s">
        <v>47</v>
      </c>
      <c r="N256" s="24">
        <v>3</v>
      </c>
      <c r="O256" s="36">
        <v>9000</v>
      </c>
      <c r="P256" s="35">
        <v>0.1</v>
      </c>
      <c r="Q256" s="36">
        <v>24300</v>
      </c>
      <c r="R256" s="34">
        <v>4</v>
      </c>
      <c r="S256" s="24" t="s">
        <v>79</v>
      </c>
      <c r="T256" s="24" t="s">
        <v>151</v>
      </c>
      <c r="U256" s="24" t="s">
        <v>228</v>
      </c>
      <c r="V256" s="24">
        <v>9477052923</v>
      </c>
      <c r="W256" s="24" t="s">
        <v>2101</v>
      </c>
      <c r="X256" s="34">
        <v>24</v>
      </c>
      <c r="Y256" s="24" t="s">
        <v>2112</v>
      </c>
      <c r="Z256" s="30">
        <v>46661</v>
      </c>
      <c r="AA256" s="24" t="s">
        <v>2171</v>
      </c>
      <c r="AB256" s="136" t="str">
        <f t="shared" si="3"/>
        <v>Silver</v>
      </c>
    </row>
    <row r="257" spans="1:28">
      <c r="A257" s="24" t="s">
        <v>1224</v>
      </c>
      <c r="B257" s="24" t="s">
        <v>221</v>
      </c>
      <c r="C257" s="24" t="s">
        <v>40</v>
      </c>
      <c r="D257" s="30">
        <v>45964</v>
      </c>
      <c r="E257" s="30" t="s">
        <v>927</v>
      </c>
      <c r="F257" s="24" t="s">
        <v>225</v>
      </c>
      <c r="G257" s="24" t="s">
        <v>76</v>
      </c>
      <c r="H257" s="30" t="s">
        <v>226</v>
      </c>
      <c r="I257" s="24" t="s">
        <v>105</v>
      </c>
      <c r="J257" s="24" t="s">
        <v>106</v>
      </c>
      <c r="K257" s="24" t="s">
        <v>2113</v>
      </c>
      <c r="L257" s="24" t="s">
        <v>46</v>
      </c>
      <c r="M257" s="24" t="s">
        <v>47</v>
      </c>
      <c r="N257" s="24">
        <v>4</v>
      </c>
      <c r="O257" s="36">
        <v>9000</v>
      </c>
      <c r="P257" s="35">
        <v>0.15</v>
      </c>
      <c r="Q257" s="36">
        <v>30600</v>
      </c>
      <c r="R257" s="34">
        <v>3</v>
      </c>
      <c r="S257" s="24" t="s">
        <v>79</v>
      </c>
      <c r="T257" s="24" t="s">
        <v>35</v>
      </c>
      <c r="U257" s="24" t="s">
        <v>228</v>
      </c>
      <c r="V257" s="24">
        <v>9184311420</v>
      </c>
      <c r="W257" s="24" t="s">
        <v>2101</v>
      </c>
      <c r="X257" s="34">
        <v>24</v>
      </c>
      <c r="Y257" s="24" t="s">
        <v>2112</v>
      </c>
      <c r="Z257" s="30">
        <v>46700</v>
      </c>
      <c r="AA257" s="24" t="s">
        <v>2171</v>
      </c>
      <c r="AB257" s="136" t="str">
        <f t="shared" si="3"/>
        <v>Silver</v>
      </c>
    </row>
    <row r="258" spans="1:28">
      <c r="A258" s="24" t="s">
        <v>1228</v>
      </c>
      <c r="B258" s="24" t="s">
        <v>127</v>
      </c>
      <c r="C258" s="24" t="s">
        <v>40</v>
      </c>
      <c r="D258" s="30">
        <v>45824</v>
      </c>
      <c r="E258" s="30" t="s">
        <v>498</v>
      </c>
      <c r="F258" s="24" t="s">
        <v>200</v>
      </c>
      <c r="G258" s="24" t="s">
        <v>76</v>
      </c>
      <c r="H258" s="30" t="s">
        <v>131</v>
      </c>
      <c r="I258" s="24" t="s">
        <v>44</v>
      </c>
      <c r="J258" s="24" t="s">
        <v>45</v>
      </c>
      <c r="K258" s="24" t="s">
        <v>2113</v>
      </c>
      <c r="L258" s="24" t="s">
        <v>46</v>
      </c>
      <c r="M258" s="24" t="s">
        <v>47</v>
      </c>
      <c r="N258" s="24">
        <v>13</v>
      </c>
      <c r="O258" s="36">
        <v>9000</v>
      </c>
      <c r="P258" s="35">
        <v>0.1</v>
      </c>
      <c r="Q258" s="36">
        <v>105300</v>
      </c>
      <c r="R258" s="34">
        <v>2</v>
      </c>
      <c r="S258" s="24" t="s">
        <v>34</v>
      </c>
      <c r="T258" s="24" t="s">
        <v>151</v>
      </c>
      <c r="U258" s="24" t="s">
        <v>132</v>
      </c>
      <c r="V258" s="24">
        <v>9630913127</v>
      </c>
      <c r="W258" s="24" t="s">
        <v>2101</v>
      </c>
      <c r="X258" s="34">
        <v>24</v>
      </c>
      <c r="Y258" s="24" t="s">
        <v>2112</v>
      </c>
      <c r="Z258" s="30">
        <v>46556</v>
      </c>
      <c r="AA258" s="24" t="s">
        <v>2176</v>
      </c>
      <c r="AB258" s="136" t="str">
        <f t="shared" si="3"/>
        <v>Blacklisted</v>
      </c>
    </row>
    <row r="259" spans="1:28">
      <c r="A259" s="24" t="s">
        <v>1231</v>
      </c>
      <c r="B259" s="24" t="s">
        <v>23</v>
      </c>
      <c r="C259" s="24" t="s">
        <v>92</v>
      </c>
      <c r="D259" s="30">
        <v>45812</v>
      </c>
      <c r="E259" s="30" t="s">
        <v>679</v>
      </c>
      <c r="F259" s="24" t="s">
        <v>27</v>
      </c>
      <c r="G259" s="24" t="s">
        <v>28</v>
      </c>
      <c r="H259" s="30" t="s">
        <v>29</v>
      </c>
      <c r="I259" s="24" t="s">
        <v>30</v>
      </c>
      <c r="J259" s="24" t="s">
        <v>31</v>
      </c>
      <c r="K259" s="24" t="s">
        <v>2111</v>
      </c>
      <c r="L259" s="24" t="s">
        <v>32</v>
      </c>
      <c r="M259" s="24" t="s">
        <v>97</v>
      </c>
      <c r="N259" s="24">
        <v>19</v>
      </c>
      <c r="O259" s="36">
        <v>2625</v>
      </c>
      <c r="P259" s="35">
        <v>0.2</v>
      </c>
      <c r="Q259" s="36">
        <v>39900</v>
      </c>
      <c r="R259" s="34">
        <v>1</v>
      </c>
      <c r="S259" s="24" t="s">
        <v>34</v>
      </c>
      <c r="T259" s="24" t="s">
        <v>61</v>
      </c>
      <c r="U259" s="24" t="s">
        <v>50</v>
      </c>
      <c r="V259" s="24">
        <v>9997515828</v>
      </c>
      <c r="W259" s="24" t="s">
        <v>2101</v>
      </c>
      <c r="X259" s="34">
        <v>6</v>
      </c>
      <c r="Y259" s="24" t="s">
        <v>2108</v>
      </c>
      <c r="Z259" s="30">
        <v>46002</v>
      </c>
      <c r="AA259" s="24" t="s">
        <v>2171</v>
      </c>
      <c r="AB259" s="136" t="str">
        <f t="shared" ref="AB259:AB322" si="4">IF(R259&lt;=2, "Blacklisted", IF(AND(Q259&gt;=100000, R259&gt;=4, P259&lt;=10%), "Platinum", IF(AND(Q259&gt;=50000, R259&gt;=3), "Gold", IF(Q259&lt;50000, "Silver", "Blacklisted"))))</f>
        <v>Blacklisted</v>
      </c>
    </row>
    <row r="260" spans="1:28">
      <c r="A260" s="24" t="s">
        <v>1234</v>
      </c>
      <c r="B260" s="24" t="s">
        <v>23</v>
      </c>
      <c r="C260" s="24" t="s">
        <v>24</v>
      </c>
      <c r="D260" s="30">
        <v>45695</v>
      </c>
      <c r="E260" s="30" t="s">
        <v>436</v>
      </c>
      <c r="F260" s="24" t="s">
        <v>27</v>
      </c>
      <c r="G260" s="24" t="s">
        <v>28</v>
      </c>
      <c r="H260" s="30" t="s">
        <v>29</v>
      </c>
      <c r="I260" s="24" t="s">
        <v>30</v>
      </c>
      <c r="J260" s="24" t="s">
        <v>31</v>
      </c>
      <c r="K260" s="24" t="s">
        <v>2111</v>
      </c>
      <c r="L260" s="24" t="s">
        <v>32</v>
      </c>
      <c r="M260" s="24" t="s">
        <v>33</v>
      </c>
      <c r="N260" s="24">
        <v>7</v>
      </c>
      <c r="O260" s="36">
        <v>1650</v>
      </c>
      <c r="P260" s="35">
        <v>0.05</v>
      </c>
      <c r="Q260" s="36">
        <v>10972.5</v>
      </c>
      <c r="R260" s="34">
        <v>3</v>
      </c>
      <c r="S260" s="24" t="s">
        <v>2149</v>
      </c>
      <c r="T260" s="24" t="s">
        <v>61</v>
      </c>
      <c r="U260" s="24" t="s">
        <v>50</v>
      </c>
      <c r="V260" s="24">
        <v>9394291182</v>
      </c>
      <c r="W260" s="24" t="s">
        <v>2101</v>
      </c>
      <c r="X260" s="34">
        <v>24</v>
      </c>
      <c r="Y260" s="24" t="s">
        <v>2108</v>
      </c>
      <c r="Z260" s="30">
        <v>46430</v>
      </c>
      <c r="AA260" s="24" t="s">
        <v>2171</v>
      </c>
      <c r="AB260" s="136" t="str">
        <f t="shared" si="4"/>
        <v>Silver</v>
      </c>
    </row>
    <row r="261" spans="1:28">
      <c r="A261" s="24" t="s">
        <v>1237</v>
      </c>
      <c r="B261" s="24" t="s">
        <v>83</v>
      </c>
      <c r="C261" s="24" t="s">
        <v>184</v>
      </c>
      <c r="D261" s="30">
        <v>46151</v>
      </c>
      <c r="E261" s="30" t="s">
        <v>426</v>
      </c>
      <c r="F261" s="24" t="s">
        <v>180</v>
      </c>
      <c r="G261" s="24" t="s">
        <v>76</v>
      </c>
      <c r="H261" s="30" t="s">
        <v>87</v>
      </c>
      <c r="I261" s="24" t="s">
        <v>30</v>
      </c>
      <c r="J261" s="24" t="s">
        <v>31</v>
      </c>
      <c r="K261" s="24" t="s">
        <v>2109</v>
      </c>
      <c r="L261" s="24" t="s">
        <v>46</v>
      </c>
      <c r="M261" s="24" t="s">
        <v>189</v>
      </c>
      <c r="N261" s="24">
        <v>18</v>
      </c>
      <c r="O261" s="36">
        <v>525</v>
      </c>
      <c r="P261" s="35">
        <v>0.05</v>
      </c>
      <c r="Q261" s="36">
        <v>8977.5</v>
      </c>
      <c r="R261" s="34">
        <v>2</v>
      </c>
      <c r="S261" s="24" t="s">
        <v>2149</v>
      </c>
      <c r="T261" s="24" t="s">
        <v>61</v>
      </c>
      <c r="U261" s="24" t="s">
        <v>89</v>
      </c>
      <c r="V261" s="24">
        <v>9616853220</v>
      </c>
      <c r="W261" s="24" t="s">
        <v>2100</v>
      </c>
      <c r="X261" s="34">
        <v>24</v>
      </c>
      <c r="Y261" s="24" t="s">
        <v>2108</v>
      </c>
      <c r="Z261" s="30">
        <v>46886</v>
      </c>
      <c r="AA261" s="24" t="s">
        <v>2174</v>
      </c>
      <c r="AB261" s="136" t="str">
        <f t="shared" si="4"/>
        <v>Blacklisted</v>
      </c>
    </row>
    <row r="262" spans="1:28">
      <c r="A262" s="24" t="s">
        <v>1241</v>
      </c>
      <c r="B262" s="24" t="s">
        <v>23</v>
      </c>
      <c r="C262" s="24" t="s">
        <v>222</v>
      </c>
      <c r="D262" s="30">
        <v>45858</v>
      </c>
      <c r="E262" s="30" t="s">
        <v>1242</v>
      </c>
      <c r="F262" s="24" t="s">
        <v>27</v>
      </c>
      <c r="G262" s="24" t="s">
        <v>28</v>
      </c>
      <c r="H262" s="30" t="s">
        <v>29</v>
      </c>
      <c r="I262" s="24" t="s">
        <v>30</v>
      </c>
      <c r="J262" s="24" t="s">
        <v>31</v>
      </c>
      <c r="K262" s="24" t="s">
        <v>2111</v>
      </c>
      <c r="L262" s="24" t="s">
        <v>122</v>
      </c>
      <c r="M262" s="24" t="s">
        <v>227</v>
      </c>
      <c r="N262" s="24">
        <v>11</v>
      </c>
      <c r="O262" s="36">
        <v>15</v>
      </c>
      <c r="P262" s="35">
        <v>0</v>
      </c>
      <c r="Q262" s="36">
        <v>165</v>
      </c>
      <c r="R262" s="34">
        <v>2</v>
      </c>
      <c r="S262" s="24" t="s">
        <v>2148</v>
      </c>
      <c r="T262" s="24" t="s">
        <v>115</v>
      </c>
      <c r="U262" s="24" t="s">
        <v>50</v>
      </c>
      <c r="V262" s="24">
        <v>9147552626</v>
      </c>
      <c r="W262" s="24" t="s">
        <v>2103</v>
      </c>
      <c r="X262" s="34">
        <v>12</v>
      </c>
      <c r="Y262" s="24" t="s">
        <v>2108</v>
      </c>
      <c r="Z262" s="30">
        <v>46233</v>
      </c>
      <c r="AA262" s="24" t="s">
        <v>2171</v>
      </c>
      <c r="AB262" s="136" t="str">
        <f t="shared" si="4"/>
        <v>Blacklisted</v>
      </c>
    </row>
    <row r="263" spans="1:28">
      <c r="A263" s="24" t="s">
        <v>1245</v>
      </c>
      <c r="B263" s="24" t="s">
        <v>327</v>
      </c>
      <c r="C263" s="24" t="s">
        <v>40</v>
      </c>
      <c r="D263" s="30">
        <v>45716</v>
      </c>
      <c r="E263" s="30" t="s">
        <v>272</v>
      </c>
      <c r="F263" s="24" t="s">
        <v>394</v>
      </c>
      <c r="G263" s="24" t="s">
        <v>76</v>
      </c>
      <c r="H263" s="30" t="s">
        <v>331</v>
      </c>
      <c r="I263" s="24" t="s">
        <v>114</v>
      </c>
      <c r="J263" s="24" t="s">
        <v>106</v>
      </c>
      <c r="K263" s="24" t="s">
        <v>2109</v>
      </c>
      <c r="L263" s="24" t="s">
        <v>46</v>
      </c>
      <c r="M263" s="24" t="s">
        <v>47</v>
      </c>
      <c r="N263" s="24">
        <v>17</v>
      </c>
      <c r="O263" s="36">
        <v>9000</v>
      </c>
      <c r="P263" s="35">
        <v>0.2</v>
      </c>
      <c r="Q263" s="36">
        <v>122400</v>
      </c>
      <c r="R263" s="34">
        <v>4</v>
      </c>
      <c r="S263" s="24" t="s">
        <v>2149</v>
      </c>
      <c r="T263" s="24" t="s">
        <v>151</v>
      </c>
      <c r="U263" s="24" t="s">
        <v>332</v>
      </c>
      <c r="V263" s="24">
        <v>9724197033</v>
      </c>
      <c r="W263" s="24" t="s">
        <v>2101</v>
      </c>
      <c r="X263" s="34">
        <v>24</v>
      </c>
      <c r="Y263" s="24" t="s">
        <v>2108</v>
      </c>
      <c r="Z263" s="30">
        <v>46453</v>
      </c>
      <c r="AA263" s="24" t="s">
        <v>2171</v>
      </c>
      <c r="AB263" s="136" t="str">
        <f t="shared" si="4"/>
        <v>Gold</v>
      </c>
    </row>
    <row r="264" spans="1:28">
      <c r="A264" s="24" t="s">
        <v>1248</v>
      </c>
      <c r="B264" s="24" t="s">
        <v>251</v>
      </c>
      <c r="C264" s="24" t="s">
        <v>24</v>
      </c>
      <c r="D264" s="30">
        <v>45846</v>
      </c>
      <c r="E264" s="30" t="s">
        <v>267</v>
      </c>
      <c r="F264" s="24" t="s">
        <v>254</v>
      </c>
      <c r="G264" s="24" t="s">
        <v>28</v>
      </c>
      <c r="H264" s="30" t="s">
        <v>255</v>
      </c>
      <c r="I264" s="24" t="s">
        <v>114</v>
      </c>
      <c r="J264" s="24" t="s">
        <v>106</v>
      </c>
      <c r="K264" s="24" t="s">
        <v>2111</v>
      </c>
      <c r="L264" s="24" t="s">
        <v>32</v>
      </c>
      <c r="M264" s="24" t="s">
        <v>33</v>
      </c>
      <c r="N264" s="24">
        <v>4</v>
      </c>
      <c r="O264" s="36">
        <v>1650</v>
      </c>
      <c r="P264" s="35">
        <v>0.05</v>
      </c>
      <c r="Q264" s="36">
        <v>6270</v>
      </c>
      <c r="R264" s="34">
        <v>2</v>
      </c>
      <c r="S264" s="24" t="s">
        <v>34</v>
      </c>
      <c r="T264" s="24" t="s">
        <v>35</v>
      </c>
      <c r="U264" s="24" t="s">
        <v>256</v>
      </c>
      <c r="V264" s="24">
        <v>9130666128</v>
      </c>
      <c r="W264" s="24" t="s">
        <v>2101</v>
      </c>
      <c r="X264" s="34">
        <v>24</v>
      </c>
      <c r="Y264" s="24" t="s">
        <v>2112</v>
      </c>
      <c r="Z264" s="30">
        <v>46581</v>
      </c>
      <c r="AA264" s="24" t="s">
        <v>2173</v>
      </c>
      <c r="AB264" s="136" t="str">
        <f t="shared" si="4"/>
        <v>Blacklisted</v>
      </c>
    </row>
    <row r="265" spans="1:28">
      <c r="A265" s="24" t="s">
        <v>1252</v>
      </c>
      <c r="B265" s="24" t="s">
        <v>23</v>
      </c>
      <c r="C265" s="24" t="s">
        <v>54</v>
      </c>
      <c r="D265" s="30">
        <v>46003</v>
      </c>
      <c r="E265" s="30" t="s">
        <v>455</v>
      </c>
      <c r="F265" s="24" t="s">
        <v>27</v>
      </c>
      <c r="G265" s="24" t="s">
        <v>28</v>
      </c>
      <c r="H265" s="30" t="s">
        <v>29</v>
      </c>
      <c r="I265" s="24" t="s">
        <v>30</v>
      </c>
      <c r="J265" s="24" t="s">
        <v>31</v>
      </c>
      <c r="K265" s="24" t="s">
        <v>2111</v>
      </c>
      <c r="L265" s="24" t="s">
        <v>46</v>
      </c>
      <c r="M265" s="24" t="s">
        <v>60</v>
      </c>
      <c r="N265" s="24">
        <v>6</v>
      </c>
      <c r="O265" s="36">
        <v>41250</v>
      </c>
      <c r="P265" s="35">
        <v>0.2</v>
      </c>
      <c r="Q265" s="36">
        <v>198000</v>
      </c>
      <c r="R265" s="34">
        <v>2</v>
      </c>
      <c r="S265" s="24" t="s">
        <v>2149</v>
      </c>
      <c r="T265" s="24" t="s">
        <v>151</v>
      </c>
      <c r="U265" s="24" t="s">
        <v>50</v>
      </c>
      <c r="V265" s="24">
        <v>9866567601</v>
      </c>
      <c r="W265" s="24" t="s">
        <v>2100</v>
      </c>
      <c r="X265" s="34">
        <v>12</v>
      </c>
      <c r="Y265" s="24" t="s">
        <v>2108</v>
      </c>
      <c r="Z265" s="30">
        <v>46375</v>
      </c>
      <c r="AA265" s="24" t="s">
        <v>2171</v>
      </c>
      <c r="AB265" s="136" t="str">
        <f t="shared" si="4"/>
        <v>Blacklisted</v>
      </c>
    </row>
    <row r="266" spans="1:28">
      <c r="A266" s="24" t="s">
        <v>1256</v>
      </c>
      <c r="B266" s="24" t="s">
        <v>71</v>
      </c>
      <c r="C266" s="24" t="s">
        <v>169</v>
      </c>
      <c r="D266" s="30">
        <v>46026</v>
      </c>
      <c r="E266" s="30" t="s">
        <v>998</v>
      </c>
      <c r="F266" s="24" t="s">
        <v>217</v>
      </c>
      <c r="G266" s="24" t="s">
        <v>76</v>
      </c>
      <c r="H266" s="30" t="s">
        <v>77</v>
      </c>
      <c r="I266" s="24" t="s">
        <v>44</v>
      </c>
      <c r="J266" s="24" t="s">
        <v>45</v>
      </c>
      <c r="K266" s="24" t="s">
        <v>2114</v>
      </c>
      <c r="L266" s="24" t="s">
        <v>32</v>
      </c>
      <c r="M266" s="24" t="s">
        <v>174</v>
      </c>
      <c r="N266" s="24">
        <v>6</v>
      </c>
      <c r="O266" s="36">
        <v>6375</v>
      </c>
      <c r="P266" s="35">
        <v>0.1</v>
      </c>
      <c r="Q266" s="36">
        <v>34425</v>
      </c>
      <c r="R266" s="34">
        <v>5</v>
      </c>
      <c r="S266" s="24" t="s">
        <v>2149</v>
      </c>
      <c r="T266" s="24" t="s">
        <v>61</v>
      </c>
      <c r="U266" s="24" t="s">
        <v>80</v>
      </c>
      <c r="V266" s="24">
        <v>9477282450</v>
      </c>
      <c r="W266" s="24" t="s">
        <v>2100</v>
      </c>
      <c r="X266" s="34">
        <v>24</v>
      </c>
      <c r="Y266" s="24" t="s">
        <v>2110</v>
      </c>
      <c r="Z266" s="30">
        <v>46766</v>
      </c>
      <c r="AA266" s="24" t="s">
        <v>2173</v>
      </c>
      <c r="AB266" s="136" t="str">
        <f t="shared" si="4"/>
        <v>Silver</v>
      </c>
    </row>
    <row r="267" spans="1:28">
      <c r="A267" s="24" t="s">
        <v>1259</v>
      </c>
      <c r="B267" s="24" t="s">
        <v>23</v>
      </c>
      <c r="C267" s="24" t="s">
        <v>222</v>
      </c>
      <c r="D267" s="30">
        <v>45889</v>
      </c>
      <c r="E267" s="30" t="s">
        <v>371</v>
      </c>
      <c r="F267" s="24" t="s">
        <v>27</v>
      </c>
      <c r="G267" s="24" t="s">
        <v>28</v>
      </c>
      <c r="H267" s="30" t="s">
        <v>29</v>
      </c>
      <c r="I267" s="24" t="s">
        <v>30</v>
      </c>
      <c r="J267" s="24" t="s">
        <v>31</v>
      </c>
      <c r="K267" s="24" t="s">
        <v>2111</v>
      </c>
      <c r="L267" s="24" t="s">
        <v>122</v>
      </c>
      <c r="M267" s="24" t="s">
        <v>227</v>
      </c>
      <c r="N267" s="24">
        <v>6</v>
      </c>
      <c r="O267" s="36">
        <v>15</v>
      </c>
      <c r="P267" s="35">
        <v>0.15</v>
      </c>
      <c r="Q267" s="36">
        <v>76.5</v>
      </c>
      <c r="R267" s="34">
        <v>2</v>
      </c>
      <c r="S267" s="24" t="s">
        <v>2149</v>
      </c>
      <c r="T267" s="24" t="s">
        <v>49</v>
      </c>
      <c r="U267" s="24" t="s">
        <v>50</v>
      </c>
      <c r="V267" s="24">
        <v>9857621478</v>
      </c>
      <c r="W267" s="24" t="s">
        <v>2103</v>
      </c>
      <c r="X267" s="34">
        <v>12</v>
      </c>
      <c r="Y267" s="24" t="s">
        <v>2108</v>
      </c>
      <c r="Z267" s="30">
        <v>46259</v>
      </c>
      <c r="AA267" s="24" t="s">
        <v>2171</v>
      </c>
      <c r="AB267" s="136" t="str">
        <f t="shared" si="4"/>
        <v>Blacklisted</v>
      </c>
    </row>
    <row r="268" spans="1:28">
      <c r="A268" s="24" t="s">
        <v>1262</v>
      </c>
      <c r="B268" s="24" t="s">
        <v>53</v>
      </c>
      <c r="C268" s="24" t="s">
        <v>118</v>
      </c>
      <c r="D268" s="30">
        <v>45780</v>
      </c>
      <c r="E268" s="30" t="s">
        <v>597</v>
      </c>
      <c r="F268" s="24" t="s">
        <v>163</v>
      </c>
      <c r="G268" s="24" t="s">
        <v>28</v>
      </c>
      <c r="H268" s="30" t="s">
        <v>58</v>
      </c>
      <c r="I268" s="24" t="s">
        <v>59</v>
      </c>
      <c r="J268" s="24" t="s">
        <v>31</v>
      </c>
      <c r="K268" s="24" t="s">
        <v>2111</v>
      </c>
      <c r="L268" s="24" t="s">
        <v>122</v>
      </c>
      <c r="M268" s="24" t="s">
        <v>123</v>
      </c>
      <c r="N268" s="24">
        <v>6</v>
      </c>
      <c r="O268" s="36">
        <v>45</v>
      </c>
      <c r="P268" s="35">
        <v>0.05</v>
      </c>
      <c r="Q268" s="36">
        <v>256.5</v>
      </c>
      <c r="R268" s="34">
        <v>1</v>
      </c>
      <c r="S268" s="24" t="s">
        <v>2148</v>
      </c>
      <c r="T268" s="24" t="s">
        <v>61</v>
      </c>
      <c r="U268" s="24" t="s">
        <v>62</v>
      </c>
      <c r="V268" s="24">
        <v>9753869055</v>
      </c>
      <c r="W268" s="24" t="s">
        <v>2102</v>
      </c>
      <c r="X268" s="34">
        <v>12</v>
      </c>
      <c r="Y268" s="24" t="s">
        <v>2108</v>
      </c>
      <c r="Z268" s="30">
        <v>46153</v>
      </c>
      <c r="AA268" s="24" t="s">
        <v>2172</v>
      </c>
      <c r="AB268" s="136" t="str">
        <f t="shared" si="4"/>
        <v>Blacklisted</v>
      </c>
    </row>
    <row r="269" spans="1:28">
      <c r="A269" s="24" t="s">
        <v>1266</v>
      </c>
      <c r="B269" s="24" t="s">
        <v>127</v>
      </c>
      <c r="C269" s="24" t="s">
        <v>169</v>
      </c>
      <c r="D269" s="30">
        <v>45666</v>
      </c>
      <c r="E269" s="30" t="s">
        <v>1268</v>
      </c>
      <c r="F269" s="24" t="s">
        <v>200</v>
      </c>
      <c r="G269" s="24" t="s">
        <v>76</v>
      </c>
      <c r="H269" s="30" t="s">
        <v>131</v>
      </c>
      <c r="I269" s="24" t="s">
        <v>44</v>
      </c>
      <c r="J269" s="24" t="s">
        <v>45</v>
      </c>
      <c r="K269" s="24" t="s">
        <v>2113</v>
      </c>
      <c r="L269" s="24" t="s">
        <v>32</v>
      </c>
      <c r="M269" s="24" t="s">
        <v>174</v>
      </c>
      <c r="N269" s="24">
        <v>19</v>
      </c>
      <c r="O269" s="36">
        <v>6375</v>
      </c>
      <c r="P269" s="35">
        <v>0</v>
      </c>
      <c r="Q269" s="36">
        <v>121125</v>
      </c>
      <c r="R269" s="34">
        <v>5</v>
      </c>
      <c r="S269" s="24" t="s">
        <v>2149</v>
      </c>
      <c r="T269" s="24" t="s">
        <v>151</v>
      </c>
      <c r="U269" s="24" t="s">
        <v>132</v>
      </c>
      <c r="V269" s="24">
        <v>9663266204</v>
      </c>
      <c r="W269" s="24" t="s">
        <v>2100</v>
      </c>
      <c r="X269" s="34">
        <v>24</v>
      </c>
      <c r="Y269" s="24" t="s">
        <v>2112</v>
      </c>
      <c r="Z269" s="30">
        <v>46399</v>
      </c>
      <c r="AA269" s="24" t="s">
        <v>2176</v>
      </c>
      <c r="AB269" s="136" t="str">
        <f t="shared" si="4"/>
        <v>Platinum</v>
      </c>
    </row>
    <row r="270" spans="1:28">
      <c r="A270" s="24" t="s">
        <v>1271</v>
      </c>
      <c r="B270" s="24" t="s">
        <v>251</v>
      </c>
      <c r="C270" s="24" t="s">
        <v>54</v>
      </c>
      <c r="D270" s="30">
        <v>45901</v>
      </c>
      <c r="E270" s="30" t="s">
        <v>573</v>
      </c>
      <c r="F270" s="24" t="s">
        <v>254</v>
      </c>
      <c r="G270" s="24" t="s">
        <v>28</v>
      </c>
      <c r="H270" s="30" t="s">
        <v>255</v>
      </c>
      <c r="I270" s="24" t="s">
        <v>114</v>
      </c>
      <c r="J270" s="24" t="s">
        <v>106</v>
      </c>
      <c r="K270" s="24" t="s">
        <v>2111</v>
      </c>
      <c r="L270" s="24" t="s">
        <v>46</v>
      </c>
      <c r="M270" s="24" t="s">
        <v>60</v>
      </c>
      <c r="N270" s="24">
        <v>8</v>
      </c>
      <c r="O270" s="36">
        <v>41250</v>
      </c>
      <c r="P270" s="35">
        <v>0</v>
      </c>
      <c r="Q270" s="36">
        <v>330000</v>
      </c>
      <c r="R270" s="34">
        <v>3</v>
      </c>
      <c r="S270" s="24" t="s">
        <v>79</v>
      </c>
      <c r="T270" s="24" t="s">
        <v>115</v>
      </c>
      <c r="U270" s="24" t="s">
        <v>256</v>
      </c>
      <c r="V270" s="24">
        <v>9675208616</v>
      </c>
      <c r="W270" s="24" t="s">
        <v>2100</v>
      </c>
      <c r="X270" s="34">
        <v>12</v>
      </c>
      <c r="Y270" s="24" t="s">
        <v>2112</v>
      </c>
      <c r="Z270" s="30">
        <v>46275</v>
      </c>
      <c r="AA270" s="24" t="s">
        <v>2173</v>
      </c>
      <c r="AB270" s="136" t="str">
        <f t="shared" si="4"/>
        <v>Gold</v>
      </c>
    </row>
    <row r="271" spans="1:28">
      <c r="A271" s="24" t="s">
        <v>1274</v>
      </c>
      <c r="B271" s="24" t="s">
        <v>71</v>
      </c>
      <c r="C271" s="24" t="s">
        <v>40</v>
      </c>
      <c r="D271" s="30">
        <v>46144</v>
      </c>
      <c r="E271" s="30" t="s">
        <v>583</v>
      </c>
      <c r="F271" s="24" t="s">
        <v>217</v>
      </c>
      <c r="G271" s="24" t="s">
        <v>76</v>
      </c>
      <c r="H271" s="30" t="s">
        <v>77</v>
      </c>
      <c r="I271" s="24" t="s">
        <v>44</v>
      </c>
      <c r="J271" s="24" t="s">
        <v>45</v>
      </c>
      <c r="K271" s="24" t="s">
        <v>2114</v>
      </c>
      <c r="L271" s="24" t="s">
        <v>46</v>
      </c>
      <c r="M271" s="24" t="s">
        <v>47</v>
      </c>
      <c r="N271" s="24">
        <v>18</v>
      </c>
      <c r="O271" s="36">
        <v>9000</v>
      </c>
      <c r="P271" s="35">
        <v>0.2</v>
      </c>
      <c r="Q271" s="36">
        <v>129600</v>
      </c>
      <c r="R271" s="34">
        <v>5</v>
      </c>
      <c r="S271" s="24" t="s">
        <v>2149</v>
      </c>
      <c r="T271" s="24" t="s">
        <v>61</v>
      </c>
      <c r="U271" s="24" t="s">
        <v>80</v>
      </c>
      <c r="V271" s="24">
        <v>9618393586</v>
      </c>
      <c r="W271" s="24" t="s">
        <v>2101</v>
      </c>
      <c r="X271" s="34">
        <v>24</v>
      </c>
      <c r="Y271" s="24" t="s">
        <v>2110</v>
      </c>
      <c r="Z271" s="30">
        <v>46880</v>
      </c>
      <c r="AA271" s="24" t="s">
        <v>2173</v>
      </c>
      <c r="AB271" s="136" t="str">
        <f t="shared" si="4"/>
        <v>Gold</v>
      </c>
    </row>
    <row r="272" spans="1:28">
      <c r="A272" s="24" t="s">
        <v>1277</v>
      </c>
      <c r="B272" s="24" t="s">
        <v>127</v>
      </c>
      <c r="C272" s="24" t="s">
        <v>169</v>
      </c>
      <c r="D272" s="30">
        <v>45764</v>
      </c>
      <c r="E272" s="30" t="s">
        <v>198</v>
      </c>
      <c r="F272" s="24" t="s">
        <v>200</v>
      </c>
      <c r="G272" s="24" t="s">
        <v>76</v>
      </c>
      <c r="H272" s="30" t="s">
        <v>131</v>
      </c>
      <c r="I272" s="24" t="s">
        <v>44</v>
      </c>
      <c r="J272" s="24" t="s">
        <v>45</v>
      </c>
      <c r="K272" s="24" t="s">
        <v>2113</v>
      </c>
      <c r="L272" s="24" t="s">
        <v>32</v>
      </c>
      <c r="M272" s="24" t="s">
        <v>174</v>
      </c>
      <c r="N272" s="24">
        <v>8</v>
      </c>
      <c r="O272" s="36">
        <v>6375</v>
      </c>
      <c r="P272" s="35">
        <v>0.05</v>
      </c>
      <c r="Q272" s="36">
        <v>48450</v>
      </c>
      <c r="R272" s="34">
        <v>2</v>
      </c>
      <c r="S272" s="24" t="s">
        <v>79</v>
      </c>
      <c r="T272" s="24" t="s">
        <v>61</v>
      </c>
      <c r="U272" s="24" t="s">
        <v>132</v>
      </c>
      <c r="V272" s="24">
        <v>9137027840</v>
      </c>
      <c r="W272" s="24" t="s">
        <v>2100</v>
      </c>
      <c r="X272" s="34">
        <v>24</v>
      </c>
      <c r="Y272" s="24" t="s">
        <v>2112</v>
      </c>
      <c r="Z272" s="30">
        <v>46503</v>
      </c>
      <c r="AA272" s="24" t="s">
        <v>2176</v>
      </c>
      <c r="AB272" s="136" t="str">
        <f t="shared" si="4"/>
        <v>Blacklisted</v>
      </c>
    </row>
    <row r="273" spans="1:28">
      <c r="A273" s="24" t="s">
        <v>1281</v>
      </c>
      <c r="B273" s="24" t="s">
        <v>23</v>
      </c>
      <c r="C273" s="24" t="s">
        <v>222</v>
      </c>
      <c r="D273" s="30">
        <v>45878</v>
      </c>
      <c r="E273" s="30" t="s">
        <v>724</v>
      </c>
      <c r="F273" s="24" t="s">
        <v>27</v>
      </c>
      <c r="G273" s="24" t="s">
        <v>28</v>
      </c>
      <c r="H273" s="30" t="s">
        <v>29</v>
      </c>
      <c r="I273" s="24" t="s">
        <v>30</v>
      </c>
      <c r="J273" s="24" t="s">
        <v>31</v>
      </c>
      <c r="K273" s="24" t="s">
        <v>2111</v>
      </c>
      <c r="L273" s="24" t="s">
        <v>122</v>
      </c>
      <c r="M273" s="24" t="s">
        <v>227</v>
      </c>
      <c r="N273" s="24">
        <v>13</v>
      </c>
      <c r="O273" s="36">
        <v>15</v>
      </c>
      <c r="P273" s="35">
        <v>0.05</v>
      </c>
      <c r="Q273" s="36">
        <v>185.25</v>
      </c>
      <c r="R273" s="34">
        <v>3</v>
      </c>
      <c r="S273" s="24" t="s">
        <v>2148</v>
      </c>
      <c r="T273" s="24" t="s">
        <v>115</v>
      </c>
      <c r="U273" s="24" t="s">
        <v>50</v>
      </c>
      <c r="V273" s="24">
        <v>9362758134</v>
      </c>
      <c r="W273" s="24" t="s">
        <v>2103</v>
      </c>
      <c r="X273" s="34">
        <v>12</v>
      </c>
      <c r="Y273" s="24" t="s">
        <v>2108</v>
      </c>
      <c r="Z273" s="30">
        <v>46252</v>
      </c>
      <c r="AA273" s="24" t="s">
        <v>2171</v>
      </c>
      <c r="AB273" s="136" t="str">
        <f t="shared" si="4"/>
        <v>Silver</v>
      </c>
    </row>
    <row r="274" spans="1:28">
      <c r="A274" s="24" t="s">
        <v>1285</v>
      </c>
      <c r="B274" s="24" t="s">
        <v>83</v>
      </c>
      <c r="C274" s="24" t="s">
        <v>118</v>
      </c>
      <c r="D274" s="30">
        <v>46116</v>
      </c>
      <c r="E274" s="30" t="s">
        <v>1286</v>
      </c>
      <c r="F274" s="24" t="s">
        <v>180</v>
      </c>
      <c r="G274" s="24" t="s">
        <v>76</v>
      </c>
      <c r="H274" s="30" t="s">
        <v>87</v>
      </c>
      <c r="I274" s="24" t="s">
        <v>30</v>
      </c>
      <c r="J274" s="24" t="s">
        <v>31</v>
      </c>
      <c r="K274" s="24" t="s">
        <v>2109</v>
      </c>
      <c r="L274" s="24" t="s">
        <v>122</v>
      </c>
      <c r="M274" s="24" t="s">
        <v>123</v>
      </c>
      <c r="N274" s="24">
        <v>1</v>
      </c>
      <c r="O274" s="36">
        <v>45</v>
      </c>
      <c r="P274" s="35">
        <v>0.15</v>
      </c>
      <c r="Q274" s="36">
        <v>38.25</v>
      </c>
      <c r="R274" s="34">
        <v>2</v>
      </c>
      <c r="S274" s="24" t="s">
        <v>79</v>
      </c>
      <c r="T274" s="24" t="s">
        <v>61</v>
      </c>
      <c r="U274" s="24" t="s">
        <v>89</v>
      </c>
      <c r="V274" s="24">
        <v>9648541985</v>
      </c>
      <c r="W274" s="24" t="s">
        <v>2102</v>
      </c>
      <c r="X274" s="34">
        <v>12</v>
      </c>
      <c r="Y274" s="24" t="s">
        <v>2108</v>
      </c>
      <c r="Z274" s="30">
        <v>46493</v>
      </c>
      <c r="AA274" s="24" t="s">
        <v>2174</v>
      </c>
      <c r="AB274" s="136" t="str">
        <f t="shared" si="4"/>
        <v>Blacklisted</v>
      </c>
    </row>
    <row r="275" spans="1:28">
      <c r="A275" s="24" t="s">
        <v>1289</v>
      </c>
      <c r="B275" s="24" t="s">
        <v>53</v>
      </c>
      <c r="C275" s="24" t="s">
        <v>222</v>
      </c>
      <c r="D275" s="30">
        <v>45830</v>
      </c>
      <c r="E275" s="30" t="s">
        <v>965</v>
      </c>
      <c r="F275" s="24" t="s">
        <v>163</v>
      </c>
      <c r="G275" s="24" t="s">
        <v>28</v>
      </c>
      <c r="H275" s="30" t="s">
        <v>58</v>
      </c>
      <c r="I275" s="24" t="s">
        <v>59</v>
      </c>
      <c r="J275" s="24" t="s">
        <v>31</v>
      </c>
      <c r="K275" s="24" t="s">
        <v>2111</v>
      </c>
      <c r="L275" s="24" t="s">
        <v>122</v>
      </c>
      <c r="M275" s="24" t="s">
        <v>227</v>
      </c>
      <c r="N275" s="24">
        <v>5</v>
      </c>
      <c r="O275" s="36">
        <v>15</v>
      </c>
      <c r="P275" s="35">
        <v>0.05</v>
      </c>
      <c r="Q275" s="36">
        <v>71.25</v>
      </c>
      <c r="R275" s="34">
        <v>2</v>
      </c>
      <c r="S275" s="24" t="s">
        <v>2148</v>
      </c>
      <c r="T275" s="24" t="s">
        <v>49</v>
      </c>
      <c r="U275" s="24" t="s">
        <v>62</v>
      </c>
      <c r="V275" s="24">
        <v>9175002781</v>
      </c>
      <c r="W275" s="24" t="s">
        <v>2103</v>
      </c>
      <c r="X275" s="34">
        <v>12</v>
      </c>
      <c r="Y275" s="24" t="s">
        <v>2108</v>
      </c>
      <c r="Z275" s="30">
        <v>46201</v>
      </c>
      <c r="AA275" s="24" t="s">
        <v>2172</v>
      </c>
      <c r="AB275" s="136" t="str">
        <f t="shared" si="4"/>
        <v>Blacklisted</v>
      </c>
    </row>
    <row r="276" spans="1:28">
      <c r="A276" s="24" t="s">
        <v>1293</v>
      </c>
      <c r="B276" s="24" t="s">
        <v>221</v>
      </c>
      <c r="C276" s="24" t="s">
        <v>222</v>
      </c>
      <c r="D276" s="30">
        <v>45796</v>
      </c>
      <c r="E276" s="30" t="s">
        <v>1017</v>
      </c>
      <c r="F276" s="24" t="s">
        <v>225</v>
      </c>
      <c r="G276" s="24" t="s">
        <v>76</v>
      </c>
      <c r="H276" s="30" t="s">
        <v>226</v>
      </c>
      <c r="I276" s="24" t="s">
        <v>105</v>
      </c>
      <c r="J276" s="24" t="s">
        <v>106</v>
      </c>
      <c r="K276" s="24" t="s">
        <v>2113</v>
      </c>
      <c r="L276" s="24" t="s">
        <v>122</v>
      </c>
      <c r="M276" s="24" t="s">
        <v>227</v>
      </c>
      <c r="N276" s="24">
        <v>19</v>
      </c>
      <c r="O276" s="36">
        <v>15</v>
      </c>
      <c r="P276" s="35">
        <v>0.2</v>
      </c>
      <c r="Q276" s="36">
        <v>228</v>
      </c>
      <c r="R276" s="34">
        <v>3</v>
      </c>
      <c r="S276" s="24" t="s">
        <v>34</v>
      </c>
      <c r="T276" s="24" t="s">
        <v>35</v>
      </c>
      <c r="U276" s="24" t="s">
        <v>228</v>
      </c>
      <c r="V276" s="24">
        <v>9786241263</v>
      </c>
      <c r="W276" s="24" t="s">
        <v>2103</v>
      </c>
      <c r="X276" s="34">
        <v>12</v>
      </c>
      <c r="Y276" s="24" t="s">
        <v>2112</v>
      </c>
      <c r="Z276" s="30">
        <v>46166</v>
      </c>
      <c r="AA276" s="24" t="s">
        <v>2171</v>
      </c>
      <c r="AB276" s="136" t="str">
        <f t="shared" si="4"/>
        <v>Silver</v>
      </c>
    </row>
    <row r="277" spans="1:28">
      <c r="A277" s="24" t="s">
        <v>1297</v>
      </c>
      <c r="B277" s="24" t="s">
        <v>100</v>
      </c>
      <c r="C277" s="24" t="s">
        <v>259</v>
      </c>
      <c r="D277" s="30">
        <v>45745</v>
      </c>
      <c r="E277" s="30" t="s">
        <v>366</v>
      </c>
      <c r="F277" s="24" t="s">
        <v>103</v>
      </c>
      <c r="G277" s="24" t="s">
        <v>28</v>
      </c>
      <c r="H277" s="30" t="s">
        <v>104</v>
      </c>
      <c r="I277" s="24" t="s">
        <v>105</v>
      </c>
      <c r="J277" s="24" t="s">
        <v>106</v>
      </c>
      <c r="K277" s="24" t="s">
        <v>2111</v>
      </c>
      <c r="L277" s="24" t="s">
        <v>122</v>
      </c>
      <c r="M277" s="24" t="s">
        <v>263</v>
      </c>
      <c r="N277" s="24">
        <v>17</v>
      </c>
      <c r="O277" s="36">
        <v>33.75</v>
      </c>
      <c r="P277" s="35">
        <v>0.05</v>
      </c>
      <c r="Q277" s="36">
        <v>545.0625</v>
      </c>
      <c r="R277" s="34">
        <v>4</v>
      </c>
      <c r="S277" s="24" t="s">
        <v>34</v>
      </c>
      <c r="T277" s="24" t="s">
        <v>115</v>
      </c>
      <c r="U277" s="24" t="s">
        <v>144</v>
      </c>
      <c r="V277" s="24">
        <v>9691078176</v>
      </c>
      <c r="W277" s="24" t="s">
        <v>2100</v>
      </c>
      <c r="X277" s="34">
        <v>12</v>
      </c>
      <c r="Y277" s="24" t="s">
        <v>2110</v>
      </c>
      <c r="Z277" s="30">
        <v>46119</v>
      </c>
      <c r="AA277" s="24" t="s">
        <v>2175</v>
      </c>
      <c r="AB277" s="136" t="str">
        <f t="shared" si="4"/>
        <v>Silver</v>
      </c>
    </row>
    <row r="278" spans="1:28">
      <c r="A278" s="24" t="s">
        <v>1301</v>
      </c>
      <c r="B278" s="24" t="s">
        <v>83</v>
      </c>
      <c r="C278" s="24" t="s">
        <v>184</v>
      </c>
      <c r="D278" s="30">
        <v>46071</v>
      </c>
      <c r="E278" s="30" t="s">
        <v>170</v>
      </c>
      <c r="F278" s="24" t="s">
        <v>180</v>
      </c>
      <c r="G278" s="24" t="s">
        <v>76</v>
      </c>
      <c r="H278" s="30" t="s">
        <v>87</v>
      </c>
      <c r="I278" s="24" t="s">
        <v>30</v>
      </c>
      <c r="J278" s="24" t="s">
        <v>31</v>
      </c>
      <c r="K278" s="24" t="s">
        <v>2109</v>
      </c>
      <c r="L278" s="24" t="s">
        <v>46</v>
      </c>
      <c r="M278" s="24" t="s">
        <v>189</v>
      </c>
      <c r="N278" s="24">
        <v>8</v>
      </c>
      <c r="O278" s="36">
        <v>525</v>
      </c>
      <c r="P278" s="35">
        <v>0.15</v>
      </c>
      <c r="Q278" s="36">
        <v>3570</v>
      </c>
      <c r="R278" s="34">
        <v>4</v>
      </c>
      <c r="S278" s="24" t="s">
        <v>2148</v>
      </c>
      <c r="T278" s="24" t="s">
        <v>35</v>
      </c>
      <c r="U278" s="24" t="s">
        <v>89</v>
      </c>
      <c r="V278" s="24">
        <v>9336679085</v>
      </c>
      <c r="W278" s="24" t="s">
        <v>2100</v>
      </c>
      <c r="X278" s="34">
        <v>24</v>
      </c>
      <c r="Y278" s="24" t="s">
        <v>2108</v>
      </c>
      <c r="Z278" s="30">
        <v>46805</v>
      </c>
      <c r="AA278" s="24" t="s">
        <v>2174</v>
      </c>
      <c r="AB278" s="136" t="str">
        <f t="shared" si="4"/>
        <v>Silver</v>
      </c>
    </row>
    <row r="279" spans="1:28">
      <c r="A279" s="24" t="s">
        <v>1305</v>
      </c>
      <c r="B279" s="24" t="s">
        <v>168</v>
      </c>
      <c r="C279" s="24" t="s">
        <v>24</v>
      </c>
      <c r="D279" s="30">
        <v>46043</v>
      </c>
      <c r="E279" s="30" t="s">
        <v>1307</v>
      </c>
      <c r="F279" s="24" t="s">
        <v>361</v>
      </c>
      <c r="G279" s="24" t="s">
        <v>28</v>
      </c>
      <c r="H279" s="30" t="s">
        <v>173</v>
      </c>
      <c r="I279" s="24" t="s">
        <v>114</v>
      </c>
      <c r="J279" s="24" t="s">
        <v>106</v>
      </c>
      <c r="K279" s="24" t="s">
        <v>2111</v>
      </c>
      <c r="L279" s="24" t="s">
        <v>32</v>
      </c>
      <c r="M279" s="24" t="s">
        <v>33</v>
      </c>
      <c r="N279" s="24">
        <v>15</v>
      </c>
      <c r="O279" s="36">
        <v>1650</v>
      </c>
      <c r="P279" s="35">
        <v>0.1</v>
      </c>
      <c r="Q279" s="36">
        <v>22275</v>
      </c>
      <c r="R279" s="34">
        <v>5</v>
      </c>
      <c r="S279" s="24" t="s">
        <v>2149</v>
      </c>
      <c r="T279" s="24" t="s">
        <v>151</v>
      </c>
      <c r="U279" s="24" t="s">
        <v>175</v>
      </c>
      <c r="V279" s="24">
        <v>9497351043</v>
      </c>
      <c r="W279" s="24" t="s">
        <v>2101</v>
      </c>
      <c r="X279" s="34">
        <v>24</v>
      </c>
      <c r="Y279" s="24" t="s">
        <v>2112</v>
      </c>
      <c r="Z279" s="30">
        <v>46781</v>
      </c>
      <c r="AA279" s="24" t="s">
        <v>2177</v>
      </c>
      <c r="AB279" s="136" t="str">
        <f t="shared" si="4"/>
        <v>Silver</v>
      </c>
    </row>
    <row r="280" spans="1:28">
      <c r="A280" s="24" t="s">
        <v>1310</v>
      </c>
      <c r="B280" s="24" t="s">
        <v>100</v>
      </c>
      <c r="C280" s="24" t="s">
        <v>24</v>
      </c>
      <c r="D280" s="30">
        <v>45917</v>
      </c>
      <c r="E280" s="30" t="s">
        <v>1311</v>
      </c>
      <c r="F280" s="24" t="s">
        <v>103</v>
      </c>
      <c r="G280" s="24" t="s">
        <v>28</v>
      </c>
      <c r="H280" s="30" t="s">
        <v>104</v>
      </c>
      <c r="I280" s="24" t="s">
        <v>105</v>
      </c>
      <c r="J280" s="24" t="s">
        <v>106</v>
      </c>
      <c r="K280" s="24" t="s">
        <v>2111</v>
      </c>
      <c r="L280" s="24" t="s">
        <v>32</v>
      </c>
      <c r="M280" s="24" t="s">
        <v>33</v>
      </c>
      <c r="N280" s="24">
        <v>1</v>
      </c>
      <c r="O280" s="36">
        <v>1650</v>
      </c>
      <c r="P280" s="35">
        <v>0</v>
      </c>
      <c r="Q280" s="36">
        <v>1650</v>
      </c>
      <c r="R280" s="34">
        <v>4</v>
      </c>
      <c r="S280" s="24" t="s">
        <v>34</v>
      </c>
      <c r="T280" s="24" t="s">
        <v>49</v>
      </c>
      <c r="U280" s="24" t="s">
        <v>144</v>
      </c>
      <c r="V280" s="24">
        <v>9357038998</v>
      </c>
      <c r="W280" s="24" t="s">
        <v>2101</v>
      </c>
      <c r="X280" s="34">
        <v>24</v>
      </c>
      <c r="Y280" s="24" t="s">
        <v>2110</v>
      </c>
      <c r="Z280" s="30">
        <v>46659</v>
      </c>
      <c r="AA280" s="24" t="s">
        <v>2175</v>
      </c>
      <c r="AB280" s="136" t="str">
        <f t="shared" si="4"/>
        <v>Silver</v>
      </c>
    </row>
    <row r="281" spans="1:28">
      <c r="A281" s="24" t="s">
        <v>1314</v>
      </c>
      <c r="B281" s="24" t="s">
        <v>251</v>
      </c>
      <c r="C281" s="24" t="s">
        <v>92</v>
      </c>
      <c r="D281" s="30">
        <v>45827</v>
      </c>
      <c r="E281" s="30" t="s">
        <v>1315</v>
      </c>
      <c r="F281" s="24" t="s">
        <v>254</v>
      </c>
      <c r="G281" s="24" t="s">
        <v>28</v>
      </c>
      <c r="H281" s="30" t="s">
        <v>255</v>
      </c>
      <c r="I281" s="24" t="s">
        <v>114</v>
      </c>
      <c r="J281" s="24" t="s">
        <v>106</v>
      </c>
      <c r="K281" s="24" t="s">
        <v>2111</v>
      </c>
      <c r="L281" s="24" t="s">
        <v>32</v>
      </c>
      <c r="M281" s="24" t="s">
        <v>97</v>
      </c>
      <c r="N281" s="24">
        <v>10</v>
      </c>
      <c r="O281" s="36">
        <v>2625</v>
      </c>
      <c r="P281" s="35">
        <v>0.1</v>
      </c>
      <c r="Q281" s="36">
        <v>23625</v>
      </c>
      <c r="R281" s="34">
        <v>4</v>
      </c>
      <c r="S281" s="24" t="s">
        <v>2148</v>
      </c>
      <c r="T281" s="24" t="s">
        <v>35</v>
      </c>
      <c r="U281" s="24" t="s">
        <v>256</v>
      </c>
      <c r="V281" s="24">
        <v>9986371291</v>
      </c>
      <c r="W281" s="24" t="s">
        <v>2101</v>
      </c>
      <c r="X281" s="34">
        <v>6</v>
      </c>
      <c r="Y281" s="24" t="s">
        <v>2112</v>
      </c>
      <c r="Z281" s="30">
        <v>46021</v>
      </c>
      <c r="AA281" s="24" t="s">
        <v>2173</v>
      </c>
      <c r="AB281" s="136" t="str">
        <f t="shared" si="4"/>
        <v>Silver</v>
      </c>
    </row>
    <row r="282" spans="1:28">
      <c r="A282" s="24" t="s">
        <v>1318</v>
      </c>
      <c r="B282" s="24" t="s">
        <v>71</v>
      </c>
      <c r="C282" s="24" t="s">
        <v>92</v>
      </c>
      <c r="D282" s="30">
        <v>45789</v>
      </c>
      <c r="E282" s="30" t="s">
        <v>1320</v>
      </c>
      <c r="F282" s="24" t="s">
        <v>217</v>
      </c>
      <c r="G282" s="24" t="s">
        <v>76</v>
      </c>
      <c r="H282" s="30" t="s">
        <v>77</v>
      </c>
      <c r="I282" s="24" t="s">
        <v>44</v>
      </c>
      <c r="J282" s="24" t="s">
        <v>45</v>
      </c>
      <c r="K282" s="24" t="s">
        <v>2114</v>
      </c>
      <c r="L282" s="24" t="s">
        <v>32</v>
      </c>
      <c r="M282" s="24" t="s">
        <v>97</v>
      </c>
      <c r="N282" s="24">
        <v>16</v>
      </c>
      <c r="O282" s="36">
        <v>2625</v>
      </c>
      <c r="P282" s="35">
        <v>0.15</v>
      </c>
      <c r="Q282" s="36">
        <v>35700</v>
      </c>
      <c r="R282" s="34">
        <v>1</v>
      </c>
      <c r="S282" s="24" t="s">
        <v>79</v>
      </c>
      <c r="T282" s="24" t="s">
        <v>115</v>
      </c>
      <c r="U282" s="24" t="s">
        <v>80</v>
      </c>
      <c r="V282" s="24">
        <v>9397839191</v>
      </c>
      <c r="W282" s="24" t="s">
        <v>2101</v>
      </c>
      <c r="X282" s="34">
        <v>6</v>
      </c>
      <c r="Y282" s="24" t="s">
        <v>2110</v>
      </c>
      <c r="Z282" s="30">
        <v>45977</v>
      </c>
      <c r="AA282" s="24" t="s">
        <v>2173</v>
      </c>
      <c r="AB282" s="136" t="str">
        <f t="shared" si="4"/>
        <v>Blacklisted</v>
      </c>
    </row>
    <row r="283" spans="1:28">
      <c r="A283" s="24" t="s">
        <v>1323</v>
      </c>
      <c r="B283" s="24" t="s">
        <v>251</v>
      </c>
      <c r="C283" s="24" t="s">
        <v>40</v>
      </c>
      <c r="D283" s="30">
        <v>45906</v>
      </c>
      <c r="E283" s="30" t="s">
        <v>25</v>
      </c>
      <c r="F283" s="24" t="s">
        <v>254</v>
      </c>
      <c r="G283" s="24" t="s">
        <v>28</v>
      </c>
      <c r="H283" s="30" t="s">
        <v>255</v>
      </c>
      <c r="I283" s="24" t="s">
        <v>114</v>
      </c>
      <c r="J283" s="24" t="s">
        <v>106</v>
      </c>
      <c r="K283" s="24" t="s">
        <v>2111</v>
      </c>
      <c r="L283" s="24" t="s">
        <v>46</v>
      </c>
      <c r="M283" s="24" t="s">
        <v>47</v>
      </c>
      <c r="N283" s="24">
        <v>1</v>
      </c>
      <c r="O283" s="36">
        <v>9000</v>
      </c>
      <c r="P283" s="35">
        <v>0</v>
      </c>
      <c r="Q283" s="36">
        <v>9000</v>
      </c>
      <c r="R283" s="34">
        <v>4</v>
      </c>
      <c r="S283" s="24" t="s">
        <v>2148</v>
      </c>
      <c r="T283" s="24" t="s">
        <v>115</v>
      </c>
      <c r="U283" s="24" t="s">
        <v>256</v>
      </c>
      <c r="V283" s="24">
        <v>9162975843</v>
      </c>
      <c r="W283" s="24" t="s">
        <v>2101</v>
      </c>
      <c r="X283" s="34">
        <v>24</v>
      </c>
      <c r="Y283" s="24" t="s">
        <v>2112</v>
      </c>
      <c r="Z283" s="30">
        <v>46648</v>
      </c>
      <c r="AA283" s="24" t="s">
        <v>2173</v>
      </c>
      <c r="AB283" s="136" t="str">
        <f t="shared" si="4"/>
        <v>Silver</v>
      </c>
    </row>
    <row r="284" spans="1:28">
      <c r="A284" s="24" t="s">
        <v>1327</v>
      </c>
      <c r="B284" s="24" t="s">
        <v>83</v>
      </c>
      <c r="C284" s="24" t="s">
        <v>184</v>
      </c>
      <c r="D284" s="30">
        <v>45770</v>
      </c>
      <c r="E284" s="30" t="s">
        <v>606</v>
      </c>
      <c r="F284" s="24" t="s">
        <v>180</v>
      </c>
      <c r="G284" s="24" t="s">
        <v>76</v>
      </c>
      <c r="H284" s="30" t="s">
        <v>87</v>
      </c>
      <c r="I284" s="24" t="s">
        <v>30</v>
      </c>
      <c r="J284" s="24" t="s">
        <v>31</v>
      </c>
      <c r="K284" s="24" t="s">
        <v>2109</v>
      </c>
      <c r="L284" s="24" t="s">
        <v>46</v>
      </c>
      <c r="M284" s="24" t="s">
        <v>189</v>
      </c>
      <c r="N284" s="24">
        <v>6</v>
      </c>
      <c r="O284" s="36">
        <v>525</v>
      </c>
      <c r="P284" s="35">
        <v>0.2</v>
      </c>
      <c r="Q284" s="36">
        <v>2520</v>
      </c>
      <c r="R284" s="34">
        <v>2</v>
      </c>
      <c r="S284" s="24" t="s">
        <v>2148</v>
      </c>
      <c r="T284" s="24" t="s">
        <v>115</v>
      </c>
      <c r="U284" s="24" t="s">
        <v>89</v>
      </c>
      <c r="V284" s="24">
        <v>9237616558</v>
      </c>
      <c r="W284" s="24" t="s">
        <v>2100</v>
      </c>
      <c r="X284" s="34">
        <v>24</v>
      </c>
      <c r="Y284" s="24" t="s">
        <v>2108</v>
      </c>
      <c r="Z284" s="30">
        <v>46506</v>
      </c>
      <c r="AA284" s="24" t="s">
        <v>2174</v>
      </c>
      <c r="AB284" s="136" t="str">
        <f t="shared" si="4"/>
        <v>Blacklisted</v>
      </c>
    </row>
    <row r="285" spans="1:28">
      <c r="A285" s="24" t="s">
        <v>1331</v>
      </c>
      <c r="B285" s="24" t="s">
        <v>71</v>
      </c>
      <c r="C285" s="24" t="s">
        <v>24</v>
      </c>
      <c r="D285" s="30">
        <v>46074</v>
      </c>
      <c r="E285" s="30" t="s">
        <v>1332</v>
      </c>
      <c r="F285" s="24" t="s">
        <v>217</v>
      </c>
      <c r="G285" s="24" t="s">
        <v>76</v>
      </c>
      <c r="H285" s="30" t="s">
        <v>77</v>
      </c>
      <c r="I285" s="24" t="s">
        <v>44</v>
      </c>
      <c r="J285" s="24" t="s">
        <v>45</v>
      </c>
      <c r="K285" s="24" t="s">
        <v>2114</v>
      </c>
      <c r="L285" s="24" t="s">
        <v>32</v>
      </c>
      <c r="M285" s="24" t="s">
        <v>33</v>
      </c>
      <c r="N285" s="24">
        <v>3</v>
      </c>
      <c r="O285" s="36">
        <v>1650</v>
      </c>
      <c r="P285" s="35">
        <v>0</v>
      </c>
      <c r="Q285" s="36">
        <v>4950</v>
      </c>
      <c r="R285" s="34">
        <v>4</v>
      </c>
      <c r="S285" s="24" t="s">
        <v>79</v>
      </c>
      <c r="T285" s="24" t="s">
        <v>35</v>
      </c>
      <c r="U285" s="24" t="s">
        <v>80</v>
      </c>
      <c r="V285" s="24">
        <v>9935063989</v>
      </c>
      <c r="W285" s="24" t="s">
        <v>2101</v>
      </c>
      <c r="X285" s="34">
        <v>24</v>
      </c>
      <c r="Y285" s="24" t="s">
        <v>2110</v>
      </c>
      <c r="Z285" s="30">
        <v>46810</v>
      </c>
      <c r="AA285" s="24" t="s">
        <v>2173</v>
      </c>
      <c r="AB285" s="136" t="str">
        <f t="shared" si="4"/>
        <v>Silver</v>
      </c>
    </row>
    <row r="286" spans="1:28">
      <c r="A286" s="24" t="s">
        <v>1335</v>
      </c>
      <c r="B286" s="24" t="s">
        <v>251</v>
      </c>
      <c r="C286" s="24" t="s">
        <v>259</v>
      </c>
      <c r="D286" s="30">
        <v>46019</v>
      </c>
      <c r="E286" s="30" t="s">
        <v>216</v>
      </c>
      <c r="F286" s="24" t="s">
        <v>254</v>
      </c>
      <c r="G286" s="24" t="s">
        <v>28</v>
      </c>
      <c r="H286" s="30" t="s">
        <v>255</v>
      </c>
      <c r="I286" s="24" t="s">
        <v>114</v>
      </c>
      <c r="J286" s="24" t="s">
        <v>106</v>
      </c>
      <c r="K286" s="24" t="s">
        <v>2111</v>
      </c>
      <c r="L286" s="24" t="s">
        <v>122</v>
      </c>
      <c r="M286" s="24" t="s">
        <v>263</v>
      </c>
      <c r="N286" s="24">
        <v>6</v>
      </c>
      <c r="O286" s="36">
        <v>33.75</v>
      </c>
      <c r="P286" s="35">
        <v>0.15</v>
      </c>
      <c r="Q286" s="36">
        <v>172.125</v>
      </c>
      <c r="R286" s="34">
        <v>1</v>
      </c>
      <c r="S286" s="24" t="s">
        <v>2149</v>
      </c>
      <c r="T286" s="24" t="s">
        <v>49</v>
      </c>
      <c r="U286" s="24" t="s">
        <v>256</v>
      </c>
      <c r="V286" s="24">
        <v>9167376169</v>
      </c>
      <c r="W286" s="24" t="s">
        <v>2100</v>
      </c>
      <c r="X286" s="34">
        <v>12</v>
      </c>
      <c r="Y286" s="24" t="s">
        <v>2112</v>
      </c>
      <c r="Z286" s="30">
        <v>46388</v>
      </c>
      <c r="AA286" s="24" t="s">
        <v>2173</v>
      </c>
      <c r="AB286" s="136" t="str">
        <f t="shared" si="4"/>
        <v>Blacklisted</v>
      </c>
    </row>
    <row r="287" spans="1:28">
      <c r="A287" s="24" t="s">
        <v>1338</v>
      </c>
      <c r="B287" s="24" t="s">
        <v>251</v>
      </c>
      <c r="C287" s="24" t="s">
        <v>72</v>
      </c>
      <c r="D287" s="30">
        <v>45922</v>
      </c>
      <c r="E287" s="30" t="s">
        <v>1339</v>
      </c>
      <c r="F287" s="24" t="s">
        <v>254</v>
      </c>
      <c r="G287" s="24" t="s">
        <v>28</v>
      </c>
      <c r="H287" s="30" t="s">
        <v>255</v>
      </c>
      <c r="I287" s="24" t="s">
        <v>114</v>
      </c>
      <c r="J287" s="24" t="s">
        <v>106</v>
      </c>
      <c r="K287" s="24" t="s">
        <v>2111</v>
      </c>
      <c r="L287" s="24" t="s">
        <v>46</v>
      </c>
      <c r="M287" s="24" t="s">
        <v>78</v>
      </c>
      <c r="N287" s="24">
        <v>2</v>
      </c>
      <c r="O287" s="36">
        <v>900</v>
      </c>
      <c r="P287" s="35">
        <v>0</v>
      </c>
      <c r="Q287" s="36">
        <v>1800</v>
      </c>
      <c r="R287" s="34">
        <v>1</v>
      </c>
      <c r="S287" s="24" t="s">
        <v>34</v>
      </c>
      <c r="T287" s="24" t="s">
        <v>151</v>
      </c>
      <c r="U287" s="24" t="s">
        <v>256</v>
      </c>
      <c r="V287" s="24">
        <v>9231845497</v>
      </c>
      <c r="W287" s="24" t="s">
        <v>2100</v>
      </c>
      <c r="X287" s="34">
        <v>6</v>
      </c>
      <c r="Y287" s="24" t="s">
        <v>2112</v>
      </c>
      <c r="Z287" s="30">
        <v>46111</v>
      </c>
      <c r="AA287" s="24" t="s">
        <v>2173</v>
      </c>
      <c r="AB287" s="136" t="str">
        <f t="shared" si="4"/>
        <v>Blacklisted</v>
      </c>
    </row>
    <row r="288" spans="1:28">
      <c r="A288" s="24" t="s">
        <v>1342</v>
      </c>
      <c r="B288" s="24" t="s">
        <v>168</v>
      </c>
      <c r="C288" s="24" t="s">
        <v>184</v>
      </c>
      <c r="D288" s="30">
        <v>46150</v>
      </c>
      <c r="E288" s="30" t="s">
        <v>1344</v>
      </c>
      <c r="F288" s="24" t="s">
        <v>361</v>
      </c>
      <c r="G288" s="24" t="s">
        <v>28</v>
      </c>
      <c r="H288" s="30" t="s">
        <v>173</v>
      </c>
      <c r="I288" s="24" t="s">
        <v>114</v>
      </c>
      <c r="J288" s="24" t="s">
        <v>106</v>
      </c>
      <c r="K288" s="24" t="s">
        <v>2111</v>
      </c>
      <c r="L288" s="24" t="s">
        <v>46</v>
      </c>
      <c r="M288" s="24" t="s">
        <v>189</v>
      </c>
      <c r="N288" s="24">
        <v>14</v>
      </c>
      <c r="O288" s="36">
        <v>525</v>
      </c>
      <c r="P288" s="35">
        <v>0.15</v>
      </c>
      <c r="Q288" s="36">
        <v>6247.5</v>
      </c>
      <c r="R288" s="34">
        <v>5</v>
      </c>
      <c r="S288" s="24" t="s">
        <v>34</v>
      </c>
      <c r="T288" s="24" t="s">
        <v>115</v>
      </c>
      <c r="U288" s="24" t="s">
        <v>175</v>
      </c>
      <c r="V288" s="24">
        <v>9409415805</v>
      </c>
      <c r="W288" s="24" t="s">
        <v>2100</v>
      </c>
      <c r="X288" s="34">
        <v>24</v>
      </c>
      <c r="Y288" s="24" t="s">
        <v>2112</v>
      </c>
      <c r="Z288" s="30">
        <v>46884</v>
      </c>
      <c r="AA288" s="24" t="s">
        <v>2177</v>
      </c>
      <c r="AB288" s="136" t="str">
        <f t="shared" si="4"/>
        <v>Silver</v>
      </c>
    </row>
    <row r="289" spans="1:28">
      <c r="A289" s="24" t="s">
        <v>1347</v>
      </c>
      <c r="B289" s="24" t="s">
        <v>100</v>
      </c>
      <c r="C289" s="24" t="s">
        <v>222</v>
      </c>
      <c r="D289" s="30">
        <v>45966</v>
      </c>
      <c r="E289" s="30" t="s">
        <v>507</v>
      </c>
      <c r="F289" s="24" t="s">
        <v>103</v>
      </c>
      <c r="G289" s="24" t="s">
        <v>28</v>
      </c>
      <c r="H289" s="30" t="s">
        <v>104</v>
      </c>
      <c r="I289" s="24" t="s">
        <v>105</v>
      </c>
      <c r="J289" s="24" t="s">
        <v>106</v>
      </c>
      <c r="K289" s="24" t="s">
        <v>2111</v>
      </c>
      <c r="L289" s="24" t="s">
        <v>122</v>
      </c>
      <c r="M289" s="24" t="s">
        <v>227</v>
      </c>
      <c r="N289" s="24">
        <v>13</v>
      </c>
      <c r="O289" s="36">
        <v>15</v>
      </c>
      <c r="P289" s="35">
        <v>0.05</v>
      </c>
      <c r="Q289" s="36">
        <v>185.25</v>
      </c>
      <c r="R289" s="34">
        <v>1</v>
      </c>
      <c r="S289" s="24" t="s">
        <v>79</v>
      </c>
      <c r="T289" s="24" t="s">
        <v>35</v>
      </c>
      <c r="U289" s="24" t="s">
        <v>144</v>
      </c>
      <c r="V289" s="24">
        <v>9240800508</v>
      </c>
      <c r="W289" s="24" t="s">
        <v>2103</v>
      </c>
      <c r="X289" s="34">
        <v>12</v>
      </c>
      <c r="Y289" s="24" t="s">
        <v>2110</v>
      </c>
      <c r="Z289" s="30">
        <v>46332</v>
      </c>
      <c r="AA289" s="24" t="s">
        <v>2175</v>
      </c>
      <c r="AB289" s="136" t="str">
        <f t="shared" si="4"/>
        <v>Blacklisted</v>
      </c>
    </row>
    <row r="290" spans="1:28">
      <c r="A290" s="24" t="s">
        <v>1351</v>
      </c>
      <c r="B290" s="24" t="s">
        <v>71</v>
      </c>
      <c r="C290" s="24" t="s">
        <v>24</v>
      </c>
      <c r="D290" s="30">
        <v>45724</v>
      </c>
      <c r="E290" s="30" t="s">
        <v>136</v>
      </c>
      <c r="F290" s="24" t="s">
        <v>217</v>
      </c>
      <c r="G290" s="24" t="s">
        <v>76</v>
      </c>
      <c r="H290" s="30" t="s">
        <v>77</v>
      </c>
      <c r="I290" s="24" t="s">
        <v>44</v>
      </c>
      <c r="J290" s="24" t="s">
        <v>45</v>
      </c>
      <c r="K290" s="24" t="s">
        <v>2114</v>
      </c>
      <c r="L290" s="24" t="s">
        <v>32</v>
      </c>
      <c r="M290" s="24" t="s">
        <v>33</v>
      </c>
      <c r="N290" s="24">
        <v>3</v>
      </c>
      <c r="O290" s="36">
        <v>1650</v>
      </c>
      <c r="P290" s="35">
        <v>0</v>
      </c>
      <c r="Q290" s="36">
        <v>4950</v>
      </c>
      <c r="R290" s="34">
        <v>4</v>
      </c>
      <c r="S290" s="24" t="s">
        <v>2148</v>
      </c>
      <c r="T290" s="24" t="s">
        <v>61</v>
      </c>
      <c r="U290" s="24" t="s">
        <v>80</v>
      </c>
      <c r="V290" s="24">
        <v>9764609936</v>
      </c>
      <c r="W290" s="24" t="s">
        <v>2101</v>
      </c>
      <c r="X290" s="34">
        <v>24</v>
      </c>
      <c r="Y290" s="24" t="s">
        <v>2110</v>
      </c>
      <c r="Z290" s="30">
        <v>46461</v>
      </c>
      <c r="AA290" s="24" t="s">
        <v>2173</v>
      </c>
      <c r="AB290" s="136" t="str">
        <f t="shared" si="4"/>
        <v>Silver</v>
      </c>
    </row>
    <row r="291" spans="1:28">
      <c r="A291" s="24" t="s">
        <v>1354</v>
      </c>
      <c r="B291" s="24" t="s">
        <v>71</v>
      </c>
      <c r="C291" s="24" t="s">
        <v>118</v>
      </c>
      <c r="D291" s="30">
        <v>46062</v>
      </c>
      <c r="E291" s="30" t="s">
        <v>923</v>
      </c>
      <c r="F291" s="24" t="s">
        <v>217</v>
      </c>
      <c r="G291" s="24" t="s">
        <v>76</v>
      </c>
      <c r="H291" s="30" t="s">
        <v>77</v>
      </c>
      <c r="I291" s="24" t="s">
        <v>44</v>
      </c>
      <c r="J291" s="24" t="s">
        <v>45</v>
      </c>
      <c r="K291" s="24" t="s">
        <v>2114</v>
      </c>
      <c r="L291" s="24" t="s">
        <v>122</v>
      </c>
      <c r="M291" s="24" t="s">
        <v>123</v>
      </c>
      <c r="N291" s="24">
        <v>3</v>
      </c>
      <c r="O291" s="36">
        <v>45</v>
      </c>
      <c r="P291" s="35">
        <v>0.15</v>
      </c>
      <c r="Q291" s="36">
        <v>114.75</v>
      </c>
      <c r="R291" s="34">
        <v>4</v>
      </c>
      <c r="S291" s="24" t="s">
        <v>2149</v>
      </c>
      <c r="T291" s="24" t="s">
        <v>115</v>
      </c>
      <c r="U291" s="24" t="s">
        <v>80</v>
      </c>
      <c r="V291" s="24">
        <v>9362733217</v>
      </c>
      <c r="W291" s="24" t="s">
        <v>2102</v>
      </c>
      <c r="X291" s="34">
        <v>12</v>
      </c>
      <c r="Y291" s="24" t="s">
        <v>2110</v>
      </c>
      <c r="Z291" s="30">
        <v>46439</v>
      </c>
      <c r="AA291" s="24" t="s">
        <v>2173</v>
      </c>
      <c r="AB291" s="136" t="str">
        <f t="shared" si="4"/>
        <v>Silver</v>
      </c>
    </row>
    <row r="292" spans="1:28">
      <c r="A292" s="24" t="s">
        <v>1357</v>
      </c>
      <c r="B292" s="24" t="s">
        <v>127</v>
      </c>
      <c r="C292" s="24" t="s">
        <v>92</v>
      </c>
      <c r="D292" s="30">
        <v>45733</v>
      </c>
      <c r="E292" s="30" t="s">
        <v>825</v>
      </c>
      <c r="F292" s="24" t="s">
        <v>200</v>
      </c>
      <c r="G292" s="24" t="s">
        <v>76</v>
      </c>
      <c r="H292" s="30" t="s">
        <v>131</v>
      </c>
      <c r="I292" s="24" t="s">
        <v>44</v>
      </c>
      <c r="J292" s="24" t="s">
        <v>45</v>
      </c>
      <c r="K292" s="24" t="s">
        <v>2113</v>
      </c>
      <c r="L292" s="24" t="s">
        <v>32</v>
      </c>
      <c r="M292" s="24" t="s">
        <v>97</v>
      </c>
      <c r="N292" s="24">
        <v>9</v>
      </c>
      <c r="O292" s="36">
        <v>2625</v>
      </c>
      <c r="P292" s="35">
        <v>0.05</v>
      </c>
      <c r="Q292" s="36">
        <v>22443.75</v>
      </c>
      <c r="R292" s="34">
        <v>1</v>
      </c>
      <c r="S292" s="24" t="s">
        <v>34</v>
      </c>
      <c r="T292" s="24" t="s">
        <v>61</v>
      </c>
      <c r="U292" s="24" t="s">
        <v>132</v>
      </c>
      <c r="V292" s="24">
        <v>9270466205</v>
      </c>
      <c r="W292" s="24" t="s">
        <v>2101</v>
      </c>
      <c r="X292" s="34">
        <v>6</v>
      </c>
      <c r="Y292" s="24" t="s">
        <v>2112</v>
      </c>
      <c r="Z292" s="30">
        <v>45923</v>
      </c>
      <c r="AA292" s="24" t="s">
        <v>2176</v>
      </c>
      <c r="AB292" s="136" t="str">
        <f t="shared" si="4"/>
        <v>Blacklisted</v>
      </c>
    </row>
    <row r="293" spans="1:28">
      <c r="A293" s="24" t="s">
        <v>1359</v>
      </c>
      <c r="B293" s="24" t="s">
        <v>327</v>
      </c>
      <c r="C293" s="24" t="s">
        <v>72</v>
      </c>
      <c r="D293" s="30">
        <v>45743</v>
      </c>
      <c r="E293" s="30" t="s">
        <v>1360</v>
      </c>
      <c r="F293" s="24" t="s">
        <v>394</v>
      </c>
      <c r="G293" s="24" t="s">
        <v>76</v>
      </c>
      <c r="H293" s="30" t="s">
        <v>331</v>
      </c>
      <c r="I293" s="24" t="s">
        <v>114</v>
      </c>
      <c r="J293" s="24" t="s">
        <v>106</v>
      </c>
      <c r="K293" s="24" t="s">
        <v>2109</v>
      </c>
      <c r="L293" s="24" t="s">
        <v>46</v>
      </c>
      <c r="M293" s="24" t="s">
        <v>78</v>
      </c>
      <c r="N293" s="24">
        <v>5</v>
      </c>
      <c r="O293" s="36">
        <v>900</v>
      </c>
      <c r="P293" s="35">
        <v>0.2</v>
      </c>
      <c r="Q293" s="36">
        <v>3600</v>
      </c>
      <c r="R293" s="34">
        <v>2</v>
      </c>
      <c r="S293" s="24" t="s">
        <v>2149</v>
      </c>
      <c r="T293" s="24" t="s">
        <v>115</v>
      </c>
      <c r="U293" s="24" t="s">
        <v>332</v>
      </c>
      <c r="V293" s="24">
        <v>9571436865</v>
      </c>
      <c r="W293" s="24" t="s">
        <v>2100</v>
      </c>
      <c r="X293" s="34">
        <v>6</v>
      </c>
      <c r="Y293" s="24" t="s">
        <v>2108</v>
      </c>
      <c r="Z293" s="30">
        <v>45931</v>
      </c>
      <c r="AA293" s="24" t="s">
        <v>2171</v>
      </c>
      <c r="AB293" s="136" t="str">
        <f t="shared" si="4"/>
        <v>Blacklisted</v>
      </c>
    </row>
    <row r="294" spans="1:28">
      <c r="A294" s="24" t="s">
        <v>1363</v>
      </c>
      <c r="B294" s="24" t="s">
        <v>53</v>
      </c>
      <c r="C294" s="24" t="s">
        <v>72</v>
      </c>
      <c r="D294" s="30">
        <v>45728</v>
      </c>
      <c r="E294" s="30" t="s">
        <v>910</v>
      </c>
      <c r="F294" s="24" t="s">
        <v>163</v>
      </c>
      <c r="G294" s="24" t="s">
        <v>28</v>
      </c>
      <c r="H294" s="30" t="s">
        <v>58</v>
      </c>
      <c r="I294" s="24" t="s">
        <v>59</v>
      </c>
      <c r="J294" s="24" t="s">
        <v>31</v>
      </c>
      <c r="K294" s="24" t="s">
        <v>2111</v>
      </c>
      <c r="L294" s="24" t="s">
        <v>46</v>
      </c>
      <c r="M294" s="24" t="s">
        <v>78</v>
      </c>
      <c r="N294" s="24">
        <v>10</v>
      </c>
      <c r="O294" s="36">
        <v>900</v>
      </c>
      <c r="P294" s="35">
        <v>0.2</v>
      </c>
      <c r="Q294" s="36">
        <v>7200</v>
      </c>
      <c r="R294" s="34">
        <v>4</v>
      </c>
      <c r="S294" s="24" t="s">
        <v>34</v>
      </c>
      <c r="T294" s="24" t="s">
        <v>49</v>
      </c>
      <c r="U294" s="24" t="s">
        <v>62</v>
      </c>
      <c r="V294" s="24">
        <v>9307011171</v>
      </c>
      <c r="W294" s="24" t="s">
        <v>2100</v>
      </c>
      <c r="X294" s="34">
        <v>6</v>
      </c>
      <c r="Y294" s="24" t="s">
        <v>2108</v>
      </c>
      <c r="Z294" s="30">
        <v>45914</v>
      </c>
      <c r="AA294" s="24" t="s">
        <v>2172</v>
      </c>
      <c r="AB294" s="136" t="str">
        <f t="shared" si="4"/>
        <v>Silver</v>
      </c>
    </row>
    <row r="295" spans="1:28">
      <c r="A295" s="24" t="s">
        <v>1367</v>
      </c>
      <c r="B295" s="24" t="s">
        <v>23</v>
      </c>
      <c r="C295" s="24" t="s">
        <v>72</v>
      </c>
      <c r="D295" s="30">
        <v>46066</v>
      </c>
      <c r="E295" s="30" t="s">
        <v>1369</v>
      </c>
      <c r="F295" s="24" t="s">
        <v>27</v>
      </c>
      <c r="G295" s="24" t="s">
        <v>28</v>
      </c>
      <c r="H295" s="30" t="s">
        <v>29</v>
      </c>
      <c r="I295" s="24" t="s">
        <v>30</v>
      </c>
      <c r="J295" s="24" t="s">
        <v>31</v>
      </c>
      <c r="K295" s="24" t="s">
        <v>2111</v>
      </c>
      <c r="L295" s="24" t="s">
        <v>46</v>
      </c>
      <c r="M295" s="24" t="s">
        <v>78</v>
      </c>
      <c r="N295" s="24">
        <v>5</v>
      </c>
      <c r="O295" s="36">
        <v>900</v>
      </c>
      <c r="P295" s="35">
        <v>0.2</v>
      </c>
      <c r="Q295" s="36">
        <v>3600</v>
      </c>
      <c r="R295" s="34">
        <v>3</v>
      </c>
      <c r="S295" s="24" t="s">
        <v>2148</v>
      </c>
      <c r="T295" s="24" t="s">
        <v>151</v>
      </c>
      <c r="U295" s="24" t="s">
        <v>50</v>
      </c>
      <c r="V295" s="24">
        <v>9922380435</v>
      </c>
      <c r="W295" s="24" t="s">
        <v>2100</v>
      </c>
      <c r="X295" s="34">
        <v>6</v>
      </c>
      <c r="Y295" s="24" t="s">
        <v>2108</v>
      </c>
      <c r="Z295" s="30">
        <v>46258</v>
      </c>
      <c r="AA295" s="24" t="s">
        <v>2171</v>
      </c>
      <c r="AB295" s="136" t="str">
        <f t="shared" si="4"/>
        <v>Silver</v>
      </c>
    </row>
    <row r="296" spans="1:28">
      <c r="A296" s="24" t="s">
        <v>1372</v>
      </c>
      <c r="B296" s="24" t="s">
        <v>168</v>
      </c>
      <c r="C296" s="24" t="s">
        <v>222</v>
      </c>
      <c r="D296" s="30">
        <v>45699</v>
      </c>
      <c r="E296" s="30" t="s">
        <v>1374</v>
      </c>
      <c r="F296" s="24" t="s">
        <v>361</v>
      </c>
      <c r="G296" s="24" t="s">
        <v>28</v>
      </c>
      <c r="H296" s="30" t="s">
        <v>173</v>
      </c>
      <c r="I296" s="24" t="s">
        <v>114</v>
      </c>
      <c r="J296" s="24" t="s">
        <v>106</v>
      </c>
      <c r="K296" s="24" t="s">
        <v>2111</v>
      </c>
      <c r="L296" s="24" t="s">
        <v>122</v>
      </c>
      <c r="M296" s="24" t="s">
        <v>227</v>
      </c>
      <c r="N296" s="24">
        <v>10</v>
      </c>
      <c r="O296" s="36">
        <v>15</v>
      </c>
      <c r="P296" s="35">
        <v>0.05</v>
      </c>
      <c r="Q296" s="36">
        <v>142.5</v>
      </c>
      <c r="R296" s="34">
        <v>4</v>
      </c>
      <c r="S296" s="24" t="s">
        <v>34</v>
      </c>
      <c r="T296" s="24" t="s">
        <v>151</v>
      </c>
      <c r="U296" s="24" t="s">
        <v>175</v>
      </c>
      <c r="V296" s="24">
        <v>9463618792</v>
      </c>
      <c r="W296" s="24" t="s">
        <v>2103</v>
      </c>
      <c r="X296" s="34">
        <v>12</v>
      </c>
      <c r="Y296" s="24" t="s">
        <v>2112</v>
      </c>
      <c r="Z296" s="30">
        <v>46067</v>
      </c>
      <c r="AA296" s="24" t="s">
        <v>2177</v>
      </c>
      <c r="AB296" s="136" t="str">
        <f t="shared" si="4"/>
        <v>Silver</v>
      </c>
    </row>
    <row r="297" spans="1:28">
      <c r="A297" s="24" t="s">
        <v>1377</v>
      </c>
      <c r="B297" s="24" t="s">
        <v>100</v>
      </c>
      <c r="C297" s="24" t="s">
        <v>118</v>
      </c>
      <c r="D297" s="30">
        <v>45674</v>
      </c>
      <c r="E297" s="30" t="s">
        <v>1379</v>
      </c>
      <c r="F297" s="24" t="s">
        <v>103</v>
      </c>
      <c r="G297" s="24" t="s">
        <v>28</v>
      </c>
      <c r="H297" s="30" t="s">
        <v>104</v>
      </c>
      <c r="I297" s="24" t="s">
        <v>105</v>
      </c>
      <c r="J297" s="24" t="s">
        <v>106</v>
      </c>
      <c r="K297" s="24" t="s">
        <v>2111</v>
      </c>
      <c r="L297" s="24" t="s">
        <v>122</v>
      </c>
      <c r="M297" s="24" t="s">
        <v>123</v>
      </c>
      <c r="N297" s="24">
        <v>20</v>
      </c>
      <c r="O297" s="36">
        <v>45</v>
      </c>
      <c r="P297" s="35">
        <v>0.15</v>
      </c>
      <c r="Q297" s="36">
        <v>765</v>
      </c>
      <c r="R297" s="34">
        <v>5</v>
      </c>
      <c r="S297" s="24" t="s">
        <v>79</v>
      </c>
      <c r="T297" s="24" t="s">
        <v>35</v>
      </c>
      <c r="U297" s="24" t="s">
        <v>144</v>
      </c>
      <c r="V297" s="24">
        <v>9954973200</v>
      </c>
      <c r="W297" s="24" t="s">
        <v>2102</v>
      </c>
      <c r="X297" s="34">
        <v>12</v>
      </c>
      <c r="Y297" s="24" t="s">
        <v>2110</v>
      </c>
      <c r="Z297" s="30">
        <v>46049</v>
      </c>
      <c r="AA297" s="24" t="s">
        <v>2175</v>
      </c>
      <c r="AB297" s="136" t="str">
        <f t="shared" si="4"/>
        <v>Silver</v>
      </c>
    </row>
    <row r="298" spans="1:28">
      <c r="A298" s="24" t="s">
        <v>1382</v>
      </c>
      <c r="B298" s="24" t="s">
        <v>327</v>
      </c>
      <c r="C298" s="24" t="s">
        <v>24</v>
      </c>
      <c r="D298" s="30">
        <v>45748</v>
      </c>
      <c r="E298" s="30" t="s">
        <v>577</v>
      </c>
      <c r="F298" s="24" t="s">
        <v>394</v>
      </c>
      <c r="G298" s="24" t="s">
        <v>76</v>
      </c>
      <c r="H298" s="30" t="s">
        <v>331</v>
      </c>
      <c r="I298" s="24" t="s">
        <v>114</v>
      </c>
      <c r="J298" s="24" t="s">
        <v>106</v>
      </c>
      <c r="K298" s="24" t="s">
        <v>2109</v>
      </c>
      <c r="L298" s="24" t="s">
        <v>32</v>
      </c>
      <c r="M298" s="24" t="s">
        <v>33</v>
      </c>
      <c r="N298" s="24">
        <v>7</v>
      </c>
      <c r="O298" s="36">
        <v>1650</v>
      </c>
      <c r="P298" s="35">
        <v>0.15</v>
      </c>
      <c r="Q298" s="36">
        <v>9817.5</v>
      </c>
      <c r="R298" s="34">
        <v>4</v>
      </c>
      <c r="S298" s="24" t="s">
        <v>34</v>
      </c>
      <c r="T298" s="24" t="s">
        <v>61</v>
      </c>
      <c r="U298" s="24" t="s">
        <v>332</v>
      </c>
      <c r="V298" s="24">
        <v>9383199236</v>
      </c>
      <c r="W298" s="24" t="s">
        <v>2101</v>
      </c>
      <c r="X298" s="34">
        <v>24</v>
      </c>
      <c r="Y298" s="24" t="s">
        <v>2108</v>
      </c>
      <c r="Z298" s="30">
        <v>46489</v>
      </c>
      <c r="AA298" s="24" t="s">
        <v>2171</v>
      </c>
      <c r="AB298" s="136" t="str">
        <f t="shared" si="4"/>
        <v>Silver</v>
      </c>
    </row>
    <row r="299" spans="1:28">
      <c r="A299" s="24" t="s">
        <v>1385</v>
      </c>
      <c r="B299" s="24" t="s">
        <v>127</v>
      </c>
      <c r="C299" s="24" t="s">
        <v>54</v>
      </c>
      <c r="D299" s="30">
        <v>45670</v>
      </c>
      <c r="E299" s="30" t="s">
        <v>760</v>
      </c>
      <c r="F299" s="24" t="s">
        <v>200</v>
      </c>
      <c r="G299" s="24" t="s">
        <v>76</v>
      </c>
      <c r="H299" s="30" t="s">
        <v>131</v>
      </c>
      <c r="I299" s="24" t="s">
        <v>44</v>
      </c>
      <c r="J299" s="24" t="s">
        <v>45</v>
      </c>
      <c r="K299" s="24" t="s">
        <v>2113</v>
      </c>
      <c r="L299" s="24" t="s">
        <v>46</v>
      </c>
      <c r="M299" s="24" t="s">
        <v>60</v>
      </c>
      <c r="N299" s="24">
        <v>11</v>
      </c>
      <c r="O299" s="36">
        <v>41250</v>
      </c>
      <c r="P299" s="35">
        <v>0.05</v>
      </c>
      <c r="Q299" s="36">
        <v>431062.5</v>
      </c>
      <c r="R299" s="34">
        <v>1</v>
      </c>
      <c r="S299" s="24" t="s">
        <v>2149</v>
      </c>
      <c r="T299" s="24" t="s">
        <v>35</v>
      </c>
      <c r="U299" s="24" t="s">
        <v>132</v>
      </c>
      <c r="V299" s="24">
        <v>9482699727</v>
      </c>
      <c r="W299" s="24" t="s">
        <v>2100</v>
      </c>
      <c r="X299" s="34">
        <v>12</v>
      </c>
      <c r="Y299" s="24" t="s">
        <v>2112</v>
      </c>
      <c r="Z299" s="30">
        <v>46038</v>
      </c>
      <c r="AA299" s="24" t="s">
        <v>2176</v>
      </c>
      <c r="AB299" s="136" t="str">
        <f t="shared" si="4"/>
        <v>Blacklisted</v>
      </c>
    </row>
    <row r="300" spans="1:28">
      <c r="A300" s="24" t="s">
        <v>1388</v>
      </c>
      <c r="B300" s="24" t="s">
        <v>83</v>
      </c>
      <c r="C300" s="24" t="s">
        <v>92</v>
      </c>
      <c r="D300" s="30">
        <v>45935</v>
      </c>
      <c r="E300" s="30" t="s">
        <v>1389</v>
      </c>
      <c r="F300" s="24" t="s">
        <v>180</v>
      </c>
      <c r="G300" s="24" t="s">
        <v>76</v>
      </c>
      <c r="H300" s="30" t="s">
        <v>87</v>
      </c>
      <c r="I300" s="24" t="s">
        <v>30</v>
      </c>
      <c r="J300" s="24" t="s">
        <v>31</v>
      </c>
      <c r="K300" s="24" t="s">
        <v>2109</v>
      </c>
      <c r="L300" s="24" t="s">
        <v>32</v>
      </c>
      <c r="M300" s="24" t="s">
        <v>97</v>
      </c>
      <c r="N300" s="24">
        <v>12</v>
      </c>
      <c r="O300" s="36">
        <v>2625</v>
      </c>
      <c r="P300" s="35">
        <v>0</v>
      </c>
      <c r="Q300" s="36">
        <v>31500</v>
      </c>
      <c r="R300" s="34">
        <v>2</v>
      </c>
      <c r="S300" s="24" t="s">
        <v>2148</v>
      </c>
      <c r="T300" s="24" t="s">
        <v>2145</v>
      </c>
      <c r="U300" s="24" t="s">
        <v>89</v>
      </c>
      <c r="V300" s="24">
        <v>9332473934</v>
      </c>
      <c r="W300" s="24" t="s">
        <v>2101</v>
      </c>
      <c r="X300" s="34">
        <v>6</v>
      </c>
      <c r="Y300" s="24" t="s">
        <v>2108</v>
      </c>
      <c r="Z300" s="30">
        <v>46129</v>
      </c>
      <c r="AA300" s="24" t="s">
        <v>2174</v>
      </c>
      <c r="AB300" s="136" t="str">
        <f t="shared" si="4"/>
        <v>Blacklisted</v>
      </c>
    </row>
    <row r="301" spans="1:28">
      <c r="A301" s="24" t="s">
        <v>1392</v>
      </c>
      <c r="B301" s="24" t="s">
        <v>71</v>
      </c>
      <c r="C301" s="24" t="s">
        <v>259</v>
      </c>
      <c r="D301" s="30">
        <v>46078</v>
      </c>
      <c r="E301" s="30" t="s">
        <v>298</v>
      </c>
      <c r="F301" s="24" t="s">
        <v>217</v>
      </c>
      <c r="G301" s="24" t="s">
        <v>76</v>
      </c>
      <c r="H301" s="30" t="s">
        <v>77</v>
      </c>
      <c r="I301" s="24" t="s">
        <v>44</v>
      </c>
      <c r="J301" s="24" t="s">
        <v>45</v>
      </c>
      <c r="K301" s="24" t="s">
        <v>2114</v>
      </c>
      <c r="L301" s="24" t="s">
        <v>122</v>
      </c>
      <c r="M301" s="24" t="s">
        <v>263</v>
      </c>
      <c r="N301" s="24">
        <v>15</v>
      </c>
      <c r="O301" s="36">
        <v>33.75</v>
      </c>
      <c r="P301" s="35">
        <v>0.1</v>
      </c>
      <c r="Q301" s="36">
        <v>455.625</v>
      </c>
      <c r="R301" s="34">
        <v>2</v>
      </c>
      <c r="S301" s="24" t="s">
        <v>34</v>
      </c>
      <c r="T301" s="24" t="s">
        <v>151</v>
      </c>
      <c r="U301" s="24" t="s">
        <v>80</v>
      </c>
      <c r="V301" s="24">
        <v>9647657382</v>
      </c>
      <c r="W301" s="24" t="s">
        <v>2100</v>
      </c>
      <c r="X301" s="34">
        <v>12</v>
      </c>
      <c r="Y301" s="24" t="s">
        <v>2110</v>
      </c>
      <c r="Z301" s="30">
        <v>46454</v>
      </c>
      <c r="AA301" s="24" t="s">
        <v>2173</v>
      </c>
      <c r="AB301" s="136" t="str">
        <f t="shared" si="4"/>
        <v>Blacklisted</v>
      </c>
    </row>
    <row r="302" spans="1:28">
      <c r="A302" s="24" t="s">
        <v>1395</v>
      </c>
      <c r="B302" s="24" t="s">
        <v>327</v>
      </c>
      <c r="C302" s="24" t="s">
        <v>259</v>
      </c>
      <c r="D302" s="30">
        <v>45793</v>
      </c>
      <c r="E302" s="30" t="s">
        <v>936</v>
      </c>
      <c r="F302" s="24" t="s">
        <v>394</v>
      </c>
      <c r="G302" s="24" t="s">
        <v>76</v>
      </c>
      <c r="H302" s="30" t="s">
        <v>331</v>
      </c>
      <c r="I302" s="24" t="s">
        <v>114</v>
      </c>
      <c r="J302" s="24" t="s">
        <v>106</v>
      </c>
      <c r="K302" s="24" t="s">
        <v>2109</v>
      </c>
      <c r="L302" s="24" t="s">
        <v>122</v>
      </c>
      <c r="M302" s="24" t="s">
        <v>263</v>
      </c>
      <c r="N302" s="24">
        <v>13</v>
      </c>
      <c r="O302" s="36">
        <v>33.75</v>
      </c>
      <c r="P302" s="35">
        <v>0</v>
      </c>
      <c r="Q302" s="36">
        <v>438.75</v>
      </c>
      <c r="R302" s="34">
        <v>5</v>
      </c>
      <c r="S302" s="24" t="s">
        <v>2148</v>
      </c>
      <c r="T302" s="24" t="s">
        <v>49</v>
      </c>
      <c r="U302" s="24" t="s">
        <v>332</v>
      </c>
      <c r="V302" s="24">
        <v>9736797776</v>
      </c>
      <c r="W302" s="24" t="s">
        <v>2100</v>
      </c>
      <c r="X302" s="34">
        <v>12</v>
      </c>
      <c r="Y302" s="24" t="s">
        <v>2108</v>
      </c>
      <c r="Z302" s="30">
        <v>46168</v>
      </c>
      <c r="AA302" s="24" t="s">
        <v>2171</v>
      </c>
      <c r="AB302" s="136" t="str">
        <f t="shared" si="4"/>
        <v>Silver</v>
      </c>
    </row>
    <row r="303" spans="1:28">
      <c r="A303" s="24" t="s">
        <v>1398</v>
      </c>
      <c r="B303" s="24" t="s">
        <v>127</v>
      </c>
      <c r="C303" s="24" t="s">
        <v>54</v>
      </c>
      <c r="D303" s="30">
        <v>46024</v>
      </c>
      <c r="E303" s="30" t="s">
        <v>1199</v>
      </c>
      <c r="F303" s="24" t="s">
        <v>200</v>
      </c>
      <c r="G303" s="24" t="s">
        <v>76</v>
      </c>
      <c r="H303" s="30" t="s">
        <v>131</v>
      </c>
      <c r="I303" s="24" t="s">
        <v>44</v>
      </c>
      <c r="J303" s="24" t="s">
        <v>45</v>
      </c>
      <c r="K303" s="24" t="s">
        <v>2113</v>
      </c>
      <c r="L303" s="24" t="s">
        <v>46</v>
      </c>
      <c r="M303" s="24" t="s">
        <v>60</v>
      </c>
      <c r="N303" s="24">
        <v>8</v>
      </c>
      <c r="O303" s="36">
        <v>41250</v>
      </c>
      <c r="P303" s="35">
        <v>0</v>
      </c>
      <c r="Q303" s="36">
        <v>330000</v>
      </c>
      <c r="R303" s="34">
        <v>2</v>
      </c>
      <c r="S303" s="24" t="s">
        <v>2149</v>
      </c>
      <c r="T303" s="24" t="s">
        <v>151</v>
      </c>
      <c r="U303" s="24" t="s">
        <v>132</v>
      </c>
      <c r="V303" s="24">
        <v>9745773533</v>
      </c>
      <c r="W303" s="24" t="s">
        <v>2100</v>
      </c>
      <c r="X303" s="34">
        <v>12</v>
      </c>
      <c r="Y303" s="24" t="s">
        <v>2112</v>
      </c>
      <c r="Z303" s="30">
        <v>46392</v>
      </c>
      <c r="AA303" s="24" t="s">
        <v>2176</v>
      </c>
      <c r="AB303" s="136" t="str">
        <f t="shared" si="4"/>
        <v>Blacklisted</v>
      </c>
    </row>
    <row r="304" spans="1:28">
      <c r="A304" s="24" t="s">
        <v>1401</v>
      </c>
      <c r="B304" s="24" t="s">
        <v>251</v>
      </c>
      <c r="C304" s="24" t="s">
        <v>54</v>
      </c>
      <c r="D304" s="30">
        <v>45861</v>
      </c>
      <c r="E304" s="30" t="s">
        <v>381</v>
      </c>
      <c r="F304" s="24" t="s">
        <v>254</v>
      </c>
      <c r="G304" s="24" t="s">
        <v>28</v>
      </c>
      <c r="H304" s="30" t="s">
        <v>255</v>
      </c>
      <c r="I304" s="24" t="s">
        <v>114</v>
      </c>
      <c r="J304" s="24" t="s">
        <v>106</v>
      </c>
      <c r="K304" s="24" t="s">
        <v>2111</v>
      </c>
      <c r="L304" s="24" t="s">
        <v>46</v>
      </c>
      <c r="M304" s="24" t="s">
        <v>60</v>
      </c>
      <c r="N304" s="24">
        <v>4</v>
      </c>
      <c r="O304" s="36">
        <v>41250</v>
      </c>
      <c r="P304" s="35">
        <v>0.2</v>
      </c>
      <c r="Q304" s="36">
        <v>132000</v>
      </c>
      <c r="R304" s="34">
        <v>5</v>
      </c>
      <c r="S304" s="24" t="s">
        <v>34</v>
      </c>
      <c r="T304" s="24" t="s">
        <v>49</v>
      </c>
      <c r="U304" s="24" t="s">
        <v>256</v>
      </c>
      <c r="V304" s="24">
        <v>9246715757</v>
      </c>
      <c r="W304" s="24" t="s">
        <v>2100</v>
      </c>
      <c r="X304" s="34">
        <v>12</v>
      </c>
      <c r="Y304" s="24" t="s">
        <v>2112</v>
      </c>
      <c r="Z304" s="30">
        <v>46230</v>
      </c>
      <c r="AA304" s="24" t="s">
        <v>2173</v>
      </c>
      <c r="AB304" s="136" t="str">
        <f t="shared" si="4"/>
        <v>Gold</v>
      </c>
    </row>
    <row r="305" spans="1:28">
      <c r="A305" s="24" t="s">
        <v>1404</v>
      </c>
      <c r="B305" s="24" t="s">
        <v>23</v>
      </c>
      <c r="C305" s="24" t="s">
        <v>92</v>
      </c>
      <c r="D305" s="30">
        <v>46135</v>
      </c>
      <c r="E305" s="30" t="s">
        <v>716</v>
      </c>
      <c r="F305" s="24" t="s">
        <v>27</v>
      </c>
      <c r="G305" s="24" t="s">
        <v>28</v>
      </c>
      <c r="H305" s="30" t="s">
        <v>29</v>
      </c>
      <c r="I305" s="24" t="s">
        <v>30</v>
      </c>
      <c r="J305" s="24" t="s">
        <v>31</v>
      </c>
      <c r="K305" s="24" t="s">
        <v>2111</v>
      </c>
      <c r="L305" s="24" t="s">
        <v>32</v>
      </c>
      <c r="M305" s="24" t="s">
        <v>97</v>
      </c>
      <c r="N305" s="24">
        <v>19</v>
      </c>
      <c r="O305" s="36">
        <v>2625</v>
      </c>
      <c r="P305" s="35">
        <v>0.05</v>
      </c>
      <c r="Q305" s="36">
        <v>47381.25</v>
      </c>
      <c r="R305" s="34">
        <v>1</v>
      </c>
      <c r="S305" s="24" t="s">
        <v>79</v>
      </c>
      <c r="T305" s="24" t="s">
        <v>115</v>
      </c>
      <c r="U305" s="24" t="s">
        <v>50</v>
      </c>
      <c r="V305" s="24">
        <v>9904065774</v>
      </c>
      <c r="W305" s="24" t="s">
        <v>2101</v>
      </c>
      <c r="X305" s="34">
        <v>6</v>
      </c>
      <c r="Y305" s="24" t="s">
        <v>2108</v>
      </c>
      <c r="Z305" s="30">
        <v>46321</v>
      </c>
      <c r="AA305" s="24" t="s">
        <v>2171</v>
      </c>
      <c r="AB305" s="136" t="str">
        <f t="shared" si="4"/>
        <v>Blacklisted</v>
      </c>
    </row>
    <row r="306" spans="1:28">
      <c r="A306" s="24" t="s">
        <v>1408</v>
      </c>
      <c r="B306" s="24" t="s">
        <v>221</v>
      </c>
      <c r="C306" s="24" t="s">
        <v>72</v>
      </c>
      <c r="D306" s="30">
        <v>45718</v>
      </c>
      <c r="E306" s="30" t="s">
        <v>414</v>
      </c>
      <c r="F306" s="24" t="s">
        <v>225</v>
      </c>
      <c r="G306" s="24" t="s">
        <v>76</v>
      </c>
      <c r="H306" s="30" t="s">
        <v>226</v>
      </c>
      <c r="I306" s="24" t="s">
        <v>105</v>
      </c>
      <c r="J306" s="24" t="s">
        <v>106</v>
      </c>
      <c r="K306" s="24" t="s">
        <v>2113</v>
      </c>
      <c r="L306" s="24" t="s">
        <v>46</v>
      </c>
      <c r="M306" s="24" t="s">
        <v>78</v>
      </c>
      <c r="N306" s="24">
        <v>17</v>
      </c>
      <c r="O306" s="36">
        <v>900</v>
      </c>
      <c r="P306" s="35">
        <v>0.15</v>
      </c>
      <c r="Q306" s="36">
        <v>13005</v>
      </c>
      <c r="R306" s="34">
        <v>2</v>
      </c>
      <c r="S306" s="24" t="s">
        <v>2148</v>
      </c>
      <c r="T306" s="24" t="s">
        <v>49</v>
      </c>
      <c r="U306" s="24" t="s">
        <v>228</v>
      </c>
      <c r="V306" s="24">
        <v>9652985385</v>
      </c>
      <c r="W306" s="24" t="s">
        <v>2100</v>
      </c>
      <c r="X306" s="34">
        <v>6</v>
      </c>
      <c r="Y306" s="24" t="s">
        <v>2112</v>
      </c>
      <c r="Z306" s="30">
        <v>45906</v>
      </c>
      <c r="AA306" s="24" t="s">
        <v>2171</v>
      </c>
      <c r="AB306" s="136" t="str">
        <f t="shared" si="4"/>
        <v>Blacklisted</v>
      </c>
    </row>
    <row r="307" spans="1:28">
      <c r="A307" s="24" t="s">
        <v>1412</v>
      </c>
      <c r="B307" s="24" t="s">
        <v>23</v>
      </c>
      <c r="C307" s="24" t="s">
        <v>24</v>
      </c>
      <c r="D307" s="30">
        <v>46062</v>
      </c>
      <c r="E307" s="30" t="s">
        <v>736</v>
      </c>
      <c r="F307" s="24" t="s">
        <v>27</v>
      </c>
      <c r="G307" s="24" t="s">
        <v>28</v>
      </c>
      <c r="H307" s="30" t="s">
        <v>29</v>
      </c>
      <c r="I307" s="24" t="s">
        <v>30</v>
      </c>
      <c r="J307" s="24" t="s">
        <v>31</v>
      </c>
      <c r="K307" s="24" t="s">
        <v>2111</v>
      </c>
      <c r="L307" s="24" t="s">
        <v>32</v>
      </c>
      <c r="M307" s="24" t="s">
        <v>33</v>
      </c>
      <c r="N307" s="24">
        <v>8</v>
      </c>
      <c r="O307" s="36">
        <v>1650</v>
      </c>
      <c r="P307" s="35">
        <v>0.05</v>
      </c>
      <c r="Q307" s="36">
        <v>12540</v>
      </c>
      <c r="R307" s="34">
        <v>3</v>
      </c>
      <c r="S307" s="24" t="s">
        <v>79</v>
      </c>
      <c r="T307" s="24" t="s">
        <v>115</v>
      </c>
      <c r="U307" s="24" t="s">
        <v>50</v>
      </c>
      <c r="V307" s="24">
        <v>9427001508</v>
      </c>
      <c r="W307" s="24" t="s">
        <v>2101</v>
      </c>
      <c r="X307" s="34">
        <v>24</v>
      </c>
      <c r="Y307" s="24" t="s">
        <v>2108</v>
      </c>
      <c r="Z307" s="30">
        <v>46800</v>
      </c>
      <c r="AA307" s="24" t="s">
        <v>2171</v>
      </c>
      <c r="AB307" s="136" t="str">
        <f t="shared" si="4"/>
        <v>Silver</v>
      </c>
    </row>
    <row r="308" spans="1:28">
      <c r="A308" s="24" t="s">
        <v>1415</v>
      </c>
      <c r="B308" s="24" t="s">
        <v>251</v>
      </c>
      <c r="C308" s="24" t="s">
        <v>184</v>
      </c>
      <c r="D308" s="30">
        <v>45704</v>
      </c>
      <c r="E308" s="30" t="s">
        <v>387</v>
      </c>
      <c r="F308" s="24" t="s">
        <v>254</v>
      </c>
      <c r="G308" s="24" t="s">
        <v>28</v>
      </c>
      <c r="H308" s="30" t="s">
        <v>255</v>
      </c>
      <c r="I308" s="24" t="s">
        <v>114</v>
      </c>
      <c r="J308" s="24" t="s">
        <v>106</v>
      </c>
      <c r="K308" s="24" t="s">
        <v>2111</v>
      </c>
      <c r="L308" s="24" t="s">
        <v>46</v>
      </c>
      <c r="M308" s="24" t="s">
        <v>189</v>
      </c>
      <c r="N308" s="24">
        <v>17</v>
      </c>
      <c r="O308" s="36">
        <v>525</v>
      </c>
      <c r="P308" s="35">
        <v>0.2</v>
      </c>
      <c r="Q308" s="36">
        <v>7140</v>
      </c>
      <c r="R308" s="34">
        <v>4</v>
      </c>
      <c r="S308" s="24" t="s">
        <v>2148</v>
      </c>
      <c r="T308" s="24" t="s">
        <v>115</v>
      </c>
      <c r="U308" s="24" t="s">
        <v>256</v>
      </c>
      <c r="V308" s="24">
        <v>9666803655</v>
      </c>
      <c r="W308" s="24" t="s">
        <v>2100</v>
      </c>
      <c r="X308" s="34">
        <v>24</v>
      </c>
      <c r="Y308" s="24" t="s">
        <v>2112</v>
      </c>
      <c r="Z308" s="30">
        <v>46444</v>
      </c>
      <c r="AA308" s="24" t="s">
        <v>2173</v>
      </c>
      <c r="AB308" s="136" t="str">
        <f t="shared" si="4"/>
        <v>Silver</v>
      </c>
    </row>
    <row r="309" spans="1:28">
      <c r="A309" s="24" t="s">
        <v>1417</v>
      </c>
      <c r="B309" s="24" t="s">
        <v>251</v>
      </c>
      <c r="C309" s="24" t="s">
        <v>169</v>
      </c>
      <c r="D309" s="30">
        <v>45897</v>
      </c>
      <c r="E309" s="30" t="s">
        <v>246</v>
      </c>
      <c r="F309" s="24" t="s">
        <v>254</v>
      </c>
      <c r="G309" s="24" t="s">
        <v>28</v>
      </c>
      <c r="H309" s="30" t="s">
        <v>255</v>
      </c>
      <c r="I309" s="24" t="s">
        <v>114</v>
      </c>
      <c r="J309" s="24" t="s">
        <v>106</v>
      </c>
      <c r="K309" s="24" t="s">
        <v>2111</v>
      </c>
      <c r="L309" s="24" t="s">
        <v>32</v>
      </c>
      <c r="M309" s="24" t="s">
        <v>174</v>
      </c>
      <c r="N309" s="24">
        <v>6</v>
      </c>
      <c r="O309" s="36">
        <v>6375</v>
      </c>
      <c r="P309" s="35">
        <v>0.15</v>
      </c>
      <c r="Q309" s="36">
        <v>32512.5</v>
      </c>
      <c r="R309" s="34">
        <v>1</v>
      </c>
      <c r="S309" s="24" t="s">
        <v>34</v>
      </c>
      <c r="T309" s="24" t="s">
        <v>61</v>
      </c>
      <c r="U309" s="24" t="s">
        <v>256</v>
      </c>
      <c r="V309" s="24">
        <v>9134878547</v>
      </c>
      <c r="W309" s="24" t="s">
        <v>2100</v>
      </c>
      <c r="X309" s="34">
        <v>24</v>
      </c>
      <c r="Y309" s="24" t="s">
        <v>2112</v>
      </c>
      <c r="Z309" s="30">
        <v>46638</v>
      </c>
      <c r="AA309" s="24" t="s">
        <v>2173</v>
      </c>
      <c r="AB309" s="136" t="str">
        <f t="shared" si="4"/>
        <v>Blacklisted</v>
      </c>
    </row>
    <row r="310" spans="1:28">
      <c r="A310" s="24" t="s">
        <v>1419</v>
      </c>
      <c r="B310" s="24" t="s">
        <v>53</v>
      </c>
      <c r="C310" s="24" t="s">
        <v>92</v>
      </c>
      <c r="D310" s="30">
        <v>45936</v>
      </c>
      <c r="E310" s="30" t="s">
        <v>345</v>
      </c>
      <c r="F310" s="24" t="s">
        <v>163</v>
      </c>
      <c r="G310" s="24" t="s">
        <v>28</v>
      </c>
      <c r="H310" s="30" t="s">
        <v>58</v>
      </c>
      <c r="I310" s="24" t="s">
        <v>59</v>
      </c>
      <c r="J310" s="24" t="s">
        <v>31</v>
      </c>
      <c r="K310" s="24" t="s">
        <v>2111</v>
      </c>
      <c r="L310" s="24" t="s">
        <v>32</v>
      </c>
      <c r="M310" s="24" t="s">
        <v>97</v>
      </c>
      <c r="N310" s="24">
        <v>3</v>
      </c>
      <c r="O310" s="36">
        <v>2625</v>
      </c>
      <c r="P310" s="35">
        <v>0.1</v>
      </c>
      <c r="Q310" s="36">
        <v>7087.5</v>
      </c>
      <c r="R310" s="34">
        <v>1</v>
      </c>
      <c r="S310" s="24" t="s">
        <v>2148</v>
      </c>
      <c r="T310" s="24" t="s">
        <v>49</v>
      </c>
      <c r="U310" s="24" t="s">
        <v>62</v>
      </c>
      <c r="V310" s="24">
        <v>9253593557</v>
      </c>
      <c r="W310" s="24" t="s">
        <v>2101</v>
      </c>
      <c r="X310" s="34">
        <v>6</v>
      </c>
      <c r="Y310" s="24" t="s">
        <v>2108</v>
      </c>
      <c r="Z310" s="30">
        <v>46123</v>
      </c>
      <c r="AA310" s="24" t="s">
        <v>2172</v>
      </c>
      <c r="AB310" s="136" t="str">
        <f t="shared" si="4"/>
        <v>Blacklisted</v>
      </c>
    </row>
    <row r="311" spans="1:28">
      <c r="A311" s="24" t="s">
        <v>1422</v>
      </c>
      <c r="B311" s="24" t="s">
        <v>71</v>
      </c>
      <c r="C311" s="24" t="s">
        <v>40</v>
      </c>
      <c r="D311" s="30">
        <v>45674</v>
      </c>
      <c r="E311" s="30" t="s">
        <v>783</v>
      </c>
      <c r="F311" s="24" t="s">
        <v>217</v>
      </c>
      <c r="G311" s="24" t="s">
        <v>76</v>
      </c>
      <c r="H311" s="30" t="s">
        <v>77</v>
      </c>
      <c r="I311" s="24" t="s">
        <v>44</v>
      </c>
      <c r="J311" s="24" t="s">
        <v>45</v>
      </c>
      <c r="K311" s="24" t="s">
        <v>2114</v>
      </c>
      <c r="L311" s="24" t="s">
        <v>46</v>
      </c>
      <c r="M311" s="24" t="s">
        <v>47</v>
      </c>
      <c r="N311" s="24">
        <v>2</v>
      </c>
      <c r="O311" s="36">
        <v>9000</v>
      </c>
      <c r="P311" s="35">
        <v>0.2</v>
      </c>
      <c r="Q311" s="36">
        <v>14400</v>
      </c>
      <c r="R311" s="34">
        <v>1</v>
      </c>
      <c r="S311" s="24" t="s">
        <v>79</v>
      </c>
      <c r="T311" s="24" t="s">
        <v>61</v>
      </c>
      <c r="U311" s="24" t="s">
        <v>80</v>
      </c>
      <c r="V311" s="24">
        <v>9183094051</v>
      </c>
      <c r="W311" s="24" t="s">
        <v>2101</v>
      </c>
      <c r="X311" s="34">
        <v>24</v>
      </c>
      <c r="Y311" s="24" t="s">
        <v>2110</v>
      </c>
      <c r="Z311" s="30">
        <v>46416</v>
      </c>
      <c r="AA311" s="24" t="s">
        <v>2173</v>
      </c>
      <c r="AB311" s="136" t="str">
        <f t="shared" si="4"/>
        <v>Blacklisted</v>
      </c>
    </row>
    <row r="312" spans="1:28">
      <c r="A312" s="24" t="s">
        <v>1425</v>
      </c>
      <c r="B312" s="24" t="s">
        <v>221</v>
      </c>
      <c r="C312" s="24" t="s">
        <v>222</v>
      </c>
      <c r="D312" s="30">
        <v>45943</v>
      </c>
      <c r="E312" s="30" t="s">
        <v>1426</v>
      </c>
      <c r="F312" s="24" t="s">
        <v>225</v>
      </c>
      <c r="G312" s="24" t="s">
        <v>76</v>
      </c>
      <c r="H312" s="30" t="s">
        <v>226</v>
      </c>
      <c r="I312" s="24" t="s">
        <v>105</v>
      </c>
      <c r="J312" s="24" t="s">
        <v>106</v>
      </c>
      <c r="K312" s="24" t="s">
        <v>2113</v>
      </c>
      <c r="L312" s="24" t="s">
        <v>122</v>
      </c>
      <c r="M312" s="24" t="s">
        <v>227</v>
      </c>
      <c r="N312" s="24">
        <v>12</v>
      </c>
      <c r="O312" s="36">
        <v>15</v>
      </c>
      <c r="P312" s="35">
        <v>0.2</v>
      </c>
      <c r="Q312" s="36">
        <v>144</v>
      </c>
      <c r="R312" s="34">
        <v>2</v>
      </c>
      <c r="S312" s="24" t="s">
        <v>79</v>
      </c>
      <c r="T312" s="24" t="s">
        <v>49</v>
      </c>
      <c r="U312" s="24" t="s">
        <v>228</v>
      </c>
      <c r="V312" s="24">
        <v>9293147620</v>
      </c>
      <c r="W312" s="24" t="s">
        <v>2103</v>
      </c>
      <c r="X312" s="34">
        <v>12</v>
      </c>
      <c r="Y312" s="24" t="s">
        <v>2112</v>
      </c>
      <c r="Z312" s="30">
        <v>46311</v>
      </c>
      <c r="AA312" s="24" t="s">
        <v>2171</v>
      </c>
      <c r="AB312" s="136" t="str">
        <f t="shared" si="4"/>
        <v>Blacklisted</v>
      </c>
    </row>
    <row r="313" spans="1:28">
      <c r="A313" s="24" t="s">
        <v>1429</v>
      </c>
      <c r="B313" s="24" t="s">
        <v>100</v>
      </c>
      <c r="C313" s="24" t="s">
        <v>40</v>
      </c>
      <c r="D313" s="30">
        <v>46138</v>
      </c>
      <c r="E313" s="30" t="s">
        <v>1430</v>
      </c>
      <c r="F313" s="24" t="s">
        <v>103</v>
      </c>
      <c r="G313" s="24" t="s">
        <v>28</v>
      </c>
      <c r="H313" s="30" t="s">
        <v>104</v>
      </c>
      <c r="I313" s="24" t="s">
        <v>105</v>
      </c>
      <c r="J313" s="24" t="s">
        <v>106</v>
      </c>
      <c r="K313" s="24" t="s">
        <v>2111</v>
      </c>
      <c r="L313" s="24" t="s">
        <v>46</v>
      </c>
      <c r="M313" s="24" t="s">
        <v>47</v>
      </c>
      <c r="N313" s="24">
        <v>20</v>
      </c>
      <c r="O313" s="36">
        <v>9000</v>
      </c>
      <c r="P313" s="35">
        <v>0.15</v>
      </c>
      <c r="Q313" s="36">
        <v>153000</v>
      </c>
      <c r="R313" s="34">
        <v>3</v>
      </c>
      <c r="S313" s="24" t="s">
        <v>34</v>
      </c>
      <c r="T313" s="24" t="s">
        <v>35</v>
      </c>
      <c r="U313" s="24" t="s">
        <v>144</v>
      </c>
      <c r="V313" s="24">
        <v>9755583734</v>
      </c>
      <c r="W313" s="24" t="s">
        <v>2101</v>
      </c>
      <c r="X313" s="34">
        <v>24</v>
      </c>
      <c r="Y313" s="24" t="s">
        <v>2110</v>
      </c>
      <c r="Z313" s="30">
        <v>46871</v>
      </c>
      <c r="AA313" s="24" t="s">
        <v>2175</v>
      </c>
      <c r="AB313" s="136" t="str">
        <f t="shared" si="4"/>
        <v>Gold</v>
      </c>
    </row>
    <row r="314" spans="1:28">
      <c r="A314" s="24" t="s">
        <v>1433</v>
      </c>
      <c r="B314" s="24" t="s">
        <v>53</v>
      </c>
      <c r="C314" s="24" t="s">
        <v>118</v>
      </c>
      <c r="D314" s="30">
        <v>46105</v>
      </c>
      <c r="E314" s="30" t="s">
        <v>740</v>
      </c>
      <c r="F314" s="24" t="s">
        <v>163</v>
      </c>
      <c r="G314" s="24" t="s">
        <v>28</v>
      </c>
      <c r="H314" s="30" t="s">
        <v>58</v>
      </c>
      <c r="I314" s="24" t="s">
        <v>59</v>
      </c>
      <c r="J314" s="24" t="s">
        <v>31</v>
      </c>
      <c r="K314" s="24" t="s">
        <v>2111</v>
      </c>
      <c r="L314" s="24" t="s">
        <v>122</v>
      </c>
      <c r="M314" s="24" t="s">
        <v>123</v>
      </c>
      <c r="N314" s="24">
        <v>13</v>
      </c>
      <c r="O314" s="36">
        <v>45</v>
      </c>
      <c r="P314" s="35">
        <v>0.1</v>
      </c>
      <c r="Q314" s="36">
        <v>526.5</v>
      </c>
      <c r="R314" s="34">
        <v>5</v>
      </c>
      <c r="S314" s="24" t="s">
        <v>34</v>
      </c>
      <c r="T314" s="24" t="s">
        <v>35</v>
      </c>
      <c r="U314" s="24" t="s">
        <v>62</v>
      </c>
      <c r="V314" s="24">
        <v>9186592813</v>
      </c>
      <c r="W314" s="24" t="s">
        <v>2102</v>
      </c>
      <c r="X314" s="34">
        <v>12</v>
      </c>
      <c r="Y314" s="24" t="s">
        <v>2108</v>
      </c>
      <c r="Z314" s="30">
        <v>46481</v>
      </c>
      <c r="AA314" s="24" t="s">
        <v>2172</v>
      </c>
      <c r="AB314" s="136" t="str">
        <f t="shared" si="4"/>
        <v>Silver</v>
      </c>
    </row>
    <row r="315" spans="1:28">
      <c r="A315" s="24" t="s">
        <v>1436</v>
      </c>
      <c r="B315" s="24" t="s">
        <v>71</v>
      </c>
      <c r="C315" s="24" t="s">
        <v>54</v>
      </c>
      <c r="D315" s="30">
        <v>45785</v>
      </c>
      <c r="E315" s="30" t="s">
        <v>1294</v>
      </c>
      <c r="F315" s="24" t="s">
        <v>217</v>
      </c>
      <c r="G315" s="24" t="s">
        <v>76</v>
      </c>
      <c r="H315" s="30" t="s">
        <v>77</v>
      </c>
      <c r="I315" s="24" t="s">
        <v>44</v>
      </c>
      <c r="J315" s="24" t="s">
        <v>45</v>
      </c>
      <c r="K315" s="24" t="s">
        <v>2114</v>
      </c>
      <c r="L315" s="24" t="s">
        <v>46</v>
      </c>
      <c r="M315" s="24" t="s">
        <v>60</v>
      </c>
      <c r="N315" s="24">
        <v>13</v>
      </c>
      <c r="O315" s="36">
        <v>41250</v>
      </c>
      <c r="P315" s="35">
        <v>0.05</v>
      </c>
      <c r="Q315" s="36">
        <v>509437.5</v>
      </c>
      <c r="R315" s="34">
        <v>1</v>
      </c>
      <c r="S315" s="24" t="s">
        <v>2149</v>
      </c>
      <c r="T315" s="24" t="s">
        <v>151</v>
      </c>
      <c r="U315" s="24" t="s">
        <v>80</v>
      </c>
      <c r="V315" s="24">
        <v>9203482008</v>
      </c>
      <c r="W315" s="24" t="s">
        <v>2100</v>
      </c>
      <c r="X315" s="34">
        <v>12</v>
      </c>
      <c r="Y315" s="24" t="s">
        <v>2110</v>
      </c>
      <c r="Z315" s="30">
        <v>46161</v>
      </c>
      <c r="AA315" s="24" t="s">
        <v>2173</v>
      </c>
      <c r="AB315" s="136" t="str">
        <f t="shared" si="4"/>
        <v>Blacklisted</v>
      </c>
    </row>
    <row r="316" spans="1:28">
      <c r="A316" s="24" t="s">
        <v>1440</v>
      </c>
      <c r="B316" s="24" t="s">
        <v>100</v>
      </c>
      <c r="C316" s="24" t="s">
        <v>72</v>
      </c>
      <c r="D316" s="30">
        <v>46088</v>
      </c>
      <c r="E316" s="30" t="s">
        <v>798</v>
      </c>
      <c r="F316" s="24" t="s">
        <v>103</v>
      </c>
      <c r="G316" s="24" t="s">
        <v>28</v>
      </c>
      <c r="H316" s="30" t="s">
        <v>104</v>
      </c>
      <c r="I316" s="24" t="s">
        <v>105</v>
      </c>
      <c r="J316" s="24" t="s">
        <v>106</v>
      </c>
      <c r="K316" s="24" t="s">
        <v>2111</v>
      </c>
      <c r="L316" s="24" t="s">
        <v>46</v>
      </c>
      <c r="M316" s="24" t="s">
        <v>78</v>
      </c>
      <c r="N316" s="24">
        <v>7</v>
      </c>
      <c r="O316" s="36">
        <v>900</v>
      </c>
      <c r="P316" s="35">
        <v>0.15</v>
      </c>
      <c r="Q316" s="36">
        <v>5355</v>
      </c>
      <c r="R316" s="34">
        <v>5</v>
      </c>
      <c r="S316" s="24" t="s">
        <v>2149</v>
      </c>
      <c r="T316" s="24" t="s">
        <v>49</v>
      </c>
      <c r="U316" s="24" t="s">
        <v>144</v>
      </c>
      <c r="V316" s="24">
        <v>9829888777</v>
      </c>
      <c r="W316" s="24" t="s">
        <v>2100</v>
      </c>
      <c r="X316" s="34">
        <v>6</v>
      </c>
      <c r="Y316" s="24" t="s">
        <v>2110</v>
      </c>
      <c r="Z316" s="30">
        <v>46275</v>
      </c>
      <c r="AA316" s="24" t="s">
        <v>2175</v>
      </c>
      <c r="AB316" s="136" t="str">
        <f t="shared" si="4"/>
        <v>Silver</v>
      </c>
    </row>
    <row r="317" spans="1:28">
      <c r="A317" s="24" t="s">
        <v>1443</v>
      </c>
      <c r="B317" s="24" t="s">
        <v>83</v>
      </c>
      <c r="C317" s="24" t="s">
        <v>40</v>
      </c>
      <c r="D317" s="30">
        <v>46017</v>
      </c>
      <c r="E317" s="30" t="s">
        <v>1444</v>
      </c>
      <c r="F317" s="24" t="s">
        <v>180</v>
      </c>
      <c r="G317" s="24" t="s">
        <v>76</v>
      </c>
      <c r="H317" s="30" t="s">
        <v>87</v>
      </c>
      <c r="I317" s="24" t="s">
        <v>30</v>
      </c>
      <c r="J317" s="24" t="s">
        <v>31</v>
      </c>
      <c r="K317" s="24" t="s">
        <v>2109</v>
      </c>
      <c r="L317" s="24" t="s">
        <v>46</v>
      </c>
      <c r="M317" s="24" t="s">
        <v>47</v>
      </c>
      <c r="N317" s="24">
        <v>17</v>
      </c>
      <c r="O317" s="36">
        <v>9000</v>
      </c>
      <c r="P317" s="35">
        <v>0.05</v>
      </c>
      <c r="Q317" s="36">
        <v>145350</v>
      </c>
      <c r="R317" s="34">
        <v>1</v>
      </c>
      <c r="S317" s="24" t="s">
        <v>34</v>
      </c>
      <c r="T317" s="24" t="s">
        <v>61</v>
      </c>
      <c r="U317" s="24" t="s">
        <v>89</v>
      </c>
      <c r="V317" s="24">
        <v>9566101317</v>
      </c>
      <c r="W317" s="24" t="s">
        <v>2101</v>
      </c>
      <c r="X317" s="34">
        <v>24</v>
      </c>
      <c r="Y317" s="24" t="s">
        <v>2108</v>
      </c>
      <c r="Z317" s="30">
        <v>46751</v>
      </c>
      <c r="AA317" s="24" t="s">
        <v>2174</v>
      </c>
      <c r="AB317" s="136" t="str">
        <f t="shared" si="4"/>
        <v>Blacklisted</v>
      </c>
    </row>
    <row r="318" spans="1:28">
      <c r="A318" s="24" t="s">
        <v>1447</v>
      </c>
      <c r="B318" s="24" t="s">
        <v>83</v>
      </c>
      <c r="C318" s="24" t="s">
        <v>222</v>
      </c>
      <c r="D318" s="30">
        <v>46131</v>
      </c>
      <c r="E318" s="30" t="s">
        <v>517</v>
      </c>
      <c r="F318" s="24" t="s">
        <v>180</v>
      </c>
      <c r="G318" s="24" t="s">
        <v>76</v>
      </c>
      <c r="H318" s="30" t="s">
        <v>87</v>
      </c>
      <c r="I318" s="24" t="s">
        <v>30</v>
      </c>
      <c r="J318" s="24" t="s">
        <v>31</v>
      </c>
      <c r="K318" s="24" t="s">
        <v>2109</v>
      </c>
      <c r="L318" s="24" t="s">
        <v>122</v>
      </c>
      <c r="M318" s="24" t="s">
        <v>227</v>
      </c>
      <c r="N318" s="24">
        <v>10</v>
      </c>
      <c r="O318" s="36">
        <v>15</v>
      </c>
      <c r="P318" s="35">
        <v>0.05</v>
      </c>
      <c r="Q318" s="36">
        <v>142.5</v>
      </c>
      <c r="R318" s="34">
        <v>2</v>
      </c>
      <c r="S318" s="24" t="s">
        <v>34</v>
      </c>
      <c r="T318" s="24" t="s">
        <v>61</v>
      </c>
      <c r="U318" s="24" t="s">
        <v>89</v>
      </c>
      <c r="V318" s="24">
        <v>9706240823</v>
      </c>
      <c r="W318" s="24" t="s">
        <v>2103</v>
      </c>
      <c r="X318" s="34">
        <v>12</v>
      </c>
      <c r="Y318" s="24" t="s">
        <v>2108</v>
      </c>
      <c r="Z318" s="30">
        <v>46502</v>
      </c>
      <c r="AA318" s="24" t="s">
        <v>2174</v>
      </c>
      <c r="AB318" s="136" t="str">
        <f t="shared" si="4"/>
        <v>Blacklisted</v>
      </c>
    </row>
    <row r="319" spans="1:28">
      <c r="A319" s="24" t="s">
        <v>1450</v>
      </c>
      <c r="B319" s="24" t="s">
        <v>168</v>
      </c>
      <c r="C319" s="24" t="s">
        <v>24</v>
      </c>
      <c r="D319" s="30">
        <v>45966</v>
      </c>
      <c r="E319" s="30" t="s">
        <v>1451</v>
      </c>
      <c r="F319" s="24" t="s">
        <v>361</v>
      </c>
      <c r="G319" s="24" t="s">
        <v>28</v>
      </c>
      <c r="H319" s="30" t="s">
        <v>173</v>
      </c>
      <c r="I319" s="24" t="s">
        <v>114</v>
      </c>
      <c r="J319" s="24" t="s">
        <v>106</v>
      </c>
      <c r="K319" s="24" t="s">
        <v>2111</v>
      </c>
      <c r="L319" s="24" t="s">
        <v>32</v>
      </c>
      <c r="M319" s="24" t="s">
        <v>33</v>
      </c>
      <c r="N319" s="24">
        <v>11</v>
      </c>
      <c r="O319" s="36">
        <v>1650</v>
      </c>
      <c r="P319" s="35">
        <v>0.05</v>
      </c>
      <c r="Q319" s="36">
        <v>17242.5</v>
      </c>
      <c r="R319" s="34">
        <v>5</v>
      </c>
      <c r="S319" s="24" t="s">
        <v>79</v>
      </c>
      <c r="T319" s="24" t="s">
        <v>49</v>
      </c>
      <c r="U319" s="24" t="s">
        <v>175</v>
      </c>
      <c r="V319" s="24">
        <v>9259943760</v>
      </c>
      <c r="W319" s="24" t="s">
        <v>2101</v>
      </c>
      <c r="X319" s="34">
        <v>24</v>
      </c>
      <c r="Y319" s="24" t="s">
        <v>2112</v>
      </c>
      <c r="Z319" s="30">
        <v>46699</v>
      </c>
      <c r="AA319" s="24" t="s">
        <v>2177</v>
      </c>
      <c r="AB319" s="136" t="str">
        <f t="shared" si="4"/>
        <v>Silver</v>
      </c>
    </row>
    <row r="320" spans="1:28">
      <c r="A320" s="24" t="s">
        <v>1454</v>
      </c>
      <c r="B320" s="24" t="s">
        <v>100</v>
      </c>
      <c r="C320" s="24" t="s">
        <v>118</v>
      </c>
      <c r="D320" s="30">
        <v>46077</v>
      </c>
      <c r="E320" s="30" t="s">
        <v>178</v>
      </c>
      <c r="F320" s="24" t="s">
        <v>103</v>
      </c>
      <c r="G320" s="24" t="s">
        <v>28</v>
      </c>
      <c r="H320" s="30" t="s">
        <v>104</v>
      </c>
      <c r="I320" s="24" t="s">
        <v>105</v>
      </c>
      <c r="J320" s="24" t="s">
        <v>106</v>
      </c>
      <c r="K320" s="24" t="s">
        <v>2111</v>
      </c>
      <c r="L320" s="24" t="s">
        <v>122</v>
      </c>
      <c r="M320" s="24" t="s">
        <v>123</v>
      </c>
      <c r="N320" s="24">
        <v>8</v>
      </c>
      <c r="O320" s="36">
        <v>45</v>
      </c>
      <c r="P320" s="35">
        <v>0.15</v>
      </c>
      <c r="Q320" s="36">
        <v>306</v>
      </c>
      <c r="R320" s="34">
        <v>4</v>
      </c>
      <c r="S320" s="24" t="s">
        <v>34</v>
      </c>
      <c r="T320" s="24" t="s">
        <v>49</v>
      </c>
      <c r="U320" s="24" t="s">
        <v>144</v>
      </c>
      <c r="V320" s="24">
        <v>9527326977</v>
      </c>
      <c r="W320" s="24" t="s">
        <v>2102</v>
      </c>
      <c r="X320" s="34">
        <v>12</v>
      </c>
      <c r="Y320" s="24" t="s">
        <v>2110</v>
      </c>
      <c r="Z320" s="30">
        <v>46446</v>
      </c>
      <c r="AA320" s="24" t="s">
        <v>2175</v>
      </c>
      <c r="AB320" s="136" t="str">
        <f t="shared" si="4"/>
        <v>Silver</v>
      </c>
    </row>
    <row r="321" spans="1:28">
      <c r="A321" s="24" t="s">
        <v>1457</v>
      </c>
      <c r="B321" s="24" t="s">
        <v>221</v>
      </c>
      <c r="C321" s="24" t="s">
        <v>259</v>
      </c>
      <c r="D321" s="30">
        <v>45739</v>
      </c>
      <c r="E321" s="30" t="s">
        <v>119</v>
      </c>
      <c r="F321" s="24" t="s">
        <v>225</v>
      </c>
      <c r="G321" s="24" t="s">
        <v>76</v>
      </c>
      <c r="H321" s="30" t="s">
        <v>226</v>
      </c>
      <c r="I321" s="24" t="s">
        <v>105</v>
      </c>
      <c r="J321" s="24" t="s">
        <v>106</v>
      </c>
      <c r="K321" s="24" t="s">
        <v>2113</v>
      </c>
      <c r="L321" s="24" t="s">
        <v>122</v>
      </c>
      <c r="M321" s="24" t="s">
        <v>263</v>
      </c>
      <c r="N321" s="24">
        <v>17</v>
      </c>
      <c r="O321" s="36">
        <v>33.75</v>
      </c>
      <c r="P321" s="35">
        <v>0.15</v>
      </c>
      <c r="Q321" s="36">
        <v>487.6875</v>
      </c>
      <c r="R321" s="34">
        <v>2</v>
      </c>
      <c r="S321" s="24" t="s">
        <v>2149</v>
      </c>
      <c r="T321" s="24" t="s">
        <v>151</v>
      </c>
      <c r="U321" s="24" t="s">
        <v>228</v>
      </c>
      <c r="V321" s="24">
        <v>9886970990</v>
      </c>
      <c r="W321" s="24" t="s">
        <v>2100</v>
      </c>
      <c r="X321" s="34">
        <v>12</v>
      </c>
      <c r="Y321" s="24" t="s">
        <v>2112</v>
      </c>
      <c r="Z321" s="30">
        <v>46106</v>
      </c>
      <c r="AA321" s="24" t="s">
        <v>2171</v>
      </c>
      <c r="AB321" s="136" t="str">
        <f t="shared" si="4"/>
        <v>Blacklisted</v>
      </c>
    </row>
    <row r="322" spans="1:28">
      <c r="A322" s="24" t="s">
        <v>1460</v>
      </c>
      <c r="B322" s="24" t="s">
        <v>327</v>
      </c>
      <c r="C322" s="24" t="s">
        <v>184</v>
      </c>
      <c r="D322" s="30">
        <v>45715</v>
      </c>
      <c r="E322" s="30" t="s">
        <v>1461</v>
      </c>
      <c r="F322" s="24" t="s">
        <v>394</v>
      </c>
      <c r="G322" s="24" t="s">
        <v>76</v>
      </c>
      <c r="H322" s="30" t="s">
        <v>331</v>
      </c>
      <c r="I322" s="24" t="s">
        <v>114</v>
      </c>
      <c r="J322" s="24" t="s">
        <v>106</v>
      </c>
      <c r="K322" s="24" t="s">
        <v>2109</v>
      </c>
      <c r="L322" s="24" t="s">
        <v>46</v>
      </c>
      <c r="M322" s="24" t="s">
        <v>189</v>
      </c>
      <c r="N322" s="24">
        <v>14</v>
      </c>
      <c r="O322" s="36">
        <v>525</v>
      </c>
      <c r="P322" s="35">
        <v>0.15</v>
      </c>
      <c r="Q322" s="36">
        <v>6247.5</v>
      </c>
      <c r="R322" s="34">
        <v>1</v>
      </c>
      <c r="S322" s="24" t="s">
        <v>79</v>
      </c>
      <c r="T322" s="24" t="s">
        <v>115</v>
      </c>
      <c r="U322" s="24" t="s">
        <v>332</v>
      </c>
      <c r="V322" s="24">
        <v>9106930369</v>
      </c>
      <c r="W322" s="24" t="s">
        <v>2100</v>
      </c>
      <c r="X322" s="34">
        <v>24</v>
      </c>
      <c r="Y322" s="24" t="s">
        <v>2108</v>
      </c>
      <c r="Z322" s="30">
        <v>46456</v>
      </c>
      <c r="AA322" s="24" t="s">
        <v>2171</v>
      </c>
      <c r="AB322" s="136" t="str">
        <f t="shared" si="4"/>
        <v>Blacklisted</v>
      </c>
    </row>
    <row r="323" spans="1:28">
      <c r="A323" s="24" t="s">
        <v>1464</v>
      </c>
      <c r="B323" s="24" t="s">
        <v>83</v>
      </c>
      <c r="C323" s="24" t="s">
        <v>72</v>
      </c>
      <c r="D323" s="30">
        <v>45811</v>
      </c>
      <c r="E323" s="30" t="s">
        <v>948</v>
      </c>
      <c r="F323" s="24" t="s">
        <v>180</v>
      </c>
      <c r="G323" s="24" t="s">
        <v>76</v>
      </c>
      <c r="H323" s="30" t="s">
        <v>87</v>
      </c>
      <c r="I323" s="24" t="s">
        <v>30</v>
      </c>
      <c r="J323" s="24" t="s">
        <v>31</v>
      </c>
      <c r="K323" s="24" t="s">
        <v>2109</v>
      </c>
      <c r="L323" s="24" t="s">
        <v>46</v>
      </c>
      <c r="M323" s="24" t="s">
        <v>78</v>
      </c>
      <c r="N323" s="24">
        <v>3</v>
      </c>
      <c r="O323" s="36">
        <v>900</v>
      </c>
      <c r="P323" s="35">
        <v>0.05</v>
      </c>
      <c r="Q323" s="36">
        <v>2565</v>
      </c>
      <c r="R323" s="34">
        <v>3</v>
      </c>
      <c r="S323" s="24" t="s">
        <v>2148</v>
      </c>
      <c r="T323" s="24" t="s">
        <v>151</v>
      </c>
      <c r="U323" s="24" t="s">
        <v>89</v>
      </c>
      <c r="V323" s="24">
        <v>9342009114</v>
      </c>
      <c r="W323" s="24" t="s">
        <v>2100</v>
      </c>
      <c r="X323" s="34">
        <v>6</v>
      </c>
      <c r="Y323" s="24" t="s">
        <v>2108</v>
      </c>
      <c r="Z323" s="30">
        <v>46005</v>
      </c>
      <c r="AA323" s="24" t="s">
        <v>2174</v>
      </c>
      <c r="AB323" s="136" t="str">
        <f t="shared" ref="AB323:AB386" si="5">IF(R323&lt;=2, "Blacklisted", IF(AND(Q323&gt;=100000, R323&gt;=4, P323&lt;=10%), "Platinum", IF(AND(Q323&gt;=50000, R323&gt;=3), "Gold", IF(Q323&lt;50000, "Silver", "Blacklisted"))))</f>
        <v>Silver</v>
      </c>
    </row>
    <row r="324" spans="1:28">
      <c r="A324" s="24" t="s">
        <v>1468</v>
      </c>
      <c r="B324" s="24" t="s">
        <v>23</v>
      </c>
      <c r="C324" s="24" t="s">
        <v>72</v>
      </c>
      <c r="D324" s="30">
        <v>45845</v>
      </c>
      <c r="E324" s="30" t="s">
        <v>914</v>
      </c>
      <c r="F324" s="24" t="s">
        <v>27</v>
      </c>
      <c r="G324" s="24" t="s">
        <v>28</v>
      </c>
      <c r="H324" s="30" t="s">
        <v>29</v>
      </c>
      <c r="I324" s="24" t="s">
        <v>30</v>
      </c>
      <c r="J324" s="24" t="s">
        <v>31</v>
      </c>
      <c r="K324" s="24" t="s">
        <v>2111</v>
      </c>
      <c r="L324" s="24" t="s">
        <v>46</v>
      </c>
      <c r="M324" s="24" t="s">
        <v>78</v>
      </c>
      <c r="N324" s="24">
        <v>9</v>
      </c>
      <c r="O324" s="36">
        <v>900</v>
      </c>
      <c r="P324" s="35">
        <v>0.15</v>
      </c>
      <c r="Q324" s="36">
        <v>6885</v>
      </c>
      <c r="R324" s="34">
        <v>3</v>
      </c>
      <c r="S324" s="24" t="s">
        <v>34</v>
      </c>
      <c r="T324" s="24" t="s">
        <v>49</v>
      </c>
      <c r="U324" s="24" t="s">
        <v>50</v>
      </c>
      <c r="V324" s="24">
        <v>9992739960</v>
      </c>
      <c r="W324" s="24" t="s">
        <v>2100</v>
      </c>
      <c r="X324" s="34">
        <v>6</v>
      </c>
      <c r="Y324" s="24" t="s">
        <v>2108</v>
      </c>
      <c r="Z324" s="30">
        <v>46038</v>
      </c>
      <c r="AA324" s="24" t="s">
        <v>2171</v>
      </c>
      <c r="AB324" s="136" t="str">
        <f t="shared" si="5"/>
        <v>Silver</v>
      </c>
    </row>
    <row r="325" spans="1:28">
      <c r="A325" s="24" t="s">
        <v>1471</v>
      </c>
      <c r="B325" s="24" t="s">
        <v>251</v>
      </c>
      <c r="C325" s="24" t="s">
        <v>222</v>
      </c>
      <c r="D325" s="30">
        <v>46132</v>
      </c>
      <c r="E325" s="30" t="s">
        <v>360</v>
      </c>
      <c r="F325" s="24" t="s">
        <v>254</v>
      </c>
      <c r="G325" s="24" t="s">
        <v>28</v>
      </c>
      <c r="H325" s="30" t="s">
        <v>255</v>
      </c>
      <c r="I325" s="24" t="s">
        <v>114</v>
      </c>
      <c r="J325" s="24" t="s">
        <v>106</v>
      </c>
      <c r="K325" s="24" t="s">
        <v>2111</v>
      </c>
      <c r="L325" s="24" t="s">
        <v>122</v>
      </c>
      <c r="M325" s="24" t="s">
        <v>227</v>
      </c>
      <c r="N325" s="24">
        <v>5</v>
      </c>
      <c r="O325" s="36">
        <v>15</v>
      </c>
      <c r="P325" s="35">
        <v>0.05</v>
      </c>
      <c r="Q325" s="36">
        <v>71.25</v>
      </c>
      <c r="R325" s="34">
        <v>4</v>
      </c>
      <c r="S325" s="24" t="s">
        <v>34</v>
      </c>
      <c r="T325" s="24" t="s">
        <v>151</v>
      </c>
      <c r="U325" s="24" t="s">
        <v>256</v>
      </c>
      <c r="V325" s="24">
        <v>9241987748</v>
      </c>
      <c r="W325" s="24" t="s">
        <v>2103</v>
      </c>
      <c r="X325" s="34">
        <v>12</v>
      </c>
      <c r="Y325" s="24" t="s">
        <v>2112</v>
      </c>
      <c r="Z325" s="30">
        <v>46498</v>
      </c>
      <c r="AA325" s="24" t="s">
        <v>2173</v>
      </c>
      <c r="AB325" s="136" t="str">
        <f t="shared" si="5"/>
        <v>Silver</v>
      </c>
    </row>
    <row r="326" spans="1:28">
      <c r="A326" s="24" t="s">
        <v>1474</v>
      </c>
      <c r="B326" s="24" t="s">
        <v>251</v>
      </c>
      <c r="C326" s="24" t="s">
        <v>24</v>
      </c>
      <c r="D326" s="30">
        <v>46001</v>
      </c>
      <c r="E326" s="30" t="s">
        <v>1476</v>
      </c>
      <c r="F326" s="24" t="s">
        <v>254</v>
      </c>
      <c r="G326" s="24" t="s">
        <v>28</v>
      </c>
      <c r="H326" s="30" t="s">
        <v>255</v>
      </c>
      <c r="I326" s="24" t="s">
        <v>114</v>
      </c>
      <c r="J326" s="24" t="s">
        <v>106</v>
      </c>
      <c r="K326" s="24" t="s">
        <v>2111</v>
      </c>
      <c r="L326" s="24" t="s">
        <v>32</v>
      </c>
      <c r="M326" s="24" t="s">
        <v>33</v>
      </c>
      <c r="N326" s="24">
        <v>8</v>
      </c>
      <c r="O326" s="36">
        <v>1650</v>
      </c>
      <c r="P326" s="35">
        <v>0.1</v>
      </c>
      <c r="Q326" s="36">
        <v>11880</v>
      </c>
      <c r="R326" s="34">
        <v>4</v>
      </c>
      <c r="S326" s="24" t="s">
        <v>2149</v>
      </c>
      <c r="T326" s="24" t="s">
        <v>61</v>
      </c>
      <c r="U326" s="24" t="s">
        <v>256</v>
      </c>
      <c r="V326" s="24">
        <v>9571990711</v>
      </c>
      <c r="W326" s="24" t="s">
        <v>2101</v>
      </c>
      <c r="X326" s="34">
        <v>24</v>
      </c>
      <c r="Y326" s="24" t="s">
        <v>2112</v>
      </c>
      <c r="Z326" s="30">
        <v>46742</v>
      </c>
      <c r="AA326" s="24" t="s">
        <v>2173</v>
      </c>
      <c r="AB326" s="136" t="str">
        <f t="shared" si="5"/>
        <v>Silver</v>
      </c>
    </row>
    <row r="327" spans="1:28">
      <c r="A327" s="24" t="s">
        <v>1479</v>
      </c>
      <c r="B327" s="24" t="s">
        <v>251</v>
      </c>
      <c r="C327" s="24" t="s">
        <v>184</v>
      </c>
      <c r="D327" s="30">
        <v>46089</v>
      </c>
      <c r="E327" s="30" t="s">
        <v>1480</v>
      </c>
      <c r="F327" s="24" t="s">
        <v>254</v>
      </c>
      <c r="G327" s="24" t="s">
        <v>28</v>
      </c>
      <c r="H327" s="30" t="s">
        <v>255</v>
      </c>
      <c r="I327" s="24" t="s">
        <v>114</v>
      </c>
      <c r="J327" s="24" t="s">
        <v>106</v>
      </c>
      <c r="K327" s="24" t="s">
        <v>2111</v>
      </c>
      <c r="L327" s="24" t="s">
        <v>46</v>
      </c>
      <c r="M327" s="24" t="s">
        <v>189</v>
      </c>
      <c r="N327" s="24">
        <v>10</v>
      </c>
      <c r="O327" s="36">
        <v>525</v>
      </c>
      <c r="P327" s="35">
        <v>0.2</v>
      </c>
      <c r="Q327" s="36">
        <v>4200</v>
      </c>
      <c r="R327" s="34">
        <v>1</v>
      </c>
      <c r="S327" s="24" t="s">
        <v>2149</v>
      </c>
      <c r="T327" s="24" t="s">
        <v>115</v>
      </c>
      <c r="U327" s="24" t="s">
        <v>256</v>
      </c>
      <c r="V327" s="24">
        <v>9219231183</v>
      </c>
      <c r="W327" s="24" t="s">
        <v>2100</v>
      </c>
      <c r="X327" s="34">
        <v>24</v>
      </c>
      <c r="Y327" s="24" t="s">
        <v>2112</v>
      </c>
      <c r="Z327" s="30">
        <v>46824</v>
      </c>
      <c r="AA327" s="24" t="s">
        <v>2173</v>
      </c>
      <c r="AB327" s="136" t="str">
        <f t="shared" si="5"/>
        <v>Blacklisted</v>
      </c>
    </row>
    <row r="328" spans="1:28">
      <c r="A328" s="24" t="s">
        <v>1483</v>
      </c>
      <c r="B328" s="24" t="s">
        <v>83</v>
      </c>
      <c r="C328" s="24" t="s">
        <v>184</v>
      </c>
      <c r="D328" s="30">
        <v>45986</v>
      </c>
      <c r="E328" s="30" t="s">
        <v>1485</v>
      </c>
      <c r="F328" s="24" t="s">
        <v>180</v>
      </c>
      <c r="G328" s="24" t="s">
        <v>76</v>
      </c>
      <c r="H328" s="30" t="s">
        <v>87</v>
      </c>
      <c r="I328" s="24" t="s">
        <v>30</v>
      </c>
      <c r="J328" s="24" t="s">
        <v>31</v>
      </c>
      <c r="K328" s="24" t="s">
        <v>2109</v>
      </c>
      <c r="L328" s="24" t="s">
        <v>46</v>
      </c>
      <c r="M328" s="24" t="s">
        <v>189</v>
      </c>
      <c r="N328" s="24">
        <v>2</v>
      </c>
      <c r="O328" s="36">
        <v>525</v>
      </c>
      <c r="P328" s="35">
        <v>0.2</v>
      </c>
      <c r="Q328" s="36">
        <v>840</v>
      </c>
      <c r="R328" s="34">
        <v>2</v>
      </c>
      <c r="S328" s="24" t="s">
        <v>34</v>
      </c>
      <c r="T328" s="24" t="s">
        <v>115</v>
      </c>
      <c r="U328" s="24" t="s">
        <v>89</v>
      </c>
      <c r="V328" s="24">
        <v>9847386174</v>
      </c>
      <c r="W328" s="24" t="s">
        <v>2100</v>
      </c>
      <c r="X328" s="34">
        <v>24</v>
      </c>
      <c r="Y328" s="24" t="s">
        <v>2108</v>
      </c>
      <c r="Z328" s="30">
        <v>46719</v>
      </c>
      <c r="AA328" s="24" t="s">
        <v>2174</v>
      </c>
      <c r="AB328" s="136" t="str">
        <f t="shared" si="5"/>
        <v>Blacklisted</v>
      </c>
    </row>
    <row r="329" spans="1:28">
      <c r="A329" s="24" t="s">
        <v>1488</v>
      </c>
      <c r="B329" s="24" t="s">
        <v>221</v>
      </c>
      <c r="C329" s="24" t="s">
        <v>92</v>
      </c>
      <c r="D329" s="30">
        <v>45827</v>
      </c>
      <c r="E329" s="30" t="s">
        <v>965</v>
      </c>
      <c r="F329" s="24" t="s">
        <v>225</v>
      </c>
      <c r="G329" s="24" t="s">
        <v>76</v>
      </c>
      <c r="H329" s="30" t="s">
        <v>226</v>
      </c>
      <c r="I329" s="24" t="s">
        <v>105</v>
      </c>
      <c r="J329" s="24" t="s">
        <v>106</v>
      </c>
      <c r="K329" s="24" t="s">
        <v>2113</v>
      </c>
      <c r="L329" s="24" t="s">
        <v>32</v>
      </c>
      <c r="M329" s="24" t="s">
        <v>97</v>
      </c>
      <c r="N329" s="24">
        <v>16</v>
      </c>
      <c r="O329" s="36">
        <v>2625</v>
      </c>
      <c r="P329" s="35">
        <v>0.2</v>
      </c>
      <c r="Q329" s="36">
        <v>33600</v>
      </c>
      <c r="R329" s="34">
        <v>2</v>
      </c>
      <c r="S329" s="24" t="s">
        <v>2149</v>
      </c>
      <c r="T329" s="24" t="s">
        <v>35</v>
      </c>
      <c r="U329" s="24" t="s">
        <v>228</v>
      </c>
      <c r="V329" s="24">
        <v>9941274924</v>
      </c>
      <c r="W329" s="24" t="s">
        <v>2101</v>
      </c>
      <c r="X329" s="34">
        <v>6</v>
      </c>
      <c r="Y329" s="24" t="s">
        <v>2112</v>
      </c>
      <c r="Z329" s="30">
        <v>46019</v>
      </c>
      <c r="AA329" s="24" t="s">
        <v>2171</v>
      </c>
      <c r="AB329" s="136" t="str">
        <f t="shared" si="5"/>
        <v>Blacklisted</v>
      </c>
    </row>
    <row r="330" spans="1:28">
      <c r="A330" s="24" t="s">
        <v>1491</v>
      </c>
      <c r="B330" s="24" t="s">
        <v>168</v>
      </c>
      <c r="C330" s="24" t="s">
        <v>92</v>
      </c>
      <c r="D330" s="30">
        <v>45860</v>
      </c>
      <c r="E330" s="30" t="s">
        <v>756</v>
      </c>
      <c r="F330" s="24" t="s">
        <v>361</v>
      </c>
      <c r="G330" s="24" t="s">
        <v>28</v>
      </c>
      <c r="H330" s="30" t="s">
        <v>173</v>
      </c>
      <c r="I330" s="24" t="s">
        <v>114</v>
      </c>
      <c r="J330" s="24" t="s">
        <v>106</v>
      </c>
      <c r="K330" s="24" t="s">
        <v>2111</v>
      </c>
      <c r="L330" s="24" t="s">
        <v>32</v>
      </c>
      <c r="M330" s="24" t="s">
        <v>97</v>
      </c>
      <c r="N330" s="24">
        <v>9</v>
      </c>
      <c r="O330" s="36">
        <v>2625</v>
      </c>
      <c r="P330" s="35">
        <v>0.2</v>
      </c>
      <c r="Q330" s="36">
        <v>18900</v>
      </c>
      <c r="R330" s="34">
        <v>1</v>
      </c>
      <c r="S330" s="24" t="s">
        <v>79</v>
      </c>
      <c r="T330" s="24" t="s">
        <v>49</v>
      </c>
      <c r="U330" s="24" t="s">
        <v>175</v>
      </c>
      <c r="V330" s="24">
        <v>9950650508</v>
      </c>
      <c r="W330" s="24" t="s">
        <v>2101</v>
      </c>
      <c r="X330" s="34">
        <v>6</v>
      </c>
      <c r="Y330" s="24" t="s">
        <v>2112</v>
      </c>
      <c r="Z330" s="30">
        <v>46054</v>
      </c>
      <c r="AA330" s="24" t="s">
        <v>2177</v>
      </c>
      <c r="AB330" s="136" t="str">
        <f t="shared" si="5"/>
        <v>Blacklisted</v>
      </c>
    </row>
    <row r="331" spans="1:28">
      <c r="A331" s="24" t="s">
        <v>1494</v>
      </c>
      <c r="B331" s="24" t="s">
        <v>127</v>
      </c>
      <c r="C331" s="24" t="s">
        <v>184</v>
      </c>
      <c r="D331" s="30">
        <v>45959</v>
      </c>
      <c r="E331" s="30" t="s">
        <v>530</v>
      </c>
      <c r="F331" s="24" t="s">
        <v>200</v>
      </c>
      <c r="G331" s="24" t="s">
        <v>76</v>
      </c>
      <c r="H331" s="30" t="s">
        <v>131</v>
      </c>
      <c r="I331" s="24" t="s">
        <v>44</v>
      </c>
      <c r="J331" s="24" t="s">
        <v>45</v>
      </c>
      <c r="K331" s="24" t="s">
        <v>2113</v>
      </c>
      <c r="L331" s="24" t="s">
        <v>46</v>
      </c>
      <c r="M331" s="24" t="s">
        <v>189</v>
      </c>
      <c r="N331" s="24">
        <v>15</v>
      </c>
      <c r="O331" s="36">
        <v>525</v>
      </c>
      <c r="P331" s="35">
        <v>0.05</v>
      </c>
      <c r="Q331" s="36">
        <v>7481.25</v>
      </c>
      <c r="R331" s="34">
        <v>1</v>
      </c>
      <c r="S331" s="24" t="s">
        <v>34</v>
      </c>
      <c r="T331" s="24" t="s">
        <v>49</v>
      </c>
      <c r="U331" s="24" t="s">
        <v>132</v>
      </c>
      <c r="V331" s="24">
        <v>9464035549</v>
      </c>
      <c r="W331" s="24" t="s">
        <v>2100</v>
      </c>
      <c r="X331" s="34">
        <v>24</v>
      </c>
      <c r="Y331" s="24" t="s">
        <v>2112</v>
      </c>
      <c r="Z331" s="30">
        <v>46690</v>
      </c>
      <c r="AA331" s="24" t="s">
        <v>2176</v>
      </c>
      <c r="AB331" s="136" t="str">
        <f t="shared" si="5"/>
        <v>Blacklisted</v>
      </c>
    </row>
    <row r="332" spans="1:28">
      <c r="A332" s="24" t="s">
        <v>1497</v>
      </c>
      <c r="B332" s="24" t="s">
        <v>53</v>
      </c>
      <c r="C332" s="24" t="s">
        <v>72</v>
      </c>
      <c r="D332" s="30">
        <v>46086</v>
      </c>
      <c r="E332" s="30" t="s">
        <v>798</v>
      </c>
      <c r="F332" s="24" t="s">
        <v>163</v>
      </c>
      <c r="G332" s="24" t="s">
        <v>28</v>
      </c>
      <c r="H332" s="30" t="s">
        <v>58</v>
      </c>
      <c r="I332" s="24" t="s">
        <v>59</v>
      </c>
      <c r="J332" s="24" t="s">
        <v>31</v>
      </c>
      <c r="K332" s="24" t="s">
        <v>2111</v>
      </c>
      <c r="L332" s="24" t="s">
        <v>46</v>
      </c>
      <c r="M332" s="24" t="s">
        <v>78</v>
      </c>
      <c r="N332" s="24">
        <v>13</v>
      </c>
      <c r="O332" s="36">
        <v>900</v>
      </c>
      <c r="P332" s="35">
        <v>0</v>
      </c>
      <c r="Q332" s="36">
        <v>11700</v>
      </c>
      <c r="R332" s="34">
        <v>3</v>
      </c>
      <c r="S332" s="24" t="s">
        <v>2148</v>
      </c>
      <c r="T332" s="24" t="s">
        <v>115</v>
      </c>
      <c r="U332" s="24" t="s">
        <v>62</v>
      </c>
      <c r="V332" s="24">
        <v>9142334315</v>
      </c>
      <c r="W332" s="24" t="s">
        <v>2100</v>
      </c>
      <c r="X332" s="34">
        <v>6</v>
      </c>
      <c r="Y332" s="24" t="s">
        <v>2108</v>
      </c>
      <c r="Z332" s="30">
        <v>46275</v>
      </c>
      <c r="AA332" s="24" t="s">
        <v>2172</v>
      </c>
      <c r="AB332" s="136" t="str">
        <f t="shared" si="5"/>
        <v>Silver</v>
      </c>
    </row>
    <row r="333" spans="1:28">
      <c r="A333" s="24" t="s">
        <v>1500</v>
      </c>
      <c r="B333" s="24" t="s">
        <v>327</v>
      </c>
      <c r="C333" s="24" t="s">
        <v>40</v>
      </c>
      <c r="D333" s="30">
        <v>45895</v>
      </c>
      <c r="E333" s="30" t="s">
        <v>1502</v>
      </c>
      <c r="F333" s="24" t="s">
        <v>394</v>
      </c>
      <c r="G333" s="24" t="s">
        <v>76</v>
      </c>
      <c r="H333" s="30" t="s">
        <v>331</v>
      </c>
      <c r="I333" s="24" t="s">
        <v>114</v>
      </c>
      <c r="J333" s="24" t="s">
        <v>106</v>
      </c>
      <c r="K333" s="24" t="s">
        <v>2109</v>
      </c>
      <c r="L333" s="24" t="s">
        <v>46</v>
      </c>
      <c r="M333" s="24" t="s">
        <v>47</v>
      </c>
      <c r="N333" s="24">
        <v>5</v>
      </c>
      <c r="O333" s="36">
        <v>9000</v>
      </c>
      <c r="P333" s="35">
        <v>0.1</v>
      </c>
      <c r="Q333" s="36">
        <v>40500</v>
      </c>
      <c r="R333" s="34">
        <v>3</v>
      </c>
      <c r="S333" s="24" t="s">
        <v>2149</v>
      </c>
      <c r="T333" s="24" t="s">
        <v>49</v>
      </c>
      <c r="U333" s="24" t="s">
        <v>332</v>
      </c>
      <c r="V333" s="24">
        <v>9123961962</v>
      </c>
      <c r="W333" s="24" t="s">
        <v>2101</v>
      </c>
      <c r="X333" s="34">
        <v>24</v>
      </c>
      <c r="Y333" s="24" t="s">
        <v>2108</v>
      </c>
      <c r="Z333" s="30">
        <v>46637</v>
      </c>
      <c r="AA333" s="24" t="s">
        <v>2171</v>
      </c>
      <c r="AB333" s="136" t="str">
        <f t="shared" si="5"/>
        <v>Silver</v>
      </c>
    </row>
    <row r="334" spans="1:28">
      <c r="A334" s="24" t="s">
        <v>1505</v>
      </c>
      <c r="B334" s="24" t="s">
        <v>53</v>
      </c>
      <c r="C334" s="24" t="s">
        <v>259</v>
      </c>
      <c r="D334" s="30">
        <v>45752</v>
      </c>
      <c r="E334" s="30" t="s">
        <v>1507</v>
      </c>
      <c r="F334" s="24" t="s">
        <v>163</v>
      </c>
      <c r="G334" s="24" t="s">
        <v>28</v>
      </c>
      <c r="H334" s="30" t="s">
        <v>58</v>
      </c>
      <c r="I334" s="24" t="s">
        <v>59</v>
      </c>
      <c r="J334" s="24" t="s">
        <v>31</v>
      </c>
      <c r="K334" s="24" t="s">
        <v>2111</v>
      </c>
      <c r="L334" s="24" t="s">
        <v>122</v>
      </c>
      <c r="M334" s="24" t="s">
        <v>263</v>
      </c>
      <c r="N334" s="24">
        <v>12</v>
      </c>
      <c r="O334" s="36">
        <v>33.75</v>
      </c>
      <c r="P334" s="35">
        <v>0.2</v>
      </c>
      <c r="Q334" s="36">
        <v>324</v>
      </c>
      <c r="R334" s="34">
        <v>3</v>
      </c>
      <c r="S334" s="24" t="s">
        <v>2148</v>
      </c>
      <c r="T334" s="24" t="s">
        <v>61</v>
      </c>
      <c r="U334" s="24" t="s">
        <v>62</v>
      </c>
      <c r="V334" s="24">
        <v>9741953402</v>
      </c>
      <c r="W334" s="24" t="s">
        <v>2100</v>
      </c>
      <c r="X334" s="34">
        <v>12</v>
      </c>
      <c r="Y334" s="24" t="s">
        <v>2108</v>
      </c>
      <c r="Z334" s="30">
        <v>46120</v>
      </c>
      <c r="AA334" s="24" t="s">
        <v>2172</v>
      </c>
      <c r="AB334" s="136" t="str">
        <f t="shared" si="5"/>
        <v>Silver</v>
      </c>
    </row>
    <row r="335" spans="1:28">
      <c r="A335" s="24" t="s">
        <v>1510</v>
      </c>
      <c r="B335" s="24" t="s">
        <v>23</v>
      </c>
      <c r="C335" s="24" t="s">
        <v>92</v>
      </c>
      <c r="D335" s="30">
        <v>45756</v>
      </c>
      <c r="E335" s="30" t="s">
        <v>666</v>
      </c>
      <c r="F335" s="24" t="s">
        <v>27</v>
      </c>
      <c r="G335" s="24" t="s">
        <v>28</v>
      </c>
      <c r="H335" s="30" t="s">
        <v>29</v>
      </c>
      <c r="I335" s="24" t="s">
        <v>30</v>
      </c>
      <c r="J335" s="24" t="s">
        <v>31</v>
      </c>
      <c r="K335" s="24" t="s">
        <v>2111</v>
      </c>
      <c r="L335" s="24" t="s">
        <v>32</v>
      </c>
      <c r="M335" s="24" t="s">
        <v>97</v>
      </c>
      <c r="N335" s="24">
        <v>2</v>
      </c>
      <c r="O335" s="36">
        <v>2625</v>
      </c>
      <c r="P335" s="35">
        <v>0</v>
      </c>
      <c r="Q335" s="36">
        <v>5250</v>
      </c>
      <c r="R335" s="34">
        <v>1</v>
      </c>
      <c r="S335" s="24" t="s">
        <v>2148</v>
      </c>
      <c r="T335" s="24" t="s">
        <v>115</v>
      </c>
      <c r="U335" s="24" t="s">
        <v>50</v>
      </c>
      <c r="V335" s="24">
        <v>9404733633</v>
      </c>
      <c r="W335" s="24" t="s">
        <v>2101</v>
      </c>
      <c r="X335" s="34">
        <v>6</v>
      </c>
      <c r="Y335" s="24" t="s">
        <v>2108</v>
      </c>
      <c r="Z335" s="30">
        <v>45944</v>
      </c>
      <c r="AA335" s="24" t="s">
        <v>2171</v>
      </c>
      <c r="AB335" s="136" t="str">
        <f t="shared" si="5"/>
        <v>Blacklisted</v>
      </c>
    </row>
    <row r="336" spans="1:28">
      <c r="A336" s="24" t="s">
        <v>1513</v>
      </c>
      <c r="B336" s="24" t="s">
        <v>23</v>
      </c>
      <c r="C336" s="24" t="s">
        <v>24</v>
      </c>
      <c r="D336" s="30">
        <v>46155</v>
      </c>
      <c r="E336" s="30" t="s">
        <v>1180</v>
      </c>
      <c r="F336" s="24" t="s">
        <v>27</v>
      </c>
      <c r="G336" s="24" t="s">
        <v>28</v>
      </c>
      <c r="H336" s="30" t="s">
        <v>29</v>
      </c>
      <c r="I336" s="24" t="s">
        <v>30</v>
      </c>
      <c r="J336" s="24" t="s">
        <v>31</v>
      </c>
      <c r="K336" s="24" t="s">
        <v>2111</v>
      </c>
      <c r="L336" s="24" t="s">
        <v>32</v>
      </c>
      <c r="M336" s="24" t="s">
        <v>33</v>
      </c>
      <c r="N336" s="24">
        <v>15</v>
      </c>
      <c r="O336" s="36">
        <v>1650</v>
      </c>
      <c r="P336" s="35">
        <v>0.15</v>
      </c>
      <c r="Q336" s="36">
        <v>21037.5</v>
      </c>
      <c r="R336" s="34">
        <v>2</v>
      </c>
      <c r="S336" s="24" t="s">
        <v>2148</v>
      </c>
      <c r="T336" s="24" t="s">
        <v>49</v>
      </c>
      <c r="U336" s="24" t="s">
        <v>50</v>
      </c>
      <c r="V336" s="24">
        <v>9297492337</v>
      </c>
      <c r="W336" s="24" t="s">
        <v>2101</v>
      </c>
      <c r="X336" s="34">
        <v>24</v>
      </c>
      <c r="Y336" s="24" t="s">
        <v>2108</v>
      </c>
      <c r="Z336" s="30">
        <v>46889</v>
      </c>
      <c r="AA336" s="24" t="s">
        <v>2171</v>
      </c>
      <c r="AB336" s="136" t="str">
        <f t="shared" si="5"/>
        <v>Blacklisted</v>
      </c>
    </row>
    <row r="337" spans="1:28">
      <c r="A337" s="24" t="s">
        <v>1516</v>
      </c>
      <c r="B337" s="24" t="s">
        <v>100</v>
      </c>
      <c r="C337" s="24" t="s">
        <v>222</v>
      </c>
      <c r="D337" s="30">
        <v>45995</v>
      </c>
      <c r="E337" s="30" t="s">
        <v>1253</v>
      </c>
      <c r="F337" s="24" t="s">
        <v>103</v>
      </c>
      <c r="G337" s="24" t="s">
        <v>28</v>
      </c>
      <c r="H337" s="30" t="s">
        <v>104</v>
      </c>
      <c r="I337" s="24" t="s">
        <v>105</v>
      </c>
      <c r="J337" s="24" t="s">
        <v>106</v>
      </c>
      <c r="K337" s="24" t="s">
        <v>2111</v>
      </c>
      <c r="L337" s="24" t="s">
        <v>122</v>
      </c>
      <c r="M337" s="24" t="s">
        <v>227</v>
      </c>
      <c r="N337" s="24">
        <v>8</v>
      </c>
      <c r="O337" s="36">
        <v>15</v>
      </c>
      <c r="P337" s="35">
        <v>0.2</v>
      </c>
      <c r="Q337" s="36">
        <v>96</v>
      </c>
      <c r="R337" s="34">
        <v>5</v>
      </c>
      <c r="S337" s="24" t="s">
        <v>2149</v>
      </c>
      <c r="T337" s="24" t="s">
        <v>49</v>
      </c>
      <c r="U337" s="24" t="s">
        <v>144</v>
      </c>
      <c r="V337" s="24">
        <v>9350338928</v>
      </c>
      <c r="W337" s="24" t="s">
        <v>2103</v>
      </c>
      <c r="X337" s="34">
        <v>12</v>
      </c>
      <c r="Y337" s="24" t="s">
        <v>2110</v>
      </c>
      <c r="Z337" s="30">
        <v>46368</v>
      </c>
      <c r="AA337" s="24" t="s">
        <v>2175</v>
      </c>
      <c r="AB337" s="136" t="str">
        <f t="shared" si="5"/>
        <v>Silver</v>
      </c>
    </row>
    <row r="338" spans="1:28">
      <c r="A338" s="24" t="s">
        <v>1519</v>
      </c>
      <c r="B338" s="24" t="s">
        <v>127</v>
      </c>
      <c r="C338" s="24" t="s">
        <v>222</v>
      </c>
      <c r="D338" s="30">
        <v>46089</v>
      </c>
      <c r="E338" s="30" t="s">
        <v>798</v>
      </c>
      <c r="F338" s="24" t="s">
        <v>200</v>
      </c>
      <c r="G338" s="24" t="s">
        <v>76</v>
      </c>
      <c r="H338" s="30" t="s">
        <v>131</v>
      </c>
      <c r="I338" s="24" t="s">
        <v>44</v>
      </c>
      <c r="J338" s="24" t="s">
        <v>45</v>
      </c>
      <c r="K338" s="24" t="s">
        <v>2113</v>
      </c>
      <c r="L338" s="24" t="s">
        <v>122</v>
      </c>
      <c r="M338" s="24" t="s">
        <v>227</v>
      </c>
      <c r="N338" s="24">
        <v>1</v>
      </c>
      <c r="O338" s="36">
        <v>15</v>
      </c>
      <c r="P338" s="35">
        <v>0</v>
      </c>
      <c r="Q338" s="36">
        <v>15</v>
      </c>
      <c r="R338" s="34">
        <v>3</v>
      </c>
      <c r="S338" s="24" t="s">
        <v>2149</v>
      </c>
      <c r="T338" s="24" t="s">
        <v>35</v>
      </c>
      <c r="U338" s="24" t="s">
        <v>132</v>
      </c>
      <c r="V338" s="24">
        <v>9933894798</v>
      </c>
      <c r="W338" s="24" t="s">
        <v>2103</v>
      </c>
      <c r="X338" s="34">
        <v>12</v>
      </c>
      <c r="Y338" s="24" t="s">
        <v>2112</v>
      </c>
      <c r="Z338" s="30">
        <v>46456</v>
      </c>
      <c r="AA338" s="24" t="s">
        <v>2176</v>
      </c>
      <c r="AB338" s="136" t="str">
        <f t="shared" si="5"/>
        <v>Silver</v>
      </c>
    </row>
    <row r="339" spans="1:28">
      <c r="A339" s="24" t="s">
        <v>1522</v>
      </c>
      <c r="B339" s="24" t="s">
        <v>23</v>
      </c>
      <c r="C339" s="24" t="s">
        <v>184</v>
      </c>
      <c r="D339" s="30">
        <v>46027</v>
      </c>
      <c r="E339" s="30" t="s">
        <v>253</v>
      </c>
      <c r="F339" s="24" t="s">
        <v>27</v>
      </c>
      <c r="G339" s="24" t="s">
        <v>28</v>
      </c>
      <c r="H339" s="30" t="s">
        <v>29</v>
      </c>
      <c r="I339" s="24" t="s">
        <v>30</v>
      </c>
      <c r="J339" s="24" t="s">
        <v>31</v>
      </c>
      <c r="K339" s="24" t="s">
        <v>2111</v>
      </c>
      <c r="L339" s="24" t="s">
        <v>46</v>
      </c>
      <c r="M339" s="24" t="s">
        <v>189</v>
      </c>
      <c r="N339" s="24">
        <v>15</v>
      </c>
      <c r="O339" s="36">
        <v>525</v>
      </c>
      <c r="P339" s="35">
        <v>0</v>
      </c>
      <c r="Q339" s="36">
        <v>7875</v>
      </c>
      <c r="R339" s="34">
        <v>2</v>
      </c>
      <c r="S339" s="24" t="s">
        <v>2149</v>
      </c>
      <c r="T339" s="24" t="s">
        <v>49</v>
      </c>
      <c r="U339" s="24" t="s">
        <v>50</v>
      </c>
      <c r="V339" s="24">
        <v>9705218824</v>
      </c>
      <c r="W339" s="24" t="s">
        <v>2100</v>
      </c>
      <c r="X339" s="34">
        <v>24</v>
      </c>
      <c r="Y339" s="24" t="s">
        <v>2108</v>
      </c>
      <c r="Z339" s="30">
        <v>46768</v>
      </c>
      <c r="AA339" s="24" t="s">
        <v>2171</v>
      </c>
      <c r="AB339" s="136" t="str">
        <f t="shared" si="5"/>
        <v>Blacklisted</v>
      </c>
    </row>
    <row r="340" spans="1:28">
      <c r="A340" s="24" t="s">
        <v>1525</v>
      </c>
      <c r="B340" s="24" t="s">
        <v>327</v>
      </c>
      <c r="C340" s="24" t="s">
        <v>92</v>
      </c>
      <c r="D340" s="30">
        <v>45695</v>
      </c>
      <c r="E340" s="30" t="s">
        <v>1526</v>
      </c>
      <c r="F340" s="24" t="s">
        <v>394</v>
      </c>
      <c r="G340" s="24" t="s">
        <v>76</v>
      </c>
      <c r="H340" s="30" t="s">
        <v>331</v>
      </c>
      <c r="I340" s="24" t="s">
        <v>114</v>
      </c>
      <c r="J340" s="24" t="s">
        <v>106</v>
      </c>
      <c r="K340" s="24" t="s">
        <v>2109</v>
      </c>
      <c r="L340" s="24" t="s">
        <v>32</v>
      </c>
      <c r="M340" s="24" t="s">
        <v>97</v>
      </c>
      <c r="N340" s="24">
        <v>15</v>
      </c>
      <c r="O340" s="36">
        <v>2625</v>
      </c>
      <c r="P340" s="35">
        <v>0.1</v>
      </c>
      <c r="Q340" s="36">
        <v>35437.5</v>
      </c>
      <c r="R340" s="34">
        <v>3</v>
      </c>
      <c r="S340" s="24" t="s">
        <v>34</v>
      </c>
      <c r="T340" s="24" t="s">
        <v>151</v>
      </c>
      <c r="U340" s="24" t="s">
        <v>332</v>
      </c>
      <c r="V340" s="24">
        <v>9229164453</v>
      </c>
      <c r="W340" s="24" t="s">
        <v>2101</v>
      </c>
      <c r="X340" s="34">
        <v>6</v>
      </c>
      <c r="Y340" s="24" t="s">
        <v>2108</v>
      </c>
      <c r="Z340" s="30">
        <v>45879</v>
      </c>
      <c r="AA340" s="24" t="s">
        <v>2171</v>
      </c>
      <c r="AB340" s="136" t="str">
        <f t="shared" si="5"/>
        <v>Silver</v>
      </c>
    </row>
    <row r="341" spans="1:28">
      <c r="A341" s="24" t="s">
        <v>1529</v>
      </c>
      <c r="B341" s="24" t="s">
        <v>23</v>
      </c>
      <c r="C341" s="24" t="s">
        <v>118</v>
      </c>
      <c r="D341" s="30">
        <v>45866</v>
      </c>
      <c r="E341" s="30" t="s">
        <v>156</v>
      </c>
      <c r="F341" s="24" t="s">
        <v>27</v>
      </c>
      <c r="G341" s="24" t="s">
        <v>28</v>
      </c>
      <c r="H341" s="30" t="s">
        <v>29</v>
      </c>
      <c r="I341" s="24" t="s">
        <v>30</v>
      </c>
      <c r="J341" s="24" t="s">
        <v>31</v>
      </c>
      <c r="K341" s="24" t="s">
        <v>2111</v>
      </c>
      <c r="L341" s="24" t="s">
        <v>122</v>
      </c>
      <c r="M341" s="24" t="s">
        <v>123</v>
      </c>
      <c r="N341" s="24">
        <v>16</v>
      </c>
      <c r="O341" s="36">
        <v>45</v>
      </c>
      <c r="P341" s="35">
        <v>0.1</v>
      </c>
      <c r="Q341" s="36">
        <v>648</v>
      </c>
      <c r="R341" s="34">
        <v>4</v>
      </c>
      <c r="S341" s="24" t="s">
        <v>79</v>
      </c>
      <c r="T341" s="24" t="s">
        <v>61</v>
      </c>
      <c r="U341" s="24" t="s">
        <v>50</v>
      </c>
      <c r="V341" s="24">
        <v>9219806176</v>
      </c>
      <c r="W341" s="24" t="s">
        <v>2102</v>
      </c>
      <c r="X341" s="34">
        <v>12</v>
      </c>
      <c r="Y341" s="24" t="s">
        <v>2108</v>
      </c>
      <c r="Z341" s="30">
        <v>46241</v>
      </c>
      <c r="AA341" s="24" t="s">
        <v>2171</v>
      </c>
      <c r="AB341" s="136" t="str">
        <f t="shared" si="5"/>
        <v>Silver</v>
      </c>
    </row>
    <row r="342" spans="1:28">
      <c r="A342" s="24" t="s">
        <v>1533</v>
      </c>
      <c r="B342" s="24" t="s">
        <v>127</v>
      </c>
      <c r="C342" s="24" t="s">
        <v>259</v>
      </c>
      <c r="D342" s="30">
        <v>45945</v>
      </c>
      <c r="E342" s="30" t="s">
        <v>793</v>
      </c>
      <c r="F342" s="24" t="s">
        <v>200</v>
      </c>
      <c r="G342" s="24" t="s">
        <v>76</v>
      </c>
      <c r="H342" s="30" t="s">
        <v>131</v>
      </c>
      <c r="I342" s="24" t="s">
        <v>44</v>
      </c>
      <c r="J342" s="24" t="s">
        <v>45</v>
      </c>
      <c r="K342" s="24" t="s">
        <v>2113</v>
      </c>
      <c r="L342" s="24" t="s">
        <v>122</v>
      </c>
      <c r="M342" s="24" t="s">
        <v>263</v>
      </c>
      <c r="N342" s="24">
        <v>2</v>
      </c>
      <c r="O342" s="36">
        <v>33.75</v>
      </c>
      <c r="P342" s="35">
        <v>0.15</v>
      </c>
      <c r="Q342" s="36">
        <v>57.375</v>
      </c>
      <c r="R342" s="34">
        <v>1</v>
      </c>
      <c r="S342" s="24" t="s">
        <v>2149</v>
      </c>
      <c r="T342" s="24" t="s">
        <v>151</v>
      </c>
      <c r="U342" s="24" t="s">
        <v>132</v>
      </c>
      <c r="V342" s="24">
        <v>9630210250</v>
      </c>
      <c r="W342" s="24" t="s">
        <v>2100</v>
      </c>
      <c r="X342" s="34">
        <v>12</v>
      </c>
      <c r="Y342" s="24" t="s">
        <v>2112</v>
      </c>
      <c r="Z342" s="30">
        <v>46316</v>
      </c>
      <c r="AA342" s="24" t="s">
        <v>2176</v>
      </c>
      <c r="AB342" s="136" t="str">
        <f t="shared" si="5"/>
        <v>Blacklisted</v>
      </c>
    </row>
    <row r="343" spans="1:28">
      <c r="A343" s="24" t="s">
        <v>1536</v>
      </c>
      <c r="B343" s="24" t="s">
        <v>168</v>
      </c>
      <c r="C343" s="24" t="s">
        <v>118</v>
      </c>
      <c r="D343" s="30">
        <v>45997</v>
      </c>
      <c r="E343" s="30" t="s">
        <v>1214</v>
      </c>
      <c r="F343" s="24" t="s">
        <v>361</v>
      </c>
      <c r="G343" s="24" t="s">
        <v>28</v>
      </c>
      <c r="H343" s="30" t="s">
        <v>173</v>
      </c>
      <c r="I343" s="24" t="s">
        <v>114</v>
      </c>
      <c r="J343" s="24" t="s">
        <v>106</v>
      </c>
      <c r="K343" s="24" t="s">
        <v>2111</v>
      </c>
      <c r="L343" s="24" t="s">
        <v>122</v>
      </c>
      <c r="M343" s="24" t="s">
        <v>123</v>
      </c>
      <c r="N343" s="24">
        <v>13</v>
      </c>
      <c r="O343" s="36">
        <v>45</v>
      </c>
      <c r="P343" s="35">
        <v>0.15</v>
      </c>
      <c r="Q343" s="36">
        <v>497.25</v>
      </c>
      <c r="R343" s="34">
        <v>2</v>
      </c>
      <c r="S343" s="24" t="s">
        <v>2148</v>
      </c>
      <c r="T343" s="24" t="s">
        <v>61</v>
      </c>
      <c r="U343" s="24" t="s">
        <v>175</v>
      </c>
      <c r="V343" s="24">
        <v>9583354052</v>
      </c>
      <c r="W343" s="24" t="s">
        <v>2102</v>
      </c>
      <c r="X343" s="34">
        <v>12</v>
      </c>
      <c r="Y343" s="24" t="s">
        <v>2112</v>
      </c>
      <c r="Z343" s="30">
        <v>46371</v>
      </c>
      <c r="AA343" s="24" t="s">
        <v>2177</v>
      </c>
      <c r="AB343" s="136" t="str">
        <f t="shared" si="5"/>
        <v>Blacklisted</v>
      </c>
    </row>
    <row r="344" spans="1:28">
      <c r="A344" s="24" t="s">
        <v>1540</v>
      </c>
      <c r="B344" s="24" t="s">
        <v>83</v>
      </c>
      <c r="C344" s="24" t="s">
        <v>40</v>
      </c>
      <c r="D344" s="30">
        <v>45797</v>
      </c>
      <c r="E344" s="30" t="s">
        <v>236</v>
      </c>
      <c r="F344" s="24" t="s">
        <v>180</v>
      </c>
      <c r="G344" s="24" t="s">
        <v>76</v>
      </c>
      <c r="H344" s="30" t="s">
        <v>87</v>
      </c>
      <c r="I344" s="24" t="s">
        <v>30</v>
      </c>
      <c r="J344" s="24" t="s">
        <v>31</v>
      </c>
      <c r="K344" s="24" t="s">
        <v>2109</v>
      </c>
      <c r="L344" s="24" t="s">
        <v>46</v>
      </c>
      <c r="M344" s="24" t="s">
        <v>47</v>
      </c>
      <c r="N344" s="24">
        <v>15</v>
      </c>
      <c r="O344" s="36">
        <v>9000</v>
      </c>
      <c r="P344" s="35">
        <v>0.2</v>
      </c>
      <c r="Q344" s="36">
        <v>108000</v>
      </c>
      <c r="R344" s="34">
        <v>3</v>
      </c>
      <c r="S344" s="24" t="s">
        <v>79</v>
      </c>
      <c r="T344" s="24" t="s">
        <v>35</v>
      </c>
      <c r="U344" s="24" t="s">
        <v>89</v>
      </c>
      <c r="V344" s="24">
        <v>9242534507</v>
      </c>
      <c r="W344" s="24" t="s">
        <v>2101</v>
      </c>
      <c r="X344" s="34">
        <v>24</v>
      </c>
      <c r="Y344" s="24" t="s">
        <v>2108</v>
      </c>
      <c r="Z344" s="30">
        <v>46529</v>
      </c>
      <c r="AA344" s="24" t="s">
        <v>2174</v>
      </c>
      <c r="AB344" s="136" t="str">
        <f t="shared" si="5"/>
        <v>Gold</v>
      </c>
    </row>
    <row r="345" spans="1:28">
      <c r="A345" s="24" t="s">
        <v>1543</v>
      </c>
      <c r="B345" s="24" t="s">
        <v>327</v>
      </c>
      <c r="C345" s="24" t="s">
        <v>222</v>
      </c>
      <c r="D345" s="30">
        <v>45863</v>
      </c>
      <c r="E345" s="30" t="s">
        <v>1544</v>
      </c>
      <c r="F345" s="24" t="s">
        <v>394</v>
      </c>
      <c r="G345" s="24" t="s">
        <v>76</v>
      </c>
      <c r="H345" s="30" t="s">
        <v>331</v>
      </c>
      <c r="I345" s="24" t="s">
        <v>114</v>
      </c>
      <c r="J345" s="24" t="s">
        <v>106</v>
      </c>
      <c r="K345" s="24" t="s">
        <v>2109</v>
      </c>
      <c r="L345" s="24" t="s">
        <v>122</v>
      </c>
      <c r="M345" s="24" t="s">
        <v>227</v>
      </c>
      <c r="N345" s="24">
        <v>2</v>
      </c>
      <c r="O345" s="36">
        <v>15</v>
      </c>
      <c r="P345" s="35">
        <v>0.2</v>
      </c>
      <c r="Q345" s="36">
        <v>24</v>
      </c>
      <c r="R345" s="34">
        <v>4</v>
      </c>
      <c r="S345" s="24" t="s">
        <v>34</v>
      </c>
      <c r="T345" s="24" t="s">
        <v>35</v>
      </c>
      <c r="U345" s="24" t="s">
        <v>332</v>
      </c>
      <c r="V345" s="24">
        <v>9291239150</v>
      </c>
      <c r="W345" s="24" t="s">
        <v>2103</v>
      </c>
      <c r="X345" s="34">
        <v>12</v>
      </c>
      <c r="Y345" s="24" t="s">
        <v>2108</v>
      </c>
      <c r="Z345" s="30">
        <v>46236</v>
      </c>
      <c r="AA345" s="24" t="s">
        <v>2171</v>
      </c>
      <c r="AB345" s="136" t="str">
        <f t="shared" si="5"/>
        <v>Silver</v>
      </c>
    </row>
    <row r="346" spans="1:28">
      <c r="A346" s="24" t="s">
        <v>1547</v>
      </c>
      <c r="B346" s="24" t="s">
        <v>127</v>
      </c>
      <c r="C346" s="24" t="s">
        <v>92</v>
      </c>
      <c r="D346" s="30">
        <v>45874</v>
      </c>
      <c r="E346" s="30" t="s">
        <v>1548</v>
      </c>
      <c r="F346" s="24" t="s">
        <v>200</v>
      </c>
      <c r="G346" s="24" t="s">
        <v>76</v>
      </c>
      <c r="H346" s="30" t="s">
        <v>131</v>
      </c>
      <c r="I346" s="24" t="s">
        <v>44</v>
      </c>
      <c r="J346" s="24" t="s">
        <v>45</v>
      </c>
      <c r="K346" s="24" t="s">
        <v>2113</v>
      </c>
      <c r="L346" s="24" t="s">
        <v>32</v>
      </c>
      <c r="M346" s="24" t="s">
        <v>97</v>
      </c>
      <c r="N346" s="24">
        <v>16</v>
      </c>
      <c r="O346" s="36">
        <v>2625</v>
      </c>
      <c r="P346" s="35">
        <v>0</v>
      </c>
      <c r="Q346" s="36">
        <v>42000</v>
      </c>
      <c r="R346" s="34">
        <v>4</v>
      </c>
      <c r="S346" s="24" t="s">
        <v>34</v>
      </c>
      <c r="T346" s="24" t="s">
        <v>115</v>
      </c>
      <c r="U346" s="24" t="s">
        <v>132</v>
      </c>
      <c r="V346" s="24">
        <v>9550820904</v>
      </c>
      <c r="W346" s="24" t="s">
        <v>2101</v>
      </c>
      <c r="X346" s="34">
        <v>6</v>
      </c>
      <c r="Y346" s="24" t="s">
        <v>2112</v>
      </c>
      <c r="Z346" s="30">
        <v>46070</v>
      </c>
      <c r="AA346" s="24" t="s">
        <v>2176</v>
      </c>
      <c r="AB346" s="136" t="str">
        <f t="shared" si="5"/>
        <v>Silver</v>
      </c>
    </row>
    <row r="347" spans="1:28">
      <c r="A347" s="24" t="s">
        <v>1551</v>
      </c>
      <c r="B347" s="24" t="s">
        <v>53</v>
      </c>
      <c r="C347" s="24" t="s">
        <v>92</v>
      </c>
      <c r="D347" s="30">
        <v>46071</v>
      </c>
      <c r="E347" s="30" t="s">
        <v>94</v>
      </c>
      <c r="F347" s="24" t="s">
        <v>163</v>
      </c>
      <c r="G347" s="24" t="s">
        <v>28</v>
      </c>
      <c r="H347" s="30" t="s">
        <v>58</v>
      </c>
      <c r="I347" s="24" t="s">
        <v>59</v>
      </c>
      <c r="J347" s="24" t="s">
        <v>31</v>
      </c>
      <c r="K347" s="24" t="s">
        <v>2111</v>
      </c>
      <c r="L347" s="24" t="s">
        <v>32</v>
      </c>
      <c r="M347" s="24" t="s">
        <v>97</v>
      </c>
      <c r="N347" s="24">
        <v>18</v>
      </c>
      <c r="O347" s="36">
        <v>2625</v>
      </c>
      <c r="P347" s="35">
        <v>0.15</v>
      </c>
      <c r="Q347" s="36">
        <v>40162.5</v>
      </c>
      <c r="R347" s="34">
        <v>5</v>
      </c>
      <c r="S347" s="24" t="s">
        <v>34</v>
      </c>
      <c r="T347" s="24" t="s">
        <v>151</v>
      </c>
      <c r="U347" s="24" t="s">
        <v>62</v>
      </c>
      <c r="V347" s="24">
        <v>9294486423</v>
      </c>
      <c r="W347" s="24" t="s">
        <v>2101</v>
      </c>
      <c r="X347" s="34">
        <v>6</v>
      </c>
      <c r="Y347" s="24" t="s">
        <v>2108</v>
      </c>
      <c r="Z347" s="30">
        <v>46259</v>
      </c>
      <c r="AA347" s="24" t="s">
        <v>2172</v>
      </c>
      <c r="AB347" s="136" t="str">
        <f t="shared" si="5"/>
        <v>Silver</v>
      </c>
    </row>
    <row r="348" spans="1:28">
      <c r="A348" s="24" t="s">
        <v>1554</v>
      </c>
      <c r="B348" s="24" t="s">
        <v>23</v>
      </c>
      <c r="C348" s="24" t="s">
        <v>259</v>
      </c>
      <c r="D348" s="30">
        <v>46102</v>
      </c>
      <c r="E348" s="30" t="s">
        <v>544</v>
      </c>
      <c r="F348" s="24" t="s">
        <v>27</v>
      </c>
      <c r="G348" s="24" t="s">
        <v>28</v>
      </c>
      <c r="H348" s="30" t="s">
        <v>29</v>
      </c>
      <c r="I348" s="24" t="s">
        <v>30</v>
      </c>
      <c r="J348" s="24" t="s">
        <v>31</v>
      </c>
      <c r="K348" s="24" t="s">
        <v>2111</v>
      </c>
      <c r="L348" s="24" t="s">
        <v>122</v>
      </c>
      <c r="M348" s="24" t="s">
        <v>263</v>
      </c>
      <c r="N348" s="24">
        <v>20</v>
      </c>
      <c r="O348" s="36">
        <v>33.75</v>
      </c>
      <c r="P348" s="35">
        <v>0.15</v>
      </c>
      <c r="Q348" s="36">
        <v>573.75</v>
      </c>
      <c r="R348" s="34">
        <v>4</v>
      </c>
      <c r="S348" s="24" t="s">
        <v>34</v>
      </c>
      <c r="T348" s="24" t="s">
        <v>151</v>
      </c>
      <c r="U348" s="24" t="s">
        <v>50</v>
      </c>
      <c r="V348" s="24">
        <v>9260258621</v>
      </c>
      <c r="W348" s="24" t="s">
        <v>2100</v>
      </c>
      <c r="X348" s="34">
        <v>12</v>
      </c>
      <c r="Y348" s="24" t="s">
        <v>2108</v>
      </c>
      <c r="Z348" s="30">
        <v>46472</v>
      </c>
      <c r="AA348" s="24" t="s">
        <v>2171</v>
      </c>
      <c r="AB348" s="136" t="str">
        <f t="shared" si="5"/>
        <v>Silver</v>
      </c>
    </row>
    <row r="349" spans="1:28">
      <c r="A349" s="24" t="s">
        <v>1557</v>
      </c>
      <c r="B349" s="24" t="s">
        <v>251</v>
      </c>
      <c r="C349" s="24" t="s">
        <v>24</v>
      </c>
      <c r="D349" s="30">
        <v>46128</v>
      </c>
      <c r="E349" s="30" t="s">
        <v>356</v>
      </c>
      <c r="F349" s="24" t="s">
        <v>254</v>
      </c>
      <c r="G349" s="24" t="s">
        <v>28</v>
      </c>
      <c r="H349" s="30" t="s">
        <v>255</v>
      </c>
      <c r="I349" s="24" t="s">
        <v>114</v>
      </c>
      <c r="J349" s="24" t="s">
        <v>106</v>
      </c>
      <c r="K349" s="24" t="s">
        <v>2111</v>
      </c>
      <c r="L349" s="24" t="s">
        <v>32</v>
      </c>
      <c r="M349" s="24" t="s">
        <v>33</v>
      </c>
      <c r="N349" s="24">
        <v>13</v>
      </c>
      <c r="O349" s="36">
        <v>1650</v>
      </c>
      <c r="P349" s="35">
        <v>0.15</v>
      </c>
      <c r="Q349" s="36">
        <v>18232.5</v>
      </c>
      <c r="R349" s="34">
        <v>2</v>
      </c>
      <c r="S349" s="24" t="s">
        <v>2148</v>
      </c>
      <c r="T349" s="24" t="s">
        <v>115</v>
      </c>
      <c r="U349" s="24" t="s">
        <v>256</v>
      </c>
      <c r="V349" s="24">
        <v>9697433584</v>
      </c>
      <c r="W349" s="24" t="s">
        <v>2101</v>
      </c>
      <c r="X349" s="34">
        <v>24</v>
      </c>
      <c r="Y349" s="24" t="s">
        <v>2112</v>
      </c>
      <c r="Z349" s="30">
        <v>46862</v>
      </c>
      <c r="AA349" s="24" t="s">
        <v>2173</v>
      </c>
      <c r="AB349" s="136" t="str">
        <f t="shared" si="5"/>
        <v>Blacklisted</v>
      </c>
    </row>
    <row r="350" spans="1:28">
      <c r="A350" s="24" t="s">
        <v>1560</v>
      </c>
      <c r="B350" s="24" t="s">
        <v>53</v>
      </c>
      <c r="C350" s="24" t="s">
        <v>1561</v>
      </c>
      <c r="D350" s="30">
        <v>45943</v>
      </c>
      <c r="E350" s="30" t="s">
        <v>346</v>
      </c>
      <c r="F350" s="24" t="s">
        <v>163</v>
      </c>
      <c r="G350" s="24" t="s">
        <v>28</v>
      </c>
      <c r="H350" s="30" t="s">
        <v>58</v>
      </c>
      <c r="I350" s="24" t="s">
        <v>59</v>
      </c>
      <c r="J350" s="24" t="s">
        <v>31</v>
      </c>
      <c r="K350" s="24" t="s">
        <v>2111</v>
      </c>
      <c r="L350" s="24" t="e">
        <v>#N/A</v>
      </c>
      <c r="M350" s="24" t="e">
        <v>#N/A</v>
      </c>
      <c r="N350" s="24">
        <v>11</v>
      </c>
      <c r="O350" s="36" t="e">
        <v>#N/A</v>
      </c>
      <c r="P350" s="35">
        <v>0.05</v>
      </c>
      <c r="Q350" s="36" t="e">
        <v>#N/A</v>
      </c>
      <c r="R350" s="34">
        <v>1</v>
      </c>
      <c r="S350" s="24" t="s">
        <v>2149</v>
      </c>
      <c r="T350" s="24" t="s">
        <v>115</v>
      </c>
      <c r="U350" s="24" t="s">
        <v>62</v>
      </c>
      <c r="V350" s="24">
        <v>9837969758</v>
      </c>
      <c r="W350" s="24" t="e">
        <v>#N/A</v>
      </c>
      <c r="X350" s="34" t="e">
        <v>#N/A</v>
      </c>
      <c r="Y350" s="24" t="s">
        <v>2108</v>
      </c>
      <c r="Z350" s="30" t="e">
        <v>#N/A</v>
      </c>
      <c r="AA350" s="24" t="s">
        <v>2172</v>
      </c>
      <c r="AB350" s="136" t="str">
        <f t="shared" si="5"/>
        <v>Blacklisted</v>
      </c>
    </row>
    <row r="351" spans="1:28">
      <c r="A351" s="24" t="s">
        <v>1564</v>
      </c>
      <c r="B351" s="24" t="s">
        <v>53</v>
      </c>
      <c r="C351" s="24" t="s">
        <v>24</v>
      </c>
      <c r="D351" s="30">
        <v>45996</v>
      </c>
      <c r="E351" s="30" t="s">
        <v>1475</v>
      </c>
      <c r="F351" s="24" t="s">
        <v>163</v>
      </c>
      <c r="G351" s="24" t="s">
        <v>28</v>
      </c>
      <c r="H351" s="30" t="s">
        <v>58</v>
      </c>
      <c r="I351" s="24" t="s">
        <v>59</v>
      </c>
      <c r="J351" s="24" t="s">
        <v>31</v>
      </c>
      <c r="K351" s="24" t="s">
        <v>2111</v>
      </c>
      <c r="L351" s="24" t="s">
        <v>32</v>
      </c>
      <c r="M351" s="24" t="s">
        <v>33</v>
      </c>
      <c r="N351" s="24">
        <v>2</v>
      </c>
      <c r="O351" s="36">
        <v>1650</v>
      </c>
      <c r="P351" s="35">
        <v>0</v>
      </c>
      <c r="Q351" s="36">
        <v>3300</v>
      </c>
      <c r="R351" s="34">
        <v>4</v>
      </c>
      <c r="S351" s="24" t="s">
        <v>2149</v>
      </c>
      <c r="T351" s="24" t="s">
        <v>151</v>
      </c>
      <c r="U351" s="24" t="s">
        <v>62</v>
      </c>
      <c r="V351" s="24">
        <v>9209736419</v>
      </c>
      <c r="W351" s="24" t="s">
        <v>2101</v>
      </c>
      <c r="X351" s="34">
        <v>24</v>
      </c>
      <c r="Y351" s="24" t="s">
        <v>2108</v>
      </c>
      <c r="Z351" s="30">
        <v>46731</v>
      </c>
      <c r="AA351" s="24" t="s">
        <v>2172</v>
      </c>
      <c r="AB351" s="136" t="str">
        <f t="shared" si="5"/>
        <v>Silver</v>
      </c>
    </row>
    <row r="352" spans="1:28">
      <c r="A352" s="24" t="s">
        <v>1568</v>
      </c>
      <c r="B352" s="24" t="s">
        <v>83</v>
      </c>
      <c r="C352" s="24" t="s">
        <v>184</v>
      </c>
      <c r="D352" s="30">
        <v>45868</v>
      </c>
      <c r="E352" s="30" t="s">
        <v>720</v>
      </c>
      <c r="F352" s="24" t="s">
        <v>180</v>
      </c>
      <c r="G352" s="24" t="s">
        <v>76</v>
      </c>
      <c r="H352" s="30" t="s">
        <v>87</v>
      </c>
      <c r="I352" s="24" t="s">
        <v>30</v>
      </c>
      <c r="J352" s="24" t="s">
        <v>31</v>
      </c>
      <c r="K352" s="24" t="s">
        <v>2109</v>
      </c>
      <c r="L352" s="24" t="s">
        <v>46</v>
      </c>
      <c r="M352" s="24" t="s">
        <v>189</v>
      </c>
      <c r="N352" s="24">
        <v>15</v>
      </c>
      <c r="O352" s="36">
        <v>525</v>
      </c>
      <c r="P352" s="35">
        <v>0.15</v>
      </c>
      <c r="Q352" s="36">
        <v>6693.75</v>
      </c>
      <c r="R352" s="34">
        <v>3</v>
      </c>
      <c r="S352" s="24" t="s">
        <v>2148</v>
      </c>
      <c r="T352" s="24" t="s">
        <v>115</v>
      </c>
      <c r="U352" s="24" t="s">
        <v>89</v>
      </c>
      <c r="V352" s="24">
        <v>9645907237</v>
      </c>
      <c r="W352" s="24" t="s">
        <v>2100</v>
      </c>
      <c r="X352" s="34">
        <v>24</v>
      </c>
      <c r="Y352" s="24" t="s">
        <v>2108</v>
      </c>
      <c r="Z352" s="30">
        <v>46603</v>
      </c>
      <c r="AA352" s="24" t="s">
        <v>2174</v>
      </c>
      <c r="AB352" s="136" t="str">
        <f t="shared" si="5"/>
        <v>Silver</v>
      </c>
    </row>
    <row r="353" spans="1:28">
      <c r="A353" s="24" t="s">
        <v>1571</v>
      </c>
      <c r="B353" s="24" t="s">
        <v>127</v>
      </c>
      <c r="C353" s="24" t="s">
        <v>24</v>
      </c>
      <c r="D353" s="30">
        <v>45856</v>
      </c>
      <c r="E353" s="30" t="s">
        <v>835</v>
      </c>
      <c r="F353" s="24" t="s">
        <v>200</v>
      </c>
      <c r="G353" s="24" t="s">
        <v>76</v>
      </c>
      <c r="H353" s="30" t="s">
        <v>131</v>
      </c>
      <c r="I353" s="24" t="s">
        <v>44</v>
      </c>
      <c r="J353" s="24" t="s">
        <v>45</v>
      </c>
      <c r="K353" s="24" t="s">
        <v>2113</v>
      </c>
      <c r="L353" s="24" t="s">
        <v>32</v>
      </c>
      <c r="M353" s="24" t="s">
        <v>33</v>
      </c>
      <c r="N353" s="24">
        <v>5</v>
      </c>
      <c r="O353" s="36">
        <v>1650</v>
      </c>
      <c r="P353" s="35">
        <v>0.15</v>
      </c>
      <c r="Q353" s="36">
        <v>7012.5</v>
      </c>
      <c r="R353" s="34">
        <v>1</v>
      </c>
      <c r="S353" s="24" t="s">
        <v>2148</v>
      </c>
      <c r="T353" s="24" t="s">
        <v>115</v>
      </c>
      <c r="U353" s="24" t="s">
        <v>132</v>
      </c>
      <c r="V353" s="24">
        <v>9566149945</v>
      </c>
      <c r="W353" s="24" t="s">
        <v>2101</v>
      </c>
      <c r="X353" s="34">
        <v>24</v>
      </c>
      <c r="Y353" s="24" t="s">
        <v>2112</v>
      </c>
      <c r="Z353" s="30">
        <v>46592</v>
      </c>
      <c r="AA353" s="24" t="s">
        <v>2176</v>
      </c>
      <c r="AB353" s="136" t="str">
        <f t="shared" si="5"/>
        <v>Blacklisted</v>
      </c>
    </row>
    <row r="354" spans="1:28">
      <c r="A354" s="24" t="s">
        <v>1575</v>
      </c>
      <c r="B354" s="24" t="s">
        <v>83</v>
      </c>
      <c r="C354" s="24" t="s">
        <v>72</v>
      </c>
      <c r="D354" s="30">
        <v>46092</v>
      </c>
      <c r="E354" s="30" t="s">
        <v>1480</v>
      </c>
      <c r="F354" s="24" t="s">
        <v>180</v>
      </c>
      <c r="G354" s="24" t="s">
        <v>76</v>
      </c>
      <c r="H354" s="30" t="s">
        <v>87</v>
      </c>
      <c r="I354" s="24" t="s">
        <v>30</v>
      </c>
      <c r="J354" s="24" t="s">
        <v>31</v>
      </c>
      <c r="K354" s="24" t="s">
        <v>2109</v>
      </c>
      <c r="L354" s="24" t="s">
        <v>46</v>
      </c>
      <c r="M354" s="24" t="s">
        <v>78</v>
      </c>
      <c r="N354" s="24">
        <v>15</v>
      </c>
      <c r="O354" s="36">
        <v>900</v>
      </c>
      <c r="P354" s="35">
        <v>0</v>
      </c>
      <c r="Q354" s="36">
        <v>13500</v>
      </c>
      <c r="R354" s="34">
        <v>3</v>
      </c>
      <c r="S354" s="24" t="s">
        <v>2148</v>
      </c>
      <c r="T354" s="24" t="s">
        <v>61</v>
      </c>
      <c r="U354" s="24" t="s">
        <v>89</v>
      </c>
      <c r="V354" s="24">
        <v>9935018068</v>
      </c>
      <c r="W354" s="24" t="s">
        <v>2100</v>
      </c>
      <c r="X354" s="34">
        <v>6</v>
      </c>
      <c r="Y354" s="24" t="s">
        <v>2108</v>
      </c>
      <c r="Z354" s="30">
        <v>46277</v>
      </c>
      <c r="AA354" s="24" t="s">
        <v>2174</v>
      </c>
      <c r="AB354" s="136" t="str">
        <f t="shared" si="5"/>
        <v>Silver</v>
      </c>
    </row>
    <row r="355" spans="1:28">
      <c r="A355" s="24" t="s">
        <v>1578</v>
      </c>
      <c r="B355" s="24" t="s">
        <v>251</v>
      </c>
      <c r="C355" s="24" t="s">
        <v>72</v>
      </c>
      <c r="D355" s="30">
        <v>46120</v>
      </c>
      <c r="E355" s="30" t="s">
        <v>657</v>
      </c>
      <c r="F355" s="24" t="s">
        <v>254</v>
      </c>
      <c r="G355" s="24" t="s">
        <v>28</v>
      </c>
      <c r="H355" s="30" t="s">
        <v>255</v>
      </c>
      <c r="I355" s="24" t="s">
        <v>114</v>
      </c>
      <c r="J355" s="24" t="s">
        <v>106</v>
      </c>
      <c r="K355" s="24" t="s">
        <v>2111</v>
      </c>
      <c r="L355" s="24" t="s">
        <v>46</v>
      </c>
      <c r="M355" s="24" t="s">
        <v>78</v>
      </c>
      <c r="N355" s="24">
        <v>19</v>
      </c>
      <c r="O355" s="36">
        <v>900</v>
      </c>
      <c r="P355" s="35">
        <v>0</v>
      </c>
      <c r="Q355" s="36">
        <v>17100</v>
      </c>
      <c r="R355" s="34">
        <v>1</v>
      </c>
      <c r="S355" s="24" t="s">
        <v>34</v>
      </c>
      <c r="T355" s="24" t="s">
        <v>49</v>
      </c>
      <c r="U355" s="24" t="s">
        <v>256</v>
      </c>
      <c r="V355" s="24">
        <v>9171794652</v>
      </c>
      <c r="W355" s="24" t="s">
        <v>2100</v>
      </c>
      <c r="X355" s="34">
        <v>6</v>
      </c>
      <c r="Y355" s="24" t="s">
        <v>2112</v>
      </c>
      <c r="Z355" s="30">
        <v>46305</v>
      </c>
      <c r="AA355" s="24" t="s">
        <v>2173</v>
      </c>
      <c r="AB355" s="136" t="str">
        <f t="shared" si="5"/>
        <v>Blacklisted</v>
      </c>
    </row>
    <row r="356" spans="1:28">
      <c r="A356" s="24" t="s">
        <v>1581</v>
      </c>
      <c r="B356" s="24" t="s">
        <v>168</v>
      </c>
      <c r="C356" s="24" t="s">
        <v>40</v>
      </c>
      <c r="D356" s="30">
        <v>45918</v>
      </c>
      <c r="E356" s="30" t="s">
        <v>1582</v>
      </c>
      <c r="F356" s="24" t="s">
        <v>361</v>
      </c>
      <c r="G356" s="24" t="s">
        <v>28</v>
      </c>
      <c r="H356" s="30" t="s">
        <v>173</v>
      </c>
      <c r="I356" s="24" t="s">
        <v>114</v>
      </c>
      <c r="J356" s="24" t="s">
        <v>106</v>
      </c>
      <c r="K356" s="24" t="s">
        <v>2111</v>
      </c>
      <c r="L356" s="24" t="s">
        <v>46</v>
      </c>
      <c r="M356" s="24" t="s">
        <v>47</v>
      </c>
      <c r="N356" s="24">
        <v>9</v>
      </c>
      <c r="O356" s="36">
        <v>9000</v>
      </c>
      <c r="P356" s="35">
        <v>0.15</v>
      </c>
      <c r="Q356" s="36">
        <v>68850</v>
      </c>
      <c r="R356" s="34">
        <v>3</v>
      </c>
      <c r="S356" s="24" t="s">
        <v>2149</v>
      </c>
      <c r="T356" s="24" t="s">
        <v>49</v>
      </c>
      <c r="U356" s="24" t="s">
        <v>175</v>
      </c>
      <c r="V356" s="24">
        <v>9671497416</v>
      </c>
      <c r="W356" s="24" t="s">
        <v>2101</v>
      </c>
      <c r="X356" s="34">
        <v>24</v>
      </c>
      <c r="Y356" s="24" t="s">
        <v>2112</v>
      </c>
      <c r="Z356" s="30">
        <v>46655</v>
      </c>
      <c r="AA356" s="24" t="s">
        <v>2177</v>
      </c>
      <c r="AB356" s="136" t="str">
        <f t="shared" si="5"/>
        <v>Gold</v>
      </c>
    </row>
    <row r="357" spans="1:28">
      <c r="A357" s="24" t="s">
        <v>1585</v>
      </c>
      <c r="B357" s="24" t="s">
        <v>23</v>
      </c>
      <c r="C357" s="24" t="s">
        <v>259</v>
      </c>
      <c r="D357" s="30">
        <v>45941</v>
      </c>
      <c r="E357" s="30" t="s">
        <v>793</v>
      </c>
      <c r="F357" s="24" t="s">
        <v>27</v>
      </c>
      <c r="G357" s="24" t="s">
        <v>28</v>
      </c>
      <c r="H357" s="30" t="s">
        <v>29</v>
      </c>
      <c r="I357" s="24" t="s">
        <v>30</v>
      </c>
      <c r="J357" s="24" t="s">
        <v>31</v>
      </c>
      <c r="K357" s="24" t="s">
        <v>2111</v>
      </c>
      <c r="L357" s="24" t="s">
        <v>122</v>
      </c>
      <c r="M357" s="24" t="s">
        <v>263</v>
      </c>
      <c r="N357" s="24">
        <v>5</v>
      </c>
      <c r="O357" s="36">
        <v>33.75</v>
      </c>
      <c r="P357" s="35">
        <v>0.05</v>
      </c>
      <c r="Q357" s="36">
        <v>160.3125</v>
      </c>
      <c r="R357" s="34">
        <v>1</v>
      </c>
      <c r="S357" s="24" t="s">
        <v>79</v>
      </c>
      <c r="T357" s="24" t="s">
        <v>115</v>
      </c>
      <c r="U357" s="24" t="s">
        <v>50</v>
      </c>
      <c r="V357" s="24">
        <v>9810433484</v>
      </c>
      <c r="W357" s="24" t="s">
        <v>2100</v>
      </c>
      <c r="X357" s="34">
        <v>12</v>
      </c>
      <c r="Y357" s="24" t="s">
        <v>2108</v>
      </c>
      <c r="Z357" s="30">
        <v>46316</v>
      </c>
      <c r="AA357" s="24" t="s">
        <v>2171</v>
      </c>
      <c r="AB357" s="136" t="str">
        <f t="shared" si="5"/>
        <v>Blacklisted</v>
      </c>
    </row>
    <row r="358" spans="1:28">
      <c r="A358" s="24" t="s">
        <v>1588</v>
      </c>
      <c r="B358" s="24" t="s">
        <v>251</v>
      </c>
      <c r="C358" s="24" t="s">
        <v>184</v>
      </c>
      <c r="D358" s="30"/>
      <c r="E358" s="30" t="s">
        <v>1373</v>
      </c>
      <c r="F358" s="24" t="s">
        <v>254</v>
      </c>
      <c r="G358" s="24" t="s">
        <v>28</v>
      </c>
      <c r="H358" s="30" t="s">
        <v>255</v>
      </c>
      <c r="I358" s="24" t="s">
        <v>114</v>
      </c>
      <c r="J358" s="24" t="s">
        <v>106</v>
      </c>
      <c r="K358" s="24" t="s">
        <v>2111</v>
      </c>
      <c r="L358" s="24" t="s">
        <v>46</v>
      </c>
      <c r="M358" s="24" t="s">
        <v>189</v>
      </c>
      <c r="N358" s="24">
        <v>3</v>
      </c>
      <c r="O358" s="36">
        <v>525</v>
      </c>
      <c r="P358" s="35">
        <v>0.15</v>
      </c>
      <c r="Q358" s="36">
        <v>1338.75</v>
      </c>
      <c r="R358" s="34">
        <v>4</v>
      </c>
      <c r="S358" s="24" t="s">
        <v>34</v>
      </c>
      <c r="T358" s="24" t="s">
        <v>151</v>
      </c>
      <c r="U358" s="24" t="s">
        <v>256</v>
      </c>
      <c r="V358" s="24">
        <v>9990243436</v>
      </c>
      <c r="W358" s="24" t="s">
        <v>2100</v>
      </c>
      <c r="X358" s="34">
        <v>24</v>
      </c>
      <c r="Y358" s="24" t="s">
        <v>2112</v>
      </c>
      <c r="Z358" s="30">
        <v>46429</v>
      </c>
      <c r="AA358" s="24" t="s">
        <v>2173</v>
      </c>
      <c r="AB358" s="136" t="str">
        <f t="shared" si="5"/>
        <v>Silver</v>
      </c>
    </row>
    <row r="359" spans="1:28">
      <c r="A359" s="24" t="s">
        <v>1592</v>
      </c>
      <c r="B359" s="24" t="s">
        <v>71</v>
      </c>
      <c r="C359" s="24" t="s">
        <v>169</v>
      </c>
      <c r="D359" s="30">
        <v>46005</v>
      </c>
      <c r="E359" s="30" t="s">
        <v>961</v>
      </c>
      <c r="F359" s="24" t="s">
        <v>217</v>
      </c>
      <c r="G359" s="24" t="s">
        <v>76</v>
      </c>
      <c r="H359" s="30" t="s">
        <v>77</v>
      </c>
      <c r="I359" s="24" t="s">
        <v>44</v>
      </c>
      <c r="J359" s="24" t="s">
        <v>45</v>
      </c>
      <c r="K359" s="24" t="s">
        <v>2114</v>
      </c>
      <c r="L359" s="24" t="s">
        <v>32</v>
      </c>
      <c r="M359" s="24" t="s">
        <v>174</v>
      </c>
      <c r="N359" s="24">
        <v>12</v>
      </c>
      <c r="O359" s="36">
        <v>6375</v>
      </c>
      <c r="P359" s="35">
        <v>0.05</v>
      </c>
      <c r="Q359" s="36">
        <v>72675</v>
      </c>
      <c r="R359" s="34">
        <v>3</v>
      </c>
      <c r="S359" s="24" t="s">
        <v>79</v>
      </c>
      <c r="T359" s="24" t="s">
        <v>61</v>
      </c>
      <c r="U359" s="24" t="s">
        <v>80</v>
      </c>
      <c r="V359" s="24">
        <v>9396678031</v>
      </c>
      <c r="W359" s="24" t="s">
        <v>2100</v>
      </c>
      <c r="X359" s="34">
        <v>24</v>
      </c>
      <c r="Y359" s="24" t="s">
        <v>2110</v>
      </c>
      <c r="Z359" s="30">
        <v>46747</v>
      </c>
      <c r="AA359" s="24" t="s">
        <v>2173</v>
      </c>
      <c r="AB359" s="136" t="str">
        <f t="shared" si="5"/>
        <v>Gold</v>
      </c>
    </row>
    <row r="360" spans="1:28">
      <c r="A360" s="24" t="s">
        <v>1595</v>
      </c>
      <c r="B360" s="24" t="s">
        <v>251</v>
      </c>
      <c r="C360" s="24" t="s">
        <v>169</v>
      </c>
      <c r="D360" s="30">
        <v>46123</v>
      </c>
      <c r="E360" s="30" t="s">
        <v>356</v>
      </c>
      <c r="F360" s="24" t="s">
        <v>254</v>
      </c>
      <c r="G360" s="24" t="s">
        <v>28</v>
      </c>
      <c r="H360" s="30" t="s">
        <v>255</v>
      </c>
      <c r="I360" s="24" t="s">
        <v>114</v>
      </c>
      <c r="J360" s="24" t="s">
        <v>106</v>
      </c>
      <c r="K360" s="24" t="s">
        <v>2111</v>
      </c>
      <c r="L360" s="24" t="s">
        <v>32</v>
      </c>
      <c r="M360" s="24" t="s">
        <v>174</v>
      </c>
      <c r="N360" s="24">
        <v>4</v>
      </c>
      <c r="O360" s="36">
        <v>6375</v>
      </c>
      <c r="P360" s="35">
        <v>0.15</v>
      </c>
      <c r="Q360" s="36">
        <v>21675</v>
      </c>
      <c r="R360" s="34">
        <v>4</v>
      </c>
      <c r="S360" s="24" t="s">
        <v>2148</v>
      </c>
      <c r="T360" s="24" t="s">
        <v>61</v>
      </c>
      <c r="U360" s="24" t="s">
        <v>256</v>
      </c>
      <c r="V360" s="24">
        <v>9818591245</v>
      </c>
      <c r="W360" s="24" t="s">
        <v>2100</v>
      </c>
      <c r="X360" s="34">
        <v>24</v>
      </c>
      <c r="Y360" s="24" t="s">
        <v>2112</v>
      </c>
      <c r="Z360" s="30">
        <v>46862</v>
      </c>
      <c r="AA360" s="24" t="s">
        <v>2173</v>
      </c>
      <c r="AB360" s="136" t="str">
        <f t="shared" si="5"/>
        <v>Silver</v>
      </c>
    </row>
    <row r="361" spans="1:28">
      <c r="A361" s="24" t="s">
        <v>1598</v>
      </c>
      <c r="B361" s="24" t="s">
        <v>127</v>
      </c>
      <c r="C361" s="24" t="s">
        <v>222</v>
      </c>
      <c r="D361" s="30">
        <v>45766</v>
      </c>
      <c r="E361" s="30" t="s">
        <v>953</v>
      </c>
      <c r="F361" s="24" t="s">
        <v>200</v>
      </c>
      <c r="G361" s="24" t="s">
        <v>76</v>
      </c>
      <c r="H361" s="30" t="s">
        <v>131</v>
      </c>
      <c r="I361" s="24" t="s">
        <v>44</v>
      </c>
      <c r="J361" s="24" t="s">
        <v>45</v>
      </c>
      <c r="K361" s="24" t="s">
        <v>2113</v>
      </c>
      <c r="L361" s="24" t="s">
        <v>122</v>
      </c>
      <c r="M361" s="24" t="s">
        <v>227</v>
      </c>
      <c r="N361" s="24">
        <v>16</v>
      </c>
      <c r="O361" s="36">
        <v>15</v>
      </c>
      <c r="P361" s="35">
        <v>0.1</v>
      </c>
      <c r="Q361" s="36">
        <v>216</v>
      </c>
      <c r="R361" s="34">
        <v>4</v>
      </c>
      <c r="S361" s="24" t="s">
        <v>34</v>
      </c>
      <c r="T361" s="24" t="s">
        <v>115</v>
      </c>
      <c r="U361" s="24" t="s">
        <v>132</v>
      </c>
      <c r="V361" s="24">
        <v>9505550047</v>
      </c>
      <c r="W361" s="24" t="s">
        <v>2103</v>
      </c>
      <c r="X361" s="34">
        <v>12</v>
      </c>
      <c r="Y361" s="24" t="s">
        <v>2112</v>
      </c>
      <c r="Z361" s="30">
        <v>46134</v>
      </c>
      <c r="AA361" s="24" t="s">
        <v>2176</v>
      </c>
      <c r="AB361" s="136" t="str">
        <f t="shared" si="5"/>
        <v>Silver</v>
      </c>
    </row>
    <row r="362" spans="1:28">
      <c r="A362" s="24" t="s">
        <v>1601</v>
      </c>
      <c r="B362" s="24" t="s">
        <v>127</v>
      </c>
      <c r="C362" s="24" t="s">
        <v>118</v>
      </c>
      <c r="D362" s="30">
        <v>46152</v>
      </c>
      <c r="E362" s="30" t="s">
        <v>1602</v>
      </c>
      <c r="F362" s="24" t="s">
        <v>200</v>
      </c>
      <c r="G362" s="24" t="s">
        <v>76</v>
      </c>
      <c r="H362" s="30" t="s">
        <v>131</v>
      </c>
      <c r="I362" s="24" t="s">
        <v>44</v>
      </c>
      <c r="J362" s="24" t="s">
        <v>45</v>
      </c>
      <c r="K362" s="24" t="s">
        <v>2113</v>
      </c>
      <c r="L362" s="24" t="s">
        <v>122</v>
      </c>
      <c r="M362" s="24" t="s">
        <v>123</v>
      </c>
      <c r="N362" s="24">
        <v>3</v>
      </c>
      <c r="O362" s="36">
        <v>45</v>
      </c>
      <c r="P362" s="35">
        <v>0.2</v>
      </c>
      <c r="Q362" s="36">
        <v>108</v>
      </c>
      <c r="R362" s="34">
        <v>4</v>
      </c>
      <c r="S362" s="24" t="s">
        <v>2149</v>
      </c>
      <c r="T362" s="24" t="s">
        <v>151</v>
      </c>
      <c r="U362" s="24" t="s">
        <v>132</v>
      </c>
      <c r="V362" s="24">
        <v>9469828772</v>
      </c>
      <c r="W362" s="24" t="s">
        <v>2102</v>
      </c>
      <c r="X362" s="34">
        <v>12</v>
      </c>
      <c r="Y362" s="24" t="s">
        <v>2112</v>
      </c>
      <c r="Z362" s="30">
        <v>46525</v>
      </c>
      <c r="AA362" s="24" t="s">
        <v>2176</v>
      </c>
      <c r="AB362" s="136" t="str">
        <f t="shared" si="5"/>
        <v>Silver</v>
      </c>
    </row>
    <row r="363" spans="1:28">
      <c r="A363" s="24" t="s">
        <v>1605</v>
      </c>
      <c r="B363" s="24" t="s">
        <v>71</v>
      </c>
      <c r="C363" s="24" t="s">
        <v>24</v>
      </c>
      <c r="D363" s="30">
        <v>45858</v>
      </c>
      <c r="E363" s="30" t="s">
        <v>155</v>
      </c>
      <c r="F363" s="24" t="s">
        <v>217</v>
      </c>
      <c r="G363" s="24" t="s">
        <v>76</v>
      </c>
      <c r="H363" s="30" t="s">
        <v>77</v>
      </c>
      <c r="I363" s="24" t="s">
        <v>44</v>
      </c>
      <c r="J363" s="24" t="s">
        <v>45</v>
      </c>
      <c r="K363" s="24" t="s">
        <v>2114</v>
      </c>
      <c r="L363" s="24" t="s">
        <v>32</v>
      </c>
      <c r="M363" s="24" t="s">
        <v>33</v>
      </c>
      <c r="N363" s="24">
        <v>19</v>
      </c>
      <c r="O363" s="36">
        <v>1650</v>
      </c>
      <c r="P363" s="35">
        <v>0.1</v>
      </c>
      <c r="Q363" s="36">
        <v>28215</v>
      </c>
      <c r="R363" s="34">
        <v>2</v>
      </c>
      <c r="S363" s="24" t="s">
        <v>34</v>
      </c>
      <c r="T363" s="24" t="s">
        <v>151</v>
      </c>
      <c r="U363" s="24" t="s">
        <v>80</v>
      </c>
      <c r="V363" s="24">
        <v>9885092680</v>
      </c>
      <c r="W363" s="24" t="s">
        <v>2101</v>
      </c>
      <c r="X363" s="34">
        <v>24</v>
      </c>
      <c r="Y363" s="24" t="s">
        <v>2110</v>
      </c>
      <c r="Z363" s="30">
        <v>46594</v>
      </c>
      <c r="AA363" s="24" t="s">
        <v>2173</v>
      </c>
      <c r="AB363" s="136" t="str">
        <f t="shared" si="5"/>
        <v>Blacklisted</v>
      </c>
    </row>
    <row r="364" spans="1:28">
      <c r="A364" s="24" t="s">
        <v>1608</v>
      </c>
      <c r="B364" s="24" t="s">
        <v>71</v>
      </c>
      <c r="C364" s="24" t="s">
        <v>72</v>
      </c>
      <c r="D364" s="30">
        <v>46045</v>
      </c>
      <c r="E364" s="30" t="s">
        <v>588</v>
      </c>
      <c r="F364" s="24" t="s">
        <v>217</v>
      </c>
      <c r="G364" s="24" t="s">
        <v>76</v>
      </c>
      <c r="H364" s="30" t="s">
        <v>77</v>
      </c>
      <c r="I364" s="24" t="s">
        <v>44</v>
      </c>
      <c r="J364" s="24" t="s">
        <v>45</v>
      </c>
      <c r="K364" s="24" t="s">
        <v>2114</v>
      </c>
      <c r="L364" s="24" t="s">
        <v>46</v>
      </c>
      <c r="M364" s="24" t="s">
        <v>78</v>
      </c>
      <c r="N364" s="24">
        <v>7</v>
      </c>
      <c r="O364" s="36">
        <v>900</v>
      </c>
      <c r="P364" s="35">
        <v>0.2</v>
      </c>
      <c r="Q364" s="36">
        <v>5040</v>
      </c>
      <c r="R364" s="34">
        <v>3</v>
      </c>
      <c r="S364" s="24" t="s">
        <v>79</v>
      </c>
      <c r="T364" s="24" t="s">
        <v>115</v>
      </c>
      <c r="U364" s="24" t="s">
        <v>80</v>
      </c>
      <c r="V364" s="24">
        <v>9362319457</v>
      </c>
      <c r="W364" s="24" t="s">
        <v>2100</v>
      </c>
      <c r="X364" s="34">
        <v>6</v>
      </c>
      <c r="Y364" s="24" t="s">
        <v>2110</v>
      </c>
      <c r="Z364" s="30">
        <v>46230</v>
      </c>
      <c r="AA364" s="24" t="s">
        <v>2173</v>
      </c>
      <c r="AB364" s="136" t="str">
        <f t="shared" si="5"/>
        <v>Silver</v>
      </c>
    </row>
    <row r="365" spans="1:28">
      <c r="A365" s="24" t="s">
        <v>1612</v>
      </c>
      <c r="B365" s="24" t="s">
        <v>53</v>
      </c>
      <c r="C365" s="24" t="s">
        <v>222</v>
      </c>
      <c r="D365" s="30">
        <v>46097</v>
      </c>
      <c r="E365" s="30" t="s">
        <v>65</v>
      </c>
      <c r="F365" s="24" t="s">
        <v>163</v>
      </c>
      <c r="G365" s="24" t="s">
        <v>28</v>
      </c>
      <c r="H365" s="30" t="s">
        <v>58</v>
      </c>
      <c r="I365" s="24" t="s">
        <v>59</v>
      </c>
      <c r="J365" s="24" t="s">
        <v>31</v>
      </c>
      <c r="K365" s="24" t="s">
        <v>2111</v>
      </c>
      <c r="L365" s="24" t="s">
        <v>122</v>
      </c>
      <c r="M365" s="24" t="s">
        <v>227</v>
      </c>
      <c r="N365" s="24">
        <v>20</v>
      </c>
      <c r="O365" s="36">
        <v>15</v>
      </c>
      <c r="P365" s="35">
        <v>0.2</v>
      </c>
      <c r="Q365" s="36">
        <v>240</v>
      </c>
      <c r="R365" s="34">
        <v>5</v>
      </c>
      <c r="S365" s="24" t="s">
        <v>79</v>
      </c>
      <c r="T365" s="24" t="s">
        <v>115</v>
      </c>
      <c r="U365" s="24" t="s">
        <v>62</v>
      </c>
      <c r="V365" s="24">
        <v>9223945130</v>
      </c>
      <c r="W365" s="24" t="s">
        <v>2103</v>
      </c>
      <c r="X365" s="34">
        <v>12</v>
      </c>
      <c r="Y365" s="24" t="s">
        <v>2108</v>
      </c>
      <c r="Z365" s="30">
        <v>46467</v>
      </c>
      <c r="AA365" s="24" t="s">
        <v>2172</v>
      </c>
      <c r="AB365" s="136" t="str">
        <f t="shared" si="5"/>
        <v>Silver</v>
      </c>
    </row>
    <row r="366" spans="1:28">
      <c r="A366" s="24" t="s">
        <v>1615</v>
      </c>
      <c r="B366" s="24" t="s">
        <v>100</v>
      </c>
      <c r="C366" s="24" t="s">
        <v>72</v>
      </c>
      <c r="D366" s="30">
        <v>45777</v>
      </c>
      <c r="E366" s="30" t="s">
        <v>1616</v>
      </c>
      <c r="F366" s="24" t="s">
        <v>103</v>
      </c>
      <c r="G366" s="24" t="s">
        <v>28</v>
      </c>
      <c r="H366" s="30" t="s">
        <v>104</v>
      </c>
      <c r="I366" s="24" t="s">
        <v>105</v>
      </c>
      <c r="J366" s="24" t="s">
        <v>106</v>
      </c>
      <c r="K366" s="24" t="s">
        <v>2111</v>
      </c>
      <c r="L366" s="24" t="s">
        <v>46</v>
      </c>
      <c r="M366" s="24" t="s">
        <v>78</v>
      </c>
      <c r="N366" s="24">
        <v>19</v>
      </c>
      <c r="O366" s="36">
        <v>900</v>
      </c>
      <c r="P366" s="35">
        <v>0.05</v>
      </c>
      <c r="Q366" s="36">
        <v>16245</v>
      </c>
      <c r="R366" s="34">
        <v>3</v>
      </c>
      <c r="S366" s="24" t="s">
        <v>79</v>
      </c>
      <c r="T366" s="24" t="s">
        <v>35</v>
      </c>
      <c r="U366" s="24" t="s">
        <v>144</v>
      </c>
      <c r="V366" s="24">
        <v>9910804926</v>
      </c>
      <c r="W366" s="24" t="s">
        <v>2100</v>
      </c>
      <c r="X366" s="34">
        <v>6</v>
      </c>
      <c r="Y366" s="24" t="s">
        <v>2110</v>
      </c>
      <c r="Z366" s="30">
        <v>45968</v>
      </c>
      <c r="AA366" s="24" t="s">
        <v>2175</v>
      </c>
      <c r="AB366" s="136" t="str">
        <f t="shared" si="5"/>
        <v>Silver</v>
      </c>
    </row>
    <row r="367" spans="1:28">
      <c r="A367" s="24" t="s">
        <v>1619</v>
      </c>
      <c r="B367" s="24" t="s">
        <v>53</v>
      </c>
      <c r="C367" s="24" t="s">
        <v>222</v>
      </c>
      <c r="D367" s="30">
        <v>45691</v>
      </c>
      <c r="E367" s="30" t="s">
        <v>302</v>
      </c>
      <c r="F367" s="24" t="s">
        <v>163</v>
      </c>
      <c r="G367" s="24" t="s">
        <v>28</v>
      </c>
      <c r="H367" s="30" t="s">
        <v>58</v>
      </c>
      <c r="I367" s="24" t="s">
        <v>59</v>
      </c>
      <c r="J367" s="24" t="s">
        <v>31</v>
      </c>
      <c r="K367" s="24" t="s">
        <v>2111</v>
      </c>
      <c r="L367" s="24" t="s">
        <v>122</v>
      </c>
      <c r="M367" s="24" t="s">
        <v>227</v>
      </c>
      <c r="N367" s="24">
        <v>5</v>
      </c>
      <c r="O367" s="36">
        <v>15</v>
      </c>
      <c r="P367" s="35">
        <v>0</v>
      </c>
      <c r="Q367" s="36">
        <v>75</v>
      </c>
      <c r="R367" s="34">
        <v>2</v>
      </c>
      <c r="S367" s="24" t="s">
        <v>2149</v>
      </c>
      <c r="T367" s="24" t="s">
        <v>49</v>
      </c>
      <c r="U367" s="24" t="s">
        <v>62</v>
      </c>
      <c r="V367" s="24">
        <v>9274269744</v>
      </c>
      <c r="W367" s="24" t="s">
        <v>2103</v>
      </c>
      <c r="X367" s="34">
        <v>12</v>
      </c>
      <c r="Y367" s="24" t="s">
        <v>2108</v>
      </c>
      <c r="Z367" s="30">
        <v>46066</v>
      </c>
      <c r="AA367" s="24" t="s">
        <v>2172</v>
      </c>
      <c r="AB367" s="136" t="str">
        <f t="shared" si="5"/>
        <v>Blacklisted</v>
      </c>
    </row>
    <row r="368" spans="1:28">
      <c r="A368" s="24" t="s">
        <v>1623</v>
      </c>
      <c r="B368" s="24" t="s">
        <v>100</v>
      </c>
      <c r="C368" s="24" t="s">
        <v>259</v>
      </c>
      <c r="D368" s="30">
        <v>46088</v>
      </c>
      <c r="E368" s="30" t="s">
        <v>543</v>
      </c>
      <c r="F368" s="24" t="s">
        <v>103</v>
      </c>
      <c r="G368" s="24" t="s">
        <v>28</v>
      </c>
      <c r="H368" s="30" t="s">
        <v>104</v>
      </c>
      <c r="I368" s="24" t="s">
        <v>105</v>
      </c>
      <c r="J368" s="24" t="s">
        <v>106</v>
      </c>
      <c r="K368" s="24" t="s">
        <v>2111</v>
      </c>
      <c r="L368" s="24" t="s">
        <v>122</v>
      </c>
      <c r="M368" s="24" t="s">
        <v>263</v>
      </c>
      <c r="N368" s="24">
        <v>16</v>
      </c>
      <c r="O368" s="36">
        <v>33.75</v>
      </c>
      <c r="P368" s="35">
        <v>0.15</v>
      </c>
      <c r="Q368" s="36">
        <v>459</v>
      </c>
      <c r="R368" s="34">
        <v>5</v>
      </c>
      <c r="S368" s="24" t="s">
        <v>34</v>
      </c>
      <c r="T368" s="24" t="s">
        <v>61</v>
      </c>
      <c r="U368" s="24" t="s">
        <v>144</v>
      </c>
      <c r="V368" s="24">
        <v>9223196101</v>
      </c>
      <c r="W368" s="24" t="s">
        <v>2100</v>
      </c>
      <c r="X368" s="34">
        <v>12</v>
      </c>
      <c r="Y368" s="24" t="s">
        <v>2110</v>
      </c>
      <c r="Z368" s="30">
        <v>46462</v>
      </c>
      <c r="AA368" s="24" t="s">
        <v>2175</v>
      </c>
      <c r="AB368" s="136" t="str">
        <f t="shared" si="5"/>
        <v>Silver</v>
      </c>
    </row>
    <row r="369" spans="1:28">
      <c r="A369" s="24" t="s">
        <v>1626</v>
      </c>
      <c r="B369" s="24" t="s">
        <v>23</v>
      </c>
      <c r="C369" s="24" t="s">
        <v>24</v>
      </c>
      <c r="D369" s="30">
        <v>45780</v>
      </c>
      <c r="E369" s="30" t="s">
        <v>944</v>
      </c>
      <c r="F369" s="24" t="s">
        <v>27</v>
      </c>
      <c r="G369" s="24" t="s">
        <v>28</v>
      </c>
      <c r="H369" s="30" t="s">
        <v>29</v>
      </c>
      <c r="I369" s="24" t="s">
        <v>30</v>
      </c>
      <c r="J369" s="24" t="s">
        <v>31</v>
      </c>
      <c r="K369" s="24" t="s">
        <v>2111</v>
      </c>
      <c r="L369" s="24" t="s">
        <v>32</v>
      </c>
      <c r="M369" s="24" t="s">
        <v>33</v>
      </c>
      <c r="N369" s="24">
        <v>1</v>
      </c>
      <c r="O369" s="36">
        <v>1650</v>
      </c>
      <c r="P369" s="35">
        <v>0.1</v>
      </c>
      <c r="Q369" s="36">
        <v>1485</v>
      </c>
      <c r="R369" s="34">
        <v>5</v>
      </c>
      <c r="S369" s="24" t="s">
        <v>79</v>
      </c>
      <c r="T369" s="24" t="s">
        <v>49</v>
      </c>
      <c r="U369" s="24" t="s">
        <v>50</v>
      </c>
      <c r="V369" s="24">
        <v>9888477457</v>
      </c>
      <c r="W369" s="24" t="s">
        <v>2101</v>
      </c>
      <c r="X369" s="34">
        <v>24</v>
      </c>
      <c r="Y369" s="24" t="s">
        <v>2108</v>
      </c>
      <c r="Z369" s="30">
        <v>46522</v>
      </c>
      <c r="AA369" s="24" t="s">
        <v>2171</v>
      </c>
      <c r="AB369" s="136" t="str">
        <f t="shared" si="5"/>
        <v>Silver</v>
      </c>
    </row>
    <row r="370" spans="1:28">
      <c r="A370" s="24" t="s">
        <v>1629</v>
      </c>
      <c r="B370" s="24" t="s">
        <v>53</v>
      </c>
      <c r="C370" s="24" t="s">
        <v>118</v>
      </c>
      <c r="D370" s="30">
        <v>46113</v>
      </c>
      <c r="E370" s="30" t="s">
        <v>1630</v>
      </c>
      <c r="F370" s="24" t="s">
        <v>163</v>
      </c>
      <c r="G370" s="24" t="s">
        <v>28</v>
      </c>
      <c r="H370" s="30" t="s">
        <v>58</v>
      </c>
      <c r="I370" s="24" t="s">
        <v>59</v>
      </c>
      <c r="J370" s="24" t="s">
        <v>31</v>
      </c>
      <c r="K370" s="24" t="s">
        <v>2111</v>
      </c>
      <c r="L370" s="24" t="s">
        <v>122</v>
      </c>
      <c r="M370" s="24" t="s">
        <v>123</v>
      </c>
      <c r="N370" s="24">
        <v>19</v>
      </c>
      <c r="O370" s="36">
        <v>45</v>
      </c>
      <c r="P370" s="35">
        <v>0.15</v>
      </c>
      <c r="Q370" s="36">
        <v>726.75</v>
      </c>
      <c r="R370" s="34">
        <v>4</v>
      </c>
      <c r="S370" s="24" t="s">
        <v>2148</v>
      </c>
      <c r="T370" s="24" t="s">
        <v>115</v>
      </c>
      <c r="U370" s="24" t="s">
        <v>62</v>
      </c>
      <c r="V370" s="24">
        <v>9435947486</v>
      </c>
      <c r="W370" s="24" t="s">
        <v>2102</v>
      </c>
      <c r="X370" s="34">
        <v>12</v>
      </c>
      <c r="Y370" s="24" t="s">
        <v>2108</v>
      </c>
      <c r="Z370" s="30">
        <v>46482</v>
      </c>
      <c r="AA370" s="24" t="s">
        <v>2172</v>
      </c>
      <c r="AB370" s="136" t="str">
        <f t="shared" si="5"/>
        <v>Silver</v>
      </c>
    </row>
    <row r="371" spans="1:28">
      <c r="A371" s="24" t="s">
        <v>1633</v>
      </c>
      <c r="B371" s="24" t="s">
        <v>327</v>
      </c>
      <c r="C371" s="24" t="s">
        <v>54</v>
      </c>
      <c r="D371" s="30"/>
      <c r="E371" s="30" t="s">
        <v>1634</v>
      </c>
      <c r="F371" s="24" t="s">
        <v>394</v>
      </c>
      <c r="G371" s="24" t="s">
        <v>76</v>
      </c>
      <c r="H371" s="30" t="s">
        <v>331</v>
      </c>
      <c r="I371" s="24" t="s">
        <v>114</v>
      </c>
      <c r="J371" s="24" t="s">
        <v>106</v>
      </c>
      <c r="K371" s="24" t="s">
        <v>2109</v>
      </c>
      <c r="L371" s="24" t="s">
        <v>46</v>
      </c>
      <c r="M371" s="24" t="s">
        <v>60</v>
      </c>
      <c r="N371" s="24">
        <v>15</v>
      </c>
      <c r="O371" s="36">
        <v>41250</v>
      </c>
      <c r="P371" s="35">
        <v>0</v>
      </c>
      <c r="Q371" s="36">
        <v>618750</v>
      </c>
      <c r="R371" s="34">
        <v>5</v>
      </c>
      <c r="S371" s="24" t="s">
        <v>79</v>
      </c>
      <c r="T371" s="24" t="s">
        <v>115</v>
      </c>
      <c r="U371" s="24" t="s">
        <v>332</v>
      </c>
      <c r="V371" s="24">
        <v>9411668831</v>
      </c>
      <c r="W371" s="24" t="s">
        <v>2100</v>
      </c>
      <c r="X371" s="34">
        <v>12</v>
      </c>
      <c r="Y371" s="24" t="s">
        <v>2108</v>
      </c>
      <c r="Z371" s="30">
        <v>46055</v>
      </c>
      <c r="AA371" s="24" t="s">
        <v>2171</v>
      </c>
      <c r="AB371" s="136" t="str">
        <f t="shared" si="5"/>
        <v>Platinum</v>
      </c>
    </row>
    <row r="372" spans="1:28">
      <c r="A372" s="24" t="s">
        <v>1637</v>
      </c>
      <c r="B372" s="24" t="s">
        <v>71</v>
      </c>
      <c r="C372" s="24" t="s">
        <v>259</v>
      </c>
      <c r="D372" s="30">
        <v>45936</v>
      </c>
      <c r="E372" s="30" t="s">
        <v>1638</v>
      </c>
      <c r="F372" s="24" t="s">
        <v>217</v>
      </c>
      <c r="G372" s="24" t="s">
        <v>76</v>
      </c>
      <c r="H372" s="30" t="s">
        <v>77</v>
      </c>
      <c r="I372" s="24" t="s">
        <v>44</v>
      </c>
      <c r="J372" s="24" t="s">
        <v>45</v>
      </c>
      <c r="K372" s="24" t="s">
        <v>2114</v>
      </c>
      <c r="L372" s="24" t="s">
        <v>122</v>
      </c>
      <c r="M372" s="24" t="s">
        <v>263</v>
      </c>
      <c r="N372" s="24">
        <v>11</v>
      </c>
      <c r="O372" s="36">
        <v>33.75</v>
      </c>
      <c r="P372" s="35">
        <v>0.05</v>
      </c>
      <c r="Q372" s="36">
        <v>352.6875</v>
      </c>
      <c r="R372" s="34">
        <v>5</v>
      </c>
      <c r="S372" s="24" t="s">
        <v>2148</v>
      </c>
      <c r="T372" s="24" t="s">
        <v>151</v>
      </c>
      <c r="U372" s="24" t="s">
        <v>80</v>
      </c>
      <c r="V372" s="24">
        <v>9523682403</v>
      </c>
      <c r="W372" s="24" t="s">
        <v>2100</v>
      </c>
      <c r="X372" s="34">
        <v>12</v>
      </c>
      <c r="Y372" s="24" t="s">
        <v>2110</v>
      </c>
      <c r="Z372" s="30">
        <v>46303</v>
      </c>
      <c r="AA372" s="24" t="s">
        <v>2173</v>
      </c>
      <c r="AB372" s="136" t="str">
        <f t="shared" si="5"/>
        <v>Silver</v>
      </c>
    </row>
    <row r="373" spans="1:28">
      <c r="A373" s="24" t="s">
        <v>1641</v>
      </c>
      <c r="B373" s="24" t="s">
        <v>251</v>
      </c>
      <c r="C373" s="24" t="s">
        <v>222</v>
      </c>
      <c r="D373" s="30">
        <v>45820</v>
      </c>
      <c r="E373" s="30" t="s">
        <v>1643</v>
      </c>
      <c r="F373" s="24" t="s">
        <v>254</v>
      </c>
      <c r="G373" s="24" t="s">
        <v>28</v>
      </c>
      <c r="H373" s="30" t="s">
        <v>255</v>
      </c>
      <c r="I373" s="24" t="s">
        <v>114</v>
      </c>
      <c r="J373" s="24" t="s">
        <v>106</v>
      </c>
      <c r="K373" s="24" t="s">
        <v>2111</v>
      </c>
      <c r="L373" s="24" t="s">
        <v>122</v>
      </c>
      <c r="M373" s="24" t="s">
        <v>227</v>
      </c>
      <c r="N373" s="24">
        <v>9</v>
      </c>
      <c r="O373" s="36">
        <v>15</v>
      </c>
      <c r="P373" s="35">
        <v>0.1</v>
      </c>
      <c r="Q373" s="36">
        <v>121.5</v>
      </c>
      <c r="R373" s="34">
        <v>1</v>
      </c>
      <c r="S373" s="24" t="s">
        <v>79</v>
      </c>
      <c r="T373" s="24" t="s">
        <v>49</v>
      </c>
      <c r="U373" s="24" t="s">
        <v>256</v>
      </c>
      <c r="V373" s="24">
        <v>9652936744</v>
      </c>
      <c r="W373" s="24" t="s">
        <v>2103</v>
      </c>
      <c r="X373" s="34">
        <v>12</v>
      </c>
      <c r="Y373" s="24" t="s">
        <v>2112</v>
      </c>
      <c r="Z373" s="30">
        <v>46190</v>
      </c>
      <c r="AA373" s="24" t="s">
        <v>2173</v>
      </c>
      <c r="AB373" s="136" t="str">
        <f t="shared" si="5"/>
        <v>Blacklisted</v>
      </c>
    </row>
    <row r="374" spans="1:28">
      <c r="A374" s="24" t="s">
        <v>1646</v>
      </c>
      <c r="B374" s="24" t="s">
        <v>168</v>
      </c>
      <c r="C374" s="24" t="s">
        <v>259</v>
      </c>
      <c r="D374" s="30">
        <v>45979</v>
      </c>
      <c r="E374" s="30" t="s">
        <v>980</v>
      </c>
      <c r="F374" s="24" t="s">
        <v>361</v>
      </c>
      <c r="G374" s="24" t="s">
        <v>28</v>
      </c>
      <c r="H374" s="30" t="s">
        <v>173</v>
      </c>
      <c r="I374" s="24" t="s">
        <v>114</v>
      </c>
      <c r="J374" s="24" t="s">
        <v>106</v>
      </c>
      <c r="K374" s="24" t="s">
        <v>2111</v>
      </c>
      <c r="L374" s="24" t="s">
        <v>122</v>
      </c>
      <c r="M374" s="24" t="s">
        <v>263</v>
      </c>
      <c r="N374" s="24">
        <v>5</v>
      </c>
      <c r="O374" s="36">
        <v>33.75</v>
      </c>
      <c r="P374" s="35">
        <v>0.05</v>
      </c>
      <c r="Q374" s="36">
        <v>160.3125</v>
      </c>
      <c r="R374" s="34">
        <v>3</v>
      </c>
      <c r="S374" s="24" t="s">
        <v>79</v>
      </c>
      <c r="T374" s="24" t="s">
        <v>115</v>
      </c>
      <c r="U374" s="24" t="s">
        <v>175</v>
      </c>
      <c r="V374" s="24">
        <v>9726464733</v>
      </c>
      <c r="W374" s="24" t="s">
        <v>2100</v>
      </c>
      <c r="X374" s="34">
        <v>12</v>
      </c>
      <c r="Y374" s="24" t="s">
        <v>2112</v>
      </c>
      <c r="Z374" s="30">
        <v>46346</v>
      </c>
      <c r="AA374" s="24" t="s">
        <v>2177</v>
      </c>
      <c r="AB374" s="136" t="str">
        <f t="shared" si="5"/>
        <v>Silver</v>
      </c>
    </row>
    <row r="375" spans="1:28">
      <c r="A375" s="24" t="s">
        <v>1649</v>
      </c>
      <c r="B375" s="24" t="s">
        <v>83</v>
      </c>
      <c r="C375" s="24" t="s">
        <v>184</v>
      </c>
      <c r="D375" s="30">
        <v>45962</v>
      </c>
      <c r="E375" s="30" t="s">
        <v>1102</v>
      </c>
      <c r="F375" s="24" t="s">
        <v>180</v>
      </c>
      <c r="G375" s="24" t="s">
        <v>76</v>
      </c>
      <c r="H375" s="30" t="s">
        <v>87</v>
      </c>
      <c r="I375" s="24" t="s">
        <v>30</v>
      </c>
      <c r="J375" s="24" t="s">
        <v>31</v>
      </c>
      <c r="K375" s="24" t="s">
        <v>2109</v>
      </c>
      <c r="L375" s="24" t="s">
        <v>46</v>
      </c>
      <c r="M375" s="24" t="s">
        <v>189</v>
      </c>
      <c r="N375" s="24">
        <v>5</v>
      </c>
      <c r="O375" s="36">
        <v>525</v>
      </c>
      <c r="P375" s="35">
        <v>0.1</v>
      </c>
      <c r="Q375" s="36">
        <v>2362.5</v>
      </c>
      <c r="R375" s="34">
        <v>2</v>
      </c>
      <c r="S375" s="24" t="s">
        <v>2149</v>
      </c>
      <c r="T375" s="24" t="s">
        <v>49</v>
      </c>
      <c r="U375" s="24" t="s">
        <v>89</v>
      </c>
      <c r="V375" s="24">
        <v>9273520544</v>
      </c>
      <c r="W375" s="24" t="s">
        <v>2100</v>
      </c>
      <c r="X375" s="34">
        <v>24</v>
      </c>
      <c r="Y375" s="24" t="s">
        <v>2108</v>
      </c>
      <c r="Z375" s="30">
        <v>46693</v>
      </c>
      <c r="AA375" s="24" t="s">
        <v>2174</v>
      </c>
      <c r="AB375" s="136" t="str">
        <f t="shared" si="5"/>
        <v>Blacklisted</v>
      </c>
    </row>
    <row r="376" spans="1:28">
      <c r="A376" s="24" t="s">
        <v>1653</v>
      </c>
      <c r="B376" s="24" t="s">
        <v>221</v>
      </c>
      <c r="C376" s="24" t="s">
        <v>184</v>
      </c>
      <c r="D376" s="30">
        <v>45681</v>
      </c>
      <c r="E376" s="30" t="s">
        <v>1654</v>
      </c>
      <c r="F376" s="24" t="s">
        <v>225</v>
      </c>
      <c r="G376" s="24" t="s">
        <v>76</v>
      </c>
      <c r="H376" s="30" t="s">
        <v>226</v>
      </c>
      <c r="I376" s="24" t="s">
        <v>105</v>
      </c>
      <c r="J376" s="24" t="s">
        <v>106</v>
      </c>
      <c r="K376" s="24" t="s">
        <v>2113</v>
      </c>
      <c r="L376" s="24" t="s">
        <v>46</v>
      </c>
      <c r="M376" s="24" t="s">
        <v>189</v>
      </c>
      <c r="N376" s="24">
        <v>1</v>
      </c>
      <c r="O376" s="36">
        <v>525</v>
      </c>
      <c r="P376" s="35">
        <v>0</v>
      </c>
      <c r="Q376" s="36">
        <v>525</v>
      </c>
      <c r="R376" s="34">
        <v>1</v>
      </c>
      <c r="S376" s="24" t="s">
        <v>2149</v>
      </c>
      <c r="T376" s="24" t="s">
        <v>151</v>
      </c>
      <c r="U376" s="24" t="s">
        <v>228</v>
      </c>
      <c r="V376" s="24">
        <v>9374259988</v>
      </c>
      <c r="W376" s="24" t="s">
        <v>2100</v>
      </c>
      <c r="X376" s="34">
        <v>24</v>
      </c>
      <c r="Y376" s="24" t="s">
        <v>2112</v>
      </c>
      <c r="Z376" s="30">
        <v>46418</v>
      </c>
      <c r="AA376" s="24" t="s">
        <v>2171</v>
      </c>
      <c r="AB376" s="136" t="str">
        <f t="shared" si="5"/>
        <v>Blacklisted</v>
      </c>
    </row>
    <row r="377" spans="1:28">
      <c r="A377" s="24" t="s">
        <v>1657</v>
      </c>
      <c r="B377" s="24" t="s">
        <v>23</v>
      </c>
      <c r="C377" s="24" t="s">
        <v>184</v>
      </c>
      <c r="D377" s="30">
        <v>46066</v>
      </c>
      <c r="E377" s="30" t="s">
        <v>923</v>
      </c>
      <c r="F377" s="24" t="s">
        <v>27</v>
      </c>
      <c r="G377" s="24" t="s">
        <v>28</v>
      </c>
      <c r="H377" s="30" t="s">
        <v>29</v>
      </c>
      <c r="I377" s="24" t="s">
        <v>30</v>
      </c>
      <c r="J377" s="24" t="s">
        <v>31</v>
      </c>
      <c r="K377" s="24" t="s">
        <v>2111</v>
      </c>
      <c r="L377" s="24" t="s">
        <v>46</v>
      </c>
      <c r="M377" s="24" t="s">
        <v>189</v>
      </c>
      <c r="N377" s="24">
        <v>13</v>
      </c>
      <c r="O377" s="36">
        <v>525</v>
      </c>
      <c r="P377" s="35">
        <v>0.2</v>
      </c>
      <c r="Q377" s="36">
        <v>5460</v>
      </c>
      <c r="R377" s="34">
        <v>2</v>
      </c>
      <c r="S377" s="24" t="s">
        <v>79</v>
      </c>
      <c r="T377" s="24" t="s">
        <v>35</v>
      </c>
      <c r="U377" s="24" t="s">
        <v>50</v>
      </c>
      <c r="V377" s="24">
        <v>9538129419</v>
      </c>
      <c r="W377" s="24" t="s">
        <v>2100</v>
      </c>
      <c r="X377" s="34">
        <v>24</v>
      </c>
      <c r="Y377" s="24" t="s">
        <v>2108</v>
      </c>
      <c r="Z377" s="30">
        <v>46804</v>
      </c>
      <c r="AA377" s="24" t="s">
        <v>2171</v>
      </c>
      <c r="AB377" s="136" t="str">
        <f t="shared" si="5"/>
        <v>Blacklisted</v>
      </c>
    </row>
    <row r="378" spans="1:28">
      <c r="A378" s="24" t="s">
        <v>1660</v>
      </c>
      <c r="B378" s="24" t="s">
        <v>71</v>
      </c>
      <c r="C378" s="24" t="s">
        <v>40</v>
      </c>
      <c r="D378" s="30">
        <v>45696</v>
      </c>
      <c r="E378" s="30" t="s">
        <v>303</v>
      </c>
      <c r="F378" s="24" t="s">
        <v>217</v>
      </c>
      <c r="G378" s="24" t="s">
        <v>76</v>
      </c>
      <c r="H378" s="30" t="s">
        <v>77</v>
      </c>
      <c r="I378" s="24" t="s">
        <v>44</v>
      </c>
      <c r="J378" s="24" t="s">
        <v>45</v>
      </c>
      <c r="K378" s="24" t="s">
        <v>2114</v>
      </c>
      <c r="L378" s="24" t="s">
        <v>46</v>
      </c>
      <c r="M378" s="24" t="s">
        <v>47</v>
      </c>
      <c r="N378" s="24">
        <v>20</v>
      </c>
      <c r="O378" s="36">
        <v>9000</v>
      </c>
      <c r="P378" s="35">
        <v>0</v>
      </c>
      <c r="Q378" s="36">
        <v>180000</v>
      </c>
      <c r="R378" s="34">
        <v>2</v>
      </c>
      <c r="S378" s="24" t="s">
        <v>79</v>
      </c>
      <c r="T378" s="24" t="s">
        <v>115</v>
      </c>
      <c r="U378" s="24" t="s">
        <v>80</v>
      </c>
      <c r="V378" s="24">
        <v>9382815686</v>
      </c>
      <c r="W378" s="24" t="s">
        <v>2101</v>
      </c>
      <c r="X378" s="34">
        <v>24</v>
      </c>
      <c r="Y378" s="24" t="s">
        <v>2110</v>
      </c>
      <c r="Z378" s="30">
        <v>46437</v>
      </c>
      <c r="AA378" s="24" t="s">
        <v>2173</v>
      </c>
      <c r="AB378" s="136" t="str">
        <f t="shared" si="5"/>
        <v>Blacklisted</v>
      </c>
    </row>
    <row r="379" spans="1:28">
      <c r="A379" s="24" t="s">
        <v>1663</v>
      </c>
      <c r="B379" s="24" t="s">
        <v>83</v>
      </c>
      <c r="C379" s="24" t="s">
        <v>72</v>
      </c>
      <c r="D379" s="30">
        <v>46019</v>
      </c>
      <c r="E379" s="30" t="s">
        <v>712</v>
      </c>
      <c r="F379" s="24" t="s">
        <v>180</v>
      </c>
      <c r="G379" s="24" t="s">
        <v>76</v>
      </c>
      <c r="H379" s="30" t="s">
        <v>87</v>
      </c>
      <c r="I379" s="24" t="s">
        <v>30</v>
      </c>
      <c r="J379" s="24" t="s">
        <v>31</v>
      </c>
      <c r="K379" s="24" t="s">
        <v>2109</v>
      </c>
      <c r="L379" s="24" t="s">
        <v>46</v>
      </c>
      <c r="M379" s="24" t="s">
        <v>78</v>
      </c>
      <c r="N379" s="24">
        <v>9</v>
      </c>
      <c r="O379" s="36">
        <v>900</v>
      </c>
      <c r="P379" s="35">
        <v>0.15</v>
      </c>
      <c r="Q379" s="36">
        <v>6885</v>
      </c>
      <c r="R379" s="34">
        <v>1</v>
      </c>
      <c r="S379" s="24" t="s">
        <v>2149</v>
      </c>
      <c r="T379" s="24" t="s">
        <v>35</v>
      </c>
      <c r="U379" s="24" t="s">
        <v>89</v>
      </c>
      <c r="V379" s="24">
        <v>9450746157</v>
      </c>
      <c r="W379" s="24" t="s">
        <v>2100</v>
      </c>
      <c r="X379" s="34">
        <v>6</v>
      </c>
      <c r="Y379" s="24" t="s">
        <v>2108</v>
      </c>
      <c r="Z379" s="30">
        <v>46209</v>
      </c>
      <c r="AA379" s="24" t="s">
        <v>2174</v>
      </c>
      <c r="AB379" s="136" t="str">
        <f t="shared" si="5"/>
        <v>Blacklisted</v>
      </c>
    </row>
    <row r="380" spans="1:28">
      <c r="A380" s="24" t="s">
        <v>1666</v>
      </c>
      <c r="B380" s="24" t="s">
        <v>83</v>
      </c>
      <c r="C380" s="24" t="s">
        <v>222</v>
      </c>
      <c r="D380" s="30">
        <v>45931</v>
      </c>
      <c r="E380" s="30" t="s">
        <v>1667</v>
      </c>
      <c r="F380" s="24" t="s">
        <v>180</v>
      </c>
      <c r="G380" s="24" t="s">
        <v>76</v>
      </c>
      <c r="H380" s="30" t="s">
        <v>87</v>
      </c>
      <c r="I380" s="24" t="s">
        <v>30</v>
      </c>
      <c r="J380" s="24" t="s">
        <v>31</v>
      </c>
      <c r="K380" s="24" t="s">
        <v>2109</v>
      </c>
      <c r="L380" s="24" t="s">
        <v>122</v>
      </c>
      <c r="M380" s="24" t="s">
        <v>227</v>
      </c>
      <c r="N380" s="24">
        <v>3</v>
      </c>
      <c r="O380" s="36">
        <v>15</v>
      </c>
      <c r="P380" s="35">
        <v>0.15</v>
      </c>
      <c r="Q380" s="36">
        <v>38.25</v>
      </c>
      <c r="R380" s="34">
        <v>3</v>
      </c>
      <c r="S380" s="24" t="s">
        <v>34</v>
      </c>
      <c r="T380" s="24" t="s">
        <v>115</v>
      </c>
      <c r="U380" s="24" t="s">
        <v>89</v>
      </c>
      <c r="V380" s="24">
        <v>9349012570</v>
      </c>
      <c r="W380" s="24" t="s">
        <v>2103</v>
      </c>
      <c r="X380" s="34">
        <v>12</v>
      </c>
      <c r="Y380" s="24" t="s">
        <v>2108</v>
      </c>
      <c r="Z380" s="30">
        <v>46298</v>
      </c>
      <c r="AA380" s="24" t="s">
        <v>2174</v>
      </c>
      <c r="AB380" s="136" t="str">
        <f t="shared" si="5"/>
        <v>Silver</v>
      </c>
    </row>
    <row r="381" spans="1:28">
      <c r="A381" s="24" t="s">
        <v>1670</v>
      </c>
      <c r="B381" s="24" t="s">
        <v>251</v>
      </c>
      <c r="C381" s="24" t="s">
        <v>54</v>
      </c>
      <c r="D381" s="30">
        <v>46009</v>
      </c>
      <c r="E381" s="30" t="s">
        <v>455</v>
      </c>
      <c r="F381" s="24" t="s">
        <v>254</v>
      </c>
      <c r="G381" s="24" t="s">
        <v>28</v>
      </c>
      <c r="H381" s="30" t="s">
        <v>255</v>
      </c>
      <c r="I381" s="24" t="s">
        <v>114</v>
      </c>
      <c r="J381" s="24" t="s">
        <v>106</v>
      </c>
      <c r="K381" s="24" t="s">
        <v>2111</v>
      </c>
      <c r="L381" s="24" t="s">
        <v>46</v>
      </c>
      <c r="M381" s="24" t="s">
        <v>60</v>
      </c>
      <c r="N381" s="24">
        <v>8</v>
      </c>
      <c r="O381" s="36">
        <v>41250</v>
      </c>
      <c r="P381" s="35">
        <v>0.2</v>
      </c>
      <c r="Q381" s="36">
        <v>264000</v>
      </c>
      <c r="R381" s="34">
        <v>5</v>
      </c>
      <c r="S381" s="24" t="s">
        <v>79</v>
      </c>
      <c r="T381" s="24" t="s">
        <v>151</v>
      </c>
      <c r="U381" s="24" t="s">
        <v>256</v>
      </c>
      <c r="V381" s="24">
        <v>9442163790</v>
      </c>
      <c r="W381" s="24" t="s">
        <v>2100</v>
      </c>
      <c r="X381" s="34">
        <v>12</v>
      </c>
      <c r="Y381" s="24" t="s">
        <v>2112</v>
      </c>
      <c r="Z381" s="30">
        <v>46375</v>
      </c>
      <c r="AA381" s="24" t="s">
        <v>2173</v>
      </c>
      <c r="AB381" s="136" t="str">
        <f t="shared" si="5"/>
        <v>Gold</v>
      </c>
    </row>
    <row r="382" spans="1:28">
      <c r="A382" s="24" t="s">
        <v>1673</v>
      </c>
      <c r="B382" s="24" t="s">
        <v>251</v>
      </c>
      <c r="C382" s="24" t="s">
        <v>118</v>
      </c>
      <c r="D382" s="30">
        <v>45929</v>
      </c>
      <c r="E382" s="30" t="s">
        <v>74</v>
      </c>
      <c r="F382" s="24" t="s">
        <v>254</v>
      </c>
      <c r="G382" s="24" t="s">
        <v>28</v>
      </c>
      <c r="H382" s="30" t="s">
        <v>255</v>
      </c>
      <c r="I382" s="24" t="s">
        <v>114</v>
      </c>
      <c r="J382" s="24" t="s">
        <v>106</v>
      </c>
      <c r="K382" s="24" t="s">
        <v>2111</v>
      </c>
      <c r="L382" s="24" t="s">
        <v>122</v>
      </c>
      <c r="M382" s="24" t="s">
        <v>123</v>
      </c>
      <c r="N382" s="24">
        <v>17</v>
      </c>
      <c r="O382" s="36">
        <v>45</v>
      </c>
      <c r="P382" s="35">
        <v>0.2</v>
      </c>
      <c r="Q382" s="36">
        <v>612</v>
      </c>
      <c r="R382" s="34">
        <v>1</v>
      </c>
      <c r="S382" s="24" t="s">
        <v>2149</v>
      </c>
      <c r="T382" s="24" t="s">
        <v>35</v>
      </c>
      <c r="U382" s="24" t="s">
        <v>256</v>
      </c>
      <c r="V382" s="24">
        <v>9953329223</v>
      </c>
      <c r="W382" s="24" t="s">
        <v>2102</v>
      </c>
      <c r="X382" s="34">
        <v>12</v>
      </c>
      <c r="Y382" s="24" t="s">
        <v>2112</v>
      </c>
      <c r="Z382" s="30">
        <v>46302</v>
      </c>
      <c r="AA382" s="24" t="s">
        <v>2173</v>
      </c>
      <c r="AB382" s="136" t="str">
        <f t="shared" si="5"/>
        <v>Blacklisted</v>
      </c>
    </row>
    <row r="383" spans="1:28">
      <c r="A383" s="24" t="s">
        <v>1676</v>
      </c>
      <c r="B383" s="24" t="s">
        <v>127</v>
      </c>
      <c r="C383" s="24" t="s">
        <v>222</v>
      </c>
      <c r="D383" s="30">
        <v>45791</v>
      </c>
      <c r="E383" s="30" t="s">
        <v>236</v>
      </c>
      <c r="F383" s="24" t="s">
        <v>200</v>
      </c>
      <c r="G383" s="24" t="s">
        <v>76</v>
      </c>
      <c r="H383" s="30" t="s">
        <v>131</v>
      </c>
      <c r="I383" s="24" t="s">
        <v>44</v>
      </c>
      <c r="J383" s="24" t="s">
        <v>45</v>
      </c>
      <c r="K383" s="24" t="s">
        <v>2113</v>
      </c>
      <c r="L383" s="24" t="s">
        <v>122</v>
      </c>
      <c r="M383" s="24" t="s">
        <v>227</v>
      </c>
      <c r="N383" s="24">
        <v>4</v>
      </c>
      <c r="O383" s="36">
        <v>15</v>
      </c>
      <c r="P383" s="35">
        <v>0.15</v>
      </c>
      <c r="Q383" s="36">
        <v>51</v>
      </c>
      <c r="R383" s="34">
        <v>3</v>
      </c>
      <c r="S383" s="24" t="s">
        <v>2148</v>
      </c>
      <c r="T383" s="24" t="s">
        <v>61</v>
      </c>
      <c r="U383" s="24" t="s">
        <v>132</v>
      </c>
      <c r="V383" s="24">
        <v>9202321359</v>
      </c>
      <c r="W383" s="24" t="s">
        <v>2103</v>
      </c>
      <c r="X383" s="34">
        <v>12</v>
      </c>
      <c r="Y383" s="24" t="s">
        <v>2112</v>
      </c>
      <c r="Z383" s="30">
        <v>46164</v>
      </c>
      <c r="AA383" s="24" t="s">
        <v>2176</v>
      </c>
      <c r="AB383" s="136" t="str">
        <f t="shared" si="5"/>
        <v>Silver</v>
      </c>
    </row>
    <row r="384" spans="1:28">
      <c r="A384" s="24" t="s">
        <v>1680</v>
      </c>
      <c r="B384" s="24" t="s">
        <v>127</v>
      </c>
      <c r="C384" s="24" t="s">
        <v>24</v>
      </c>
      <c r="D384" s="30">
        <v>45748</v>
      </c>
      <c r="E384" s="30" t="s">
        <v>775</v>
      </c>
      <c r="F384" s="24" t="s">
        <v>200</v>
      </c>
      <c r="G384" s="24" t="s">
        <v>76</v>
      </c>
      <c r="H384" s="30" t="s">
        <v>131</v>
      </c>
      <c r="I384" s="24" t="s">
        <v>44</v>
      </c>
      <c r="J384" s="24" t="s">
        <v>45</v>
      </c>
      <c r="K384" s="24" t="s">
        <v>2113</v>
      </c>
      <c r="L384" s="24" t="s">
        <v>32</v>
      </c>
      <c r="M384" s="24" t="s">
        <v>33</v>
      </c>
      <c r="N384" s="24">
        <v>2</v>
      </c>
      <c r="O384" s="36">
        <v>1650</v>
      </c>
      <c r="P384" s="35">
        <v>0.1</v>
      </c>
      <c r="Q384" s="36">
        <v>2970</v>
      </c>
      <c r="R384" s="34">
        <v>2</v>
      </c>
      <c r="S384" s="24" t="s">
        <v>2149</v>
      </c>
      <c r="T384" s="24" t="s">
        <v>49</v>
      </c>
      <c r="U384" s="24" t="s">
        <v>132</v>
      </c>
      <c r="V384" s="24">
        <v>9812564160</v>
      </c>
      <c r="W384" s="24" t="s">
        <v>2101</v>
      </c>
      <c r="X384" s="34">
        <v>24</v>
      </c>
      <c r="Y384" s="24" t="s">
        <v>2112</v>
      </c>
      <c r="Z384" s="30">
        <v>46488</v>
      </c>
      <c r="AA384" s="24" t="s">
        <v>2176</v>
      </c>
      <c r="AB384" s="136" t="str">
        <f t="shared" si="5"/>
        <v>Blacklisted</v>
      </c>
    </row>
    <row r="385" spans="1:28">
      <c r="A385" s="24" t="s">
        <v>1684</v>
      </c>
      <c r="B385" s="24" t="s">
        <v>221</v>
      </c>
      <c r="C385" s="24" t="s">
        <v>118</v>
      </c>
      <c r="D385" s="30">
        <v>45754</v>
      </c>
      <c r="E385" s="30" t="s">
        <v>539</v>
      </c>
      <c r="F385" s="24" t="s">
        <v>225</v>
      </c>
      <c r="G385" s="24" t="s">
        <v>76</v>
      </c>
      <c r="H385" s="30" t="s">
        <v>226</v>
      </c>
      <c r="I385" s="24" t="s">
        <v>105</v>
      </c>
      <c r="J385" s="24" t="s">
        <v>106</v>
      </c>
      <c r="K385" s="24" t="s">
        <v>2113</v>
      </c>
      <c r="L385" s="24" t="s">
        <v>122</v>
      </c>
      <c r="M385" s="24" t="s">
        <v>123</v>
      </c>
      <c r="N385" s="24">
        <v>5</v>
      </c>
      <c r="O385" s="36">
        <v>45</v>
      </c>
      <c r="P385" s="35">
        <v>0.05</v>
      </c>
      <c r="Q385" s="36">
        <v>213.75</v>
      </c>
      <c r="R385" s="34">
        <v>1</v>
      </c>
      <c r="S385" s="24" t="s">
        <v>2149</v>
      </c>
      <c r="T385" s="24" t="s">
        <v>35</v>
      </c>
      <c r="U385" s="24" t="s">
        <v>228</v>
      </c>
      <c r="V385" s="24">
        <v>9688458222</v>
      </c>
      <c r="W385" s="24" t="s">
        <v>2102</v>
      </c>
      <c r="X385" s="34">
        <v>12</v>
      </c>
      <c r="Y385" s="24" t="s">
        <v>2112</v>
      </c>
      <c r="Z385" s="30">
        <v>46130</v>
      </c>
      <c r="AA385" s="24" t="s">
        <v>2171</v>
      </c>
      <c r="AB385" s="136" t="str">
        <f t="shared" si="5"/>
        <v>Blacklisted</v>
      </c>
    </row>
    <row r="386" spans="1:28">
      <c r="A386" s="24" t="s">
        <v>1687</v>
      </c>
      <c r="B386" s="24" t="s">
        <v>127</v>
      </c>
      <c r="C386" s="24" t="s">
        <v>24</v>
      </c>
      <c r="D386" s="30">
        <v>46072</v>
      </c>
      <c r="E386" s="30" t="s">
        <v>1689</v>
      </c>
      <c r="F386" s="24" t="s">
        <v>200</v>
      </c>
      <c r="G386" s="24" t="s">
        <v>76</v>
      </c>
      <c r="H386" s="30" t="s">
        <v>131</v>
      </c>
      <c r="I386" s="24" t="s">
        <v>44</v>
      </c>
      <c r="J386" s="24" t="s">
        <v>45</v>
      </c>
      <c r="K386" s="24" t="s">
        <v>2113</v>
      </c>
      <c r="L386" s="24" t="s">
        <v>32</v>
      </c>
      <c r="M386" s="24" t="s">
        <v>33</v>
      </c>
      <c r="N386" s="24">
        <v>17</v>
      </c>
      <c r="O386" s="36">
        <v>1650</v>
      </c>
      <c r="P386" s="35">
        <v>0</v>
      </c>
      <c r="Q386" s="36">
        <v>28050</v>
      </c>
      <c r="R386" s="34">
        <v>2</v>
      </c>
      <c r="S386" s="24" t="s">
        <v>2149</v>
      </c>
      <c r="T386" s="24" t="s">
        <v>151</v>
      </c>
      <c r="U386" s="24" t="s">
        <v>132</v>
      </c>
      <c r="V386" s="24">
        <v>9634473337</v>
      </c>
      <c r="W386" s="24" t="s">
        <v>2101</v>
      </c>
      <c r="X386" s="34">
        <v>24</v>
      </c>
      <c r="Y386" s="24" t="s">
        <v>2112</v>
      </c>
      <c r="Z386" s="30">
        <v>46806</v>
      </c>
      <c r="AA386" s="24" t="s">
        <v>2176</v>
      </c>
      <c r="AB386" s="136" t="str">
        <f t="shared" si="5"/>
        <v>Blacklisted</v>
      </c>
    </row>
    <row r="387" spans="1:28">
      <c r="A387" s="24" t="s">
        <v>1692</v>
      </c>
      <c r="B387" s="24" t="s">
        <v>168</v>
      </c>
      <c r="C387" s="24" t="s">
        <v>118</v>
      </c>
      <c r="D387" s="30">
        <v>45995</v>
      </c>
      <c r="E387" s="30" t="s">
        <v>610</v>
      </c>
      <c r="F387" s="24" t="s">
        <v>361</v>
      </c>
      <c r="G387" s="24" t="s">
        <v>28</v>
      </c>
      <c r="H387" s="30" t="s">
        <v>173</v>
      </c>
      <c r="I387" s="24" t="s">
        <v>114</v>
      </c>
      <c r="J387" s="24" t="s">
        <v>106</v>
      </c>
      <c r="K387" s="24" t="s">
        <v>2111</v>
      </c>
      <c r="L387" s="24" t="s">
        <v>122</v>
      </c>
      <c r="M387" s="24" t="s">
        <v>123</v>
      </c>
      <c r="N387" s="24">
        <v>7</v>
      </c>
      <c r="O387" s="36">
        <v>45</v>
      </c>
      <c r="P387" s="35">
        <v>0</v>
      </c>
      <c r="Q387" s="36">
        <v>315</v>
      </c>
      <c r="R387" s="34">
        <v>2</v>
      </c>
      <c r="S387" s="24" t="s">
        <v>2149</v>
      </c>
      <c r="T387" s="24" t="s">
        <v>61</v>
      </c>
      <c r="U387" s="24" t="s">
        <v>175</v>
      </c>
      <c r="V387" s="24">
        <v>9608737026</v>
      </c>
      <c r="W387" s="24" t="s">
        <v>2102</v>
      </c>
      <c r="X387" s="34">
        <v>12</v>
      </c>
      <c r="Y387" s="24" t="s">
        <v>2112</v>
      </c>
      <c r="Z387" s="30">
        <v>46367</v>
      </c>
      <c r="AA387" s="24" t="s">
        <v>2177</v>
      </c>
      <c r="AB387" s="136" t="str">
        <f t="shared" ref="AB387:AB450" si="6">IF(R387&lt;=2, "Blacklisted", IF(AND(Q387&gt;=100000, R387&gt;=4, P387&lt;=10%), "Platinum", IF(AND(Q387&gt;=50000, R387&gt;=3), "Gold", IF(Q387&lt;50000, "Silver", "Blacklisted"))))</f>
        <v>Blacklisted</v>
      </c>
    </row>
    <row r="388" spans="1:28">
      <c r="A388" s="24" t="s">
        <v>1695</v>
      </c>
      <c r="B388" s="24" t="s">
        <v>221</v>
      </c>
      <c r="C388" s="24" t="s">
        <v>54</v>
      </c>
      <c r="D388" s="30">
        <v>45950</v>
      </c>
      <c r="E388" s="30" t="s">
        <v>1696</v>
      </c>
      <c r="F388" s="24" t="s">
        <v>225</v>
      </c>
      <c r="G388" s="24" t="s">
        <v>76</v>
      </c>
      <c r="H388" s="30" t="s">
        <v>226</v>
      </c>
      <c r="I388" s="24" t="s">
        <v>105</v>
      </c>
      <c r="J388" s="24" t="s">
        <v>106</v>
      </c>
      <c r="K388" s="24" t="s">
        <v>2113</v>
      </c>
      <c r="L388" s="24" t="s">
        <v>46</v>
      </c>
      <c r="M388" s="24" t="s">
        <v>60</v>
      </c>
      <c r="N388" s="24">
        <v>6</v>
      </c>
      <c r="O388" s="36">
        <v>41250</v>
      </c>
      <c r="P388" s="35">
        <v>0.05</v>
      </c>
      <c r="Q388" s="36">
        <v>235125</v>
      </c>
      <c r="R388" s="34">
        <v>4</v>
      </c>
      <c r="S388" s="24" t="s">
        <v>79</v>
      </c>
      <c r="T388" s="24" t="s">
        <v>61</v>
      </c>
      <c r="U388" s="24" t="s">
        <v>228</v>
      </c>
      <c r="V388" s="24">
        <v>9804498139</v>
      </c>
      <c r="W388" s="24" t="s">
        <v>2100</v>
      </c>
      <c r="X388" s="34">
        <v>12</v>
      </c>
      <c r="Y388" s="24" t="s">
        <v>2112</v>
      </c>
      <c r="Z388" s="30">
        <v>46319</v>
      </c>
      <c r="AA388" s="24" t="s">
        <v>2171</v>
      </c>
      <c r="AB388" s="136" t="str">
        <f t="shared" si="6"/>
        <v>Platinum</v>
      </c>
    </row>
    <row r="389" spans="1:28">
      <c r="A389" s="24" t="s">
        <v>1699</v>
      </c>
      <c r="B389" s="24" t="s">
        <v>71</v>
      </c>
      <c r="C389" s="24" t="s">
        <v>222</v>
      </c>
      <c r="D389" s="30">
        <v>46043</v>
      </c>
      <c r="E389" s="30" t="s">
        <v>1700</v>
      </c>
      <c r="F389" s="24" t="s">
        <v>217</v>
      </c>
      <c r="G389" s="24" t="s">
        <v>76</v>
      </c>
      <c r="H389" s="30" t="s">
        <v>77</v>
      </c>
      <c r="I389" s="24" t="s">
        <v>44</v>
      </c>
      <c r="J389" s="24" t="s">
        <v>45</v>
      </c>
      <c r="K389" s="24" t="s">
        <v>2114</v>
      </c>
      <c r="L389" s="24" t="s">
        <v>122</v>
      </c>
      <c r="M389" s="24" t="s">
        <v>227</v>
      </c>
      <c r="N389" s="24">
        <v>16</v>
      </c>
      <c r="O389" s="36">
        <v>15</v>
      </c>
      <c r="P389" s="35">
        <v>0.05</v>
      </c>
      <c r="Q389" s="36">
        <v>228</v>
      </c>
      <c r="R389" s="34">
        <v>1</v>
      </c>
      <c r="S389" s="24" t="s">
        <v>79</v>
      </c>
      <c r="T389" s="24" t="s">
        <v>49</v>
      </c>
      <c r="U389" s="24" t="s">
        <v>80</v>
      </c>
      <c r="V389" s="24">
        <v>9798643580</v>
      </c>
      <c r="W389" s="24" t="s">
        <v>2103</v>
      </c>
      <c r="X389" s="34">
        <v>12</v>
      </c>
      <c r="Y389" s="24" t="s">
        <v>2110</v>
      </c>
      <c r="Z389" s="30">
        <v>46412</v>
      </c>
      <c r="AA389" s="24" t="s">
        <v>2173</v>
      </c>
      <c r="AB389" s="136" t="str">
        <f t="shared" si="6"/>
        <v>Blacklisted</v>
      </c>
    </row>
    <row r="390" spans="1:28">
      <c r="A390" s="24" t="s">
        <v>1703</v>
      </c>
      <c r="B390" s="24" t="s">
        <v>23</v>
      </c>
      <c r="C390" s="24" t="s">
        <v>24</v>
      </c>
      <c r="D390" s="30">
        <v>45682</v>
      </c>
      <c r="E390" s="30" t="s">
        <v>1705</v>
      </c>
      <c r="F390" s="24" t="s">
        <v>27</v>
      </c>
      <c r="G390" s="24" t="s">
        <v>28</v>
      </c>
      <c r="H390" s="30" t="s">
        <v>29</v>
      </c>
      <c r="I390" s="24" t="s">
        <v>30</v>
      </c>
      <c r="J390" s="24" t="s">
        <v>31</v>
      </c>
      <c r="K390" s="24" t="s">
        <v>2111</v>
      </c>
      <c r="L390" s="24" t="s">
        <v>32</v>
      </c>
      <c r="M390" s="24" t="s">
        <v>33</v>
      </c>
      <c r="N390" s="24">
        <v>11</v>
      </c>
      <c r="O390" s="36">
        <v>1650</v>
      </c>
      <c r="P390" s="35">
        <v>0.15</v>
      </c>
      <c r="Q390" s="36">
        <v>15427.5</v>
      </c>
      <c r="R390" s="34">
        <v>1</v>
      </c>
      <c r="S390" s="24" t="s">
        <v>2148</v>
      </c>
      <c r="T390" s="24" t="s">
        <v>115</v>
      </c>
      <c r="U390" s="24" t="s">
        <v>50</v>
      </c>
      <c r="V390" s="24">
        <v>9809823278</v>
      </c>
      <c r="W390" s="24" t="s">
        <v>2101</v>
      </c>
      <c r="X390" s="34">
        <v>24</v>
      </c>
      <c r="Y390" s="24" t="s">
        <v>2108</v>
      </c>
      <c r="Z390" s="30">
        <v>46415</v>
      </c>
      <c r="AA390" s="24" t="s">
        <v>2171</v>
      </c>
      <c r="AB390" s="136" t="str">
        <f t="shared" si="6"/>
        <v>Blacklisted</v>
      </c>
    </row>
    <row r="391" spans="1:28">
      <c r="A391" s="24" t="s">
        <v>1708</v>
      </c>
      <c r="B391" s="24" t="s">
        <v>100</v>
      </c>
      <c r="C391" s="24" t="s">
        <v>222</v>
      </c>
      <c r="D391" s="30">
        <v>45716</v>
      </c>
      <c r="E391" s="30" t="s">
        <v>1409</v>
      </c>
      <c r="F391" s="24" t="s">
        <v>103</v>
      </c>
      <c r="G391" s="24" t="s">
        <v>28</v>
      </c>
      <c r="H391" s="30" t="s">
        <v>104</v>
      </c>
      <c r="I391" s="24" t="s">
        <v>105</v>
      </c>
      <c r="J391" s="24" t="s">
        <v>106</v>
      </c>
      <c r="K391" s="24" t="s">
        <v>2111</v>
      </c>
      <c r="L391" s="24" t="s">
        <v>122</v>
      </c>
      <c r="M391" s="24" t="s">
        <v>227</v>
      </c>
      <c r="N391" s="24">
        <v>19</v>
      </c>
      <c r="O391" s="36">
        <v>15</v>
      </c>
      <c r="P391" s="35">
        <v>0.05</v>
      </c>
      <c r="Q391" s="36">
        <v>270.75</v>
      </c>
      <c r="R391" s="34">
        <v>4</v>
      </c>
      <c r="S391" s="24" t="s">
        <v>2149</v>
      </c>
      <c r="T391" s="24" t="s">
        <v>35</v>
      </c>
      <c r="U391" s="24" t="s">
        <v>144</v>
      </c>
      <c r="V391" s="24">
        <v>9177767854</v>
      </c>
      <c r="W391" s="24" t="s">
        <v>2103</v>
      </c>
      <c r="X391" s="34">
        <v>12</v>
      </c>
      <c r="Y391" s="24" t="s">
        <v>2110</v>
      </c>
      <c r="Z391" s="30">
        <v>46083</v>
      </c>
      <c r="AA391" s="24" t="s">
        <v>2175</v>
      </c>
      <c r="AB391" s="136" t="str">
        <f t="shared" si="6"/>
        <v>Silver</v>
      </c>
    </row>
    <row r="392" spans="1:28">
      <c r="A392" s="24" t="s">
        <v>1711</v>
      </c>
      <c r="B392" s="24" t="s">
        <v>100</v>
      </c>
      <c r="C392" s="24" t="s">
        <v>72</v>
      </c>
      <c r="D392" s="30">
        <v>45828</v>
      </c>
      <c r="E392" s="30" t="s">
        <v>1713</v>
      </c>
      <c r="F392" s="24" t="s">
        <v>103</v>
      </c>
      <c r="G392" s="24" t="s">
        <v>28</v>
      </c>
      <c r="H392" s="30" t="s">
        <v>104</v>
      </c>
      <c r="I392" s="24" t="s">
        <v>105</v>
      </c>
      <c r="J392" s="24" t="s">
        <v>106</v>
      </c>
      <c r="K392" s="24" t="s">
        <v>2111</v>
      </c>
      <c r="L392" s="24" t="s">
        <v>46</v>
      </c>
      <c r="M392" s="24" t="s">
        <v>78</v>
      </c>
      <c r="N392" s="24">
        <v>20</v>
      </c>
      <c r="O392" s="36">
        <v>900</v>
      </c>
      <c r="P392" s="35">
        <v>0.15</v>
      </c>
      <c r="Q392" s="36">
        <v>15300</v>
      </c>
      <c r="R392" s="34">
        <v>4</v>
      </c>
      <c r="S392" s="24" t="s">
        <v>79</v>
      </c>
      <c r="T392" s="24" t="s">
        <v>35</v>
      </c>
      <c r="U392" s="24" t="s">
        <v>144</v>
      </c>
      <c r="V392" s="24">
        <v>9643440006</v>
      </c>
      <c r="W392" s="24" t="s">
        <v>2100</v>
      </c>
      <c r="X392" s="34">
        <v>6</v>
      </c>
      <c r="Y392" s="24" t="s">
        <v>2110</v>
      </c>
      <c r="Z392" s="30">
        <v>46012</v>
      </c>
      <c r="AA392" s="24" t="s">
        <v>2175</v>
      </c>
      <c r="AB392" s="136" t="str">
        <f t="shared" si="6"/>
        <v>Silver</v>
      </c>
    </row>
    <row r="393" spans="1:28">
      <c r="A393" s="24" t="s">
        <v>1716</v>
      </c>
      <c r="B393" s="24" t="s">
        <v>53</v>
      </c>
      <c r="C393" s="24" t="s">
        <v>222</v>
      </c>
      <c r="D393" s="30">
        <v>45805</v>
      </c>
      <c r="E393" s="30" t="s">
        <v>1718</v>
      </c>
      <c r="F393" s="24" t="s">
        <v>163</v>
      </c>
      <c r="G393" s="24" t="s">
        <v>28</v>
      </c>
      <c r="H393" s="30" t="s">
        <v>58</v>
      </c>
      <c r="I393" s="24" t="s">
        <v>59</v>
      </c>
      <c r="J393" s="24" t="s">
        <v>31</v>
      </c>
      <c r="K393" s="24" t="s">
        <v>2111</v>
      </c>
      <c r="L393" s="24" t="s">
        <v>122</v>
      </c>
      <c r="M393" s="24" t="s">
        <v>227</v>
      </c>
      <c r="N393" s="24">
        <v>13</v>
      </c>
      <c r="O393" s="36">
        <v>15</v>
      </c>
      <c r="P393" s="35">
        <v>0.15</v>
      </c>
      <c r="Q393" s="36">
        <v>165.75</v>
      </c>
      <c r="R393" s="34">
        <v>4</v>
      </c>
      <c r="S393" s="24" t="s">
        <v>34</v>
      </c>
      <c r="T393" s="24" t="s">
        <v>35</v>
      </c>
      <c r="U393" s="24" t="s">
        <v>62</v>
      </c>
      <c r="V393" s="24">
        <v>9673698825</v>
      </c>
      <c r="W393" s="24" t="s">
        <v>2103</v>
      </c>
      <c r="X393" s="34">
        <v>12</v>
      </c>
      <c r="Y393" s="24" t="s">
        <v>2108</v>
      </c>
      <c r="Z393" s="30">
        <v>46179</v>
      </c>
      <c r="AA393" s="24" t="s">
        <v>2172</v>
      </c>
      <c r="AB393" s="136" t="str">
        <f t="shared" si="6"/>
        <v>Silver</v>
      </c>
    </row>
    <row r="394" spans="1:28">
      <c r="A394" s="24" t="s">
        <v>1721</v>
      </c>
      <c r="B394" s="24" t="s">
        <v>251</v>
      </c>
      <c r="C394" s="24" t="s">
        <v>72</v>
      </c>
      <c r="D394" s="30">
        <v>45660</v>
      </c>
      <c r="E394" s="30" t="s">
        <v>206</v>
      </c>
      <c r="F394" s="24" t="s">
        <v>254</v>
      </c>
      <c r="G394" s="24" t="s">
        <v>28</v>
      </c>
      <c r="H394" s="30" t="s">
        <v>255</v>
      </c>
      <c r="I394" s="24" t="s">
        <v>114</v>
      </c>
      <c r="J394" s="24" t="s">
        <v>106</v>
      </c>
      <c r="K394" s="24" t="s">
        <v>2111</v>
      </c>
      <c r="L394" s="24" t="s">
        <v>46</v>
      </c>
      <c r="M394" s="24" t="s">
        <v>78</v>
      </c>
      <c r="N394" s="24">
        <v>12</v>
      </c>
      <c r="O394" s="36">
        <v>900</v>
      </c>
      <c r="P394" s="35">
        <v>0.1</v>
      </c>
      <c r="Q394" s="36">
        <v>9720</v>
      </c>
      <c r="R394" s="34">
        <v>3</v>
      </c>
      <c r="S394" s="24" t="s">
        <v>2148</v>
      </c>
      <c r="T394" s="24" t="s">
        <v>35</v>
      </c>
      <c r="U394" s="24" t="s">
        <v>256</v>
      </c>
      <c r="V394" s="24">
        <v>9706238784</v>
      </c>
      <c r="W394" s="24" t="s">
        <v>2100</v>
      </c>
      <c r="X394" s="34">
        <v>6</v>
      </c>
      <c r="Y394" s="24" t="s">
        <v>2112</v>
      </c>
      <c r="Z394" s="30">
        <v>45846</v>
      </c>
      <c r="AA394" s="24" t="s">
        <v>2173</v>
      </c>
      <c r="AB394" s="136" t="str">
        <f t="shared" si="6"/>
        <v>Silver</v>
      </c>
    </row>
    <row r="395" spans="1:28">
      <c r="A395" s="24" t="s">
        <v>1724</v>
      </c>
      <c r="B395" s="24" t="s">
        <v>100</v>
      </c>
      <c r="C395" s="24" t="s">
        <v>169</v>
      </c>
      <c r="D395" s="30">
        <v>45685</v>
      </c>
      <c r="E395" s="30" t="s">
        <v>783</v>
      </c>
      <c r="F395" s="24" t="s">
        <v>103</v>
      </c>
      <c r="G395" s="24" t="s">
        <v>28</v>
      </c>
      <c r="H395" s="30" t="s">
        <v>104</v>
      </c>
      <c r="I395" s="24" t="s">
        <v>105</v>
      </c>
      <c r="J395" s="24" t="s">
        <v>106</v>
      </c>
      <c r="K395" s="24" t="s">
        <v>2111</v>
      </c>
      <c r="L395" s="24" t="s">
        <v>32</v>
      </c>
      <c r="M395" s="24" t="s">
        <v>174</v>
      </c>
      <c r="N395" s="24">
        <v>6</v>
      </c>
      <c r="O395" s="36">
        <v>6375</v>
      </c>
      <c r="P395" s="35">
        <v>0.05</v>
      </c>
      <c r="Q395" s="36">
        <v>36337.5</v>
      </c>
      <c r="R395" s="34">
        <v>5</v>
      </c>
      <c r="S395" s="24" t="s">
        <v>34</v>
      </c>
      <c r="T395" s="24" t="s">
        <v>115</v>
      </c>
      <c r="U395" s="24" t="s">
        <v>144</v>
      </c>
      <c r="V395" s="24">
        <v>9132959877</v>
      </c>
      <c r="W395" s="24" t="s">
        <v>2100</v>
      </c>
      <c r="X395" s="34">
        <v>24</v>
      </c>
      <c r="Y395" s="24" t="s">
        <v>2110</v>
      </c>
      <c r="Z395" s="30">
        <v>46416</v>
      </c>
      <c r="AA395" s="24" t="s">
        <v>2175</v>
      </c>
      <c r="AB395" s="136" t="str">
        <f t="shared" si="6"/>
        <v>Silver</v>
      </c>
    </row>
    <row r="396" spans="1:28">
      <c r="A396" s="24" t="s">
        <v>1727</v>
      </c>
      <c r="B396" s="24" t="s">
        <v>23</v>
      </c>
      <c r="C396" s="24" t="s">
        <v>169</v>
      </c>
      <c r="D396" s="30">
        <v>46071</v>
      </c>
      <c r="E396" s="30" t="s">
        <v>1728</v>
      </c>
      <c r="F396" s="24" t="s">
        <v>27</v>
      </c>
      <c r="G396" s="24" t="s">
        <v>28</v>
      </c>
      <c r="H396" s="30" t="s">
        <v>29</v>
      </c>
      <c r="I396" s="24" t="s">
        <v>30</v>
      </c>
      <c r="J396" s="24" t="s">
        <v>31</v>
      </c>
      <c r="K396" s="24" t="s">
        <v>2111</v>
      </c>
      <c r="L396" s="24" t="s">
        <v>32</v>
      </c>
      <c r="M396" s="24" t="s">
        <v>174</v>
      </c>
      <c r="N396" s="24">
        <v>15</v>
      </c>
      <c r="O396" s="36">
        <v>6375</v>
      </c>
      <c r="P396" s="35">
        <v>0.1</v>
      </c>
      <c r="Q396" s="36">
        <v>86062.5</v>
      </c>
      <c r="R396" s="34">
        <v>1</v>
      </c>
      <c r="S396" s="24" t="s">
        <v>34</v>
      </c>
      <c r="T396" s="24" t="s">
        <v>115</v>
      </c>
      <c r="U396" s="24" t="s">
        <v>50</v>
      </c>
      <c r="V396" s="24">
        <v>9295011645</v>
      </c>
      <c r="W396" s="24" t="s">
        <v>2100</v>
      </c>
      <c r="X396" s="34">
        <v>24</v>
      </c>
      <c r="Y396" s="24" t="s">
        <v>2108</v>
      </c>
      <c r="Z396" s="30">
        <v>46809</v>
      </c>
      <c r="AA396" s="24" t="s">
        <v>2171</v>
      </c>
      <c r="AB396" s="136" t="str">
        <f t="shared" si="6"/>
        <v>Blacklisted</v>
      </c>
    </row>
    <row r="397" spans="1:28">
      <c r="A397" s="24" t="s">
        <v>1731</v>
      </c>
      <c r="B397" s="24" t="s">
        <v>127</v>
      </c>
      <c r="C397" s="24" t="s">
        <v>40</v>
      </c>
      <c r="D397" s="30">
        <v>45872</v>
      </c>
      <c r="E397" s="30" t="s">
        <v>1733</v>
      </c>
      <c r="F397" s="24" t="s">
        <v>200</v>
      </c>
      <c r="G397" s="24" t="s">
        <v>76</v>
      </c>
      <c r="H397" s="30" t="s">
        <v>131</v>
      </c>
      <c r="I397" s="24" t="s">
        <v>44</v>
      </c>
      <c r="J397" s="24" t="s">
        <v>45</v>
      </c>
      <c r="K397" s="24" t="s">
        <v>2113</v>
      </c>
      <c r="L397" s="24" t="s">
        <v>46</v>
      </c>
      <c r="M397" s="24" t="s">
        <v>47</v>
      </c>
      <c r="N397" s="24">
        <v>19</v>
      </c>
      <c r="O397" s="36">
        <v>9000</v>
      </c>
      <c r="P397" s="35">
        <v>0.2</v>
      </c>
      <c r="Q397" s="36">
        <v>136800</v>
      </c>
      <c r="R397" s="34">
        <v>5</v>
      </c>
      <c r="S397" s="24" t="s">
        <v>34</v>
      </c>
      <c r="T397" s="24" t="s">
        <v>115</v>
      </c>
      <c r="U397" s="24" t="s">
        <v>132</v>
      </c>
      <c r="V397" s="24">
        <v>9677606427</v>
      </c>
      <c r="W397" s="24" t="s">
        <v>2101</v>
      </c>
      <c r="X397" s="34">
        <v>24</v>
      </c>
      <c r="Y397" s="24" t="s">
        <v>2112</v>
      </c>
      <c r="Z397" s="30">
        <v>46614</v>
      </c>
      <c r="AA397" s="24" t="s">
        <v>2176</v>
      </c>
      <c r="AB397" s="136" t="str">
        <f t="shared" si="6"/>
        <v>Gold</v>
      </c>
    </row>
    <row r="398" spans="1:28">
      <c r="A398" s="24" t="s">
        <v>1736</v>
      </c>
      <c r="B398" s="24" t="s">
        <v>83</v>
      </c>
      <c r="C398" s="24" t="s">
        <v>184</v>
      </c>
      <c r="D398" s="30">
        <v>45672</v>
      </c>
      <c r="E398" s="30" t="s">
        <v>1737</v>
      </c>
      <c r="F398" s="24" t="s">
        <v>180</v>
      </c>
      <c r="G398" s="24" t="s">
        <v>76</v>
      </c>
      <c r="H398" s="30" t="s">
        <v>87</v>
      </c>
      <c r="I398" s="24" t="s">
        <v>30</v>
      </c>
      <c r="J398" s="24" t="s">
        <v>31</v>
      </c>
      <c r="K398" s="24" t="s">
        <v>2109</v>
      </c>
      <c r="L398" s="24" t="s">
        <v>46</v>
      </c>
      <c r="M398" s="24" t="s">
        <v>189</v>
      </c>
      <c r="N398" s="24">
        <v>5</v>
      </c>
      <c r="O398" s="36">
        <v>525</v>
      </c>
      <c r="P398" s="35">
        <v>0</v>
      </c>
      <c r="Q398" s="36">
        <v>2625</v>
      </c>
      <c r="R398" s="34">
        <v>2</v>
      </c>
      <c r="S398" s="24" t="s">
        <v>79</v>
      </c>
      <c r="T398" s="24" t="s">
        <v>61</v>
      </c>
      <c r="U398" s="24" t="s">
        <v>89</v>
      </c>
      <c r="V398" s="24">
        <v>9161631566</v>
      </c>
      <c r="W398" s="24" t="s">
        <v>2100</v>
      </c>
      <c r="X398" s="34">
        <v>24</v>
      </c>
      <c r="Y398" s="24" t="s">
        <v>2108</v>
      </c>
      <c r="Z398" s="30">
        <v>46405</v>
      </c>
      <c r="AA398" s="24" t="s">
        <v>2174</v>
      </c>
      <c r="AB398" s="136" t="str">
        <f t="shared" si="6"/>
        <v>Blacklisted</v>
      </c>
    </row>
    <row r="399" spans="1:28">
      <c r="A399" s="24" t="s">
        <v>1740</v>
      </c>
      <c r="B399" s="24" t="s">
        <v>83</v>
      </c>
      <c r="C399" s="24" t="s">
        <v>40</v>
      </c>
      <c r="D399" s="30">
        <v>45688</v>
      </c>
      <c r="E399" s="30" t="s">
        <v>765</v>
      </c>
      <c r="F399" s="24" t="s">
        <v>180</v>
      </c>
      <c r="G399" s="24" t="s">
        <v>76</v>
      </c>
      <c r="H399" s="30" t="s">
        <v>87</v>
      </c>
      <c r="I399" s="24" t="s">
        <v>30</v>
      </c>
      <c r="J399" s="24" t="s">
        <v>31</v>
      </c>
      <c r="K399" s="24" t="s">
        <v>2109</v>
      </c>
      <c r="L399" s="24" t="s">
        <v>46</v>
      </c>
      <c r="M399" s="24" t="s">
        <v>47</v>
      </c>
      <c r="N399" s="24">
        <v>19</v>
      </c>
      <c r="O399" s="36">
        <v>9000</v>
      </c>
      <c r="P399" s="35">
        <v>0</v>
      </c>
      <c r="Q399" s="36">
        <v>171000</v>
      </c>
      <c r="R399" s="34">
        <v>4</v>
      </c>
      <c r="S399" s="24" t="s">
        <v>2149</v>
      </c>
      <c r="T399" s="24" t="s">
        <v>61</v>
      </c>
      <c r="U399" s="24" t="s">
        <v>89</v>
      </c>
      <c r="V399" s="24">
        <v>9136906750</v>
      </c>
      <c r="W399" s="24" t="s">
        <v>2101</v>
      </c>
      <c r="X399" s="34">
        <v>24</v>
      </c>
      <c r="Y399" s="24" t="s">
        <v>2108</v>
      </c>
      <c r="Z399" s="30">
        <v>46422</v>
      </c>
      <c r="AA399" s="24" t="s">
        <v>2174</v>
      </c>
      <c r="AB399" s="136" t="str">
        <f t="shared" si="6"/>
        <v>Platinum</v>
      </c>
    </row>
    <row r="400" spans="1:28">
      <c r="A400" s="24" t="s">
        <v>1743</v>
      </c>
      <c r="B400" s="24" t="s">
        <v>327</v>
      </c>
      <c r="C400" s="24" t="s">
        <v>184</v>
      </c>
      <c r="D400" s="30"/>
      <c r="E400" s="30" t="s">
        <v>1225</v>
      </c>
      <c r="F400" s="24" t="s">
        <v>394</v>
      </c>
      <c r="G400" s="24" t="s">
        <v>76</v>
      </c>
      <c r="H400" s="30" t="s">
        <v>331</v>
      </c>
      <c r="I400" s="24" t="s">
        <v>114</v>
      </c>
      <c r="J400" s="24" t="s">
        <v>106</v>
      </c>
      <c r="K400" s="24" t="s">
        <v>2109</v>
      </c>
      <c r="L400" s="24" t="s">
        <v>46</v>
      </c>
      <c r="M400" s="24" t="s">
        <v>189</v>
      </c>
      <c r="N400" s="24">
        <v>12</v>
      </c>
      <c r="O400" s="36">
        <v>525</v>
      </c>
      <c r="P400" s="35">
        <v>0.15</v>
      </c>
      <c r="Q400" s="36">
        <v>5355</v>
      </c>
      <c r="R400" s="34">
        <v>3</v>
      </c>
      <c r="S400" s="24" t="s">
        <v>79</v>
      </c>
      <c r="T400" s="24" t="s">
        <v>35</v>
      </c>
      <c r="U400" s="24" t="s">
        <v>332</v>
      </c>
      <c r="V400" s="24">
        <v>9485286324</v>
      </c>
      <c r="W400" s="24" t="s">
        <v>2100</v>
      </c>
      <c r="X400" s="34">
        <v>24</v>
      </c>
      <c r="Y400" s="24" t="s">
        <v>2108</v>
      </c>
      <c r="Z400" s="30">
        <v>46694</v>
      </c>
      <c r="AA400" s="24" t="s">
        <v>2171</v>
      </c>
      <c r="AB400" s="136" t="str">
        <f t="shared" si="6"/>
        <v>Silver</v>
      </c>
    </row>
    <row r="401" spans="1:28">
      <c r="A401" s="24" t="s">
        <v>1746</v>
      </c>
      <c r="B401" s="24" t="s">
        <v>23</v>
      </c>
      <c r="C401" s="24" t="s">
        <v>72</v>
      </c>
      <c r="D401" s="30">
        <v>45790</v>
      </c>
      <c r="E401" s="30" t="s">
        <v>707</v>
      </c>
      <c r="F401" s="24" t="s">
        <v>27</v>
      </c>
      <c r="G401" s="24" t="s">
        <v>28</v>
      </c>
      <c r="H401" s="30" t="s">
        <v>29</v>
      </c>
      <c r="I401" s="24" t="s">
        <v>30</v>
      </c>
      <c r="J401" s="24" t="s">
        <v>31</v>
      </c>
      <c r="K401" s="24" t="s">
        <v>2111</v>
      </c>
      <c r="L401" s="24" t="s">
        <v>46</v>
      </c>
      <c r="M401" s="24" t="s">
        <v>78</v>
      </c>
      <c r="N401" s="24">
        <v>16</v>
      </c>
      <c r="O401" s="36">
        <v>900</v>
      </c>
      <c r="P401" s="35">
        <v>0.2</v>
      </c>
      <c r="Q401" s="36">
        <v>11520</v>
      </c>
      <c r="R401" s="34">
        <v>1</v>
      </c>
      <c r="S401" s="24" t="s">
        <v>34</v>
      </c>
      <c r="T401" s="24" t="s">
        <v>49</v>
      </c>
      <c r="U401" s="24" t="s">
        <v>50</v>
      </c>
      <c r="V401" s="24">
        <v>9414633966</v>
      </c>
      <c r="W401" s="24" t="s">
        <v>2100</v>
      </c>
      <c r="X401" s="34">
        <v>6</v>
      </c>
      <c r="Y401" s="24" t="s">
        <v>2108</v>
      </c>
      <c r="Z401" s="30">
        <v>45982</v>
      </c>
      <c r="AA401" s="24" t="s">
        <v>2171</v>
      </c>
      <c r="AB401" s="136" t="str">
        <f t="shared" si="6"/>
        <v>Blacklisted</v>
      </c>
    </row>
    <row r="402" spans="1:28">
      <c r="A402" s="24" t="s">
        <v>1750</v>
      </c>
      <c r="B402" s="24" t="s">
        <v>71</v>
      </c>
      <c r="C402" s="24" t="s">
        <v>169</v>
      </c>
      <c r="D402" s="30">
        <v>46018</v>
      </c>
      <c r="E402" s="30" t="s">
        <v>84</v>
      </c>
      <c r="F402" s="24" t="s">
        <v>217</v>
      </c>
      <c r="G402" s="24" t="s">
        <v>76</v>
      </c>
      <c r="H402" s="30" t="s">
        <v>77</v>
      </c>
      <c r="I402" s="24" t="s">
        <v>44</v>
      </c>
      <c r="J402" s="24" t="s">
        <v>45</v>
      </c>
      <c r="K402" s="24" t="s">
        <v>2114</v>
      </c>
      <c r="L402" s="24" t="s">
        <v>32</v>
      </c>
      <c r="M402" s="24" t="s">
        <v>174</v>
      </c>
      <c r="N402" s="24">
        <v>10</v>
      </c>
      <c r="O402" s="36">
        <v>6375</v>
      </c>
      <c r="P402" s="35">
        <v>0.05</v>
      </c>
      <c r="Q402" s="36">
        <v>60562.5</v>
      </c>
      <c r="R402" s="34">
        <v>5</v>
      </c>
      <c r="S402" s="24" t="s">
        <v>2148</v>
      </c>
      <c r="T402" s="24" t="s">
        <v>35</v>
      </c>
      <c r="U402" s="24" t="s">
        <v>80</v>
      </c>
      <c r="V402" s="24">
        <v>9833735234</v>
      </c>
      <c r="W402" s="24" t="s">
        <v>2100</v>
      </c>
      <c r="X402" s="34">
        <v>24</v>
      </c>
      <c r="Y402" s="24" t="s">
        <v>2110</v>
      </c>
      <c r="Z402" s="30">
        <v>46756</v>
      </c>
      <c r="AA402" s="24" t="s">
        <v>2173</v>
      </c>
      <c r="AB402" s="136" t="str">
        <f t="shared" si="6"/>
        <v>Gold</v>
      </c>
    </row>
    <row r="403" spans="1:28">
      <c r="A403" s="24" t="s">
        <v>1753</v>
      </c>
      <c r="B403" s="24" t="s">
        <v>23</v>
      </c>
      <c r="C403" s="24" t="s">
        <v>222</v>
      </c>
      <c r="D403" s="30">
        <v>45699</v>
      </c>
      <c r="E403" s="30" t="s">
        <v>386</v>
      </c>
      <c r="F403" s="24" t="s">
        <v>27</v>
      </c>
      <c r="G403" s="24" t="s">
        <v>28</v>
      </c>
      <c r="H403" s="30" t="s">
        <v>29</v>
      </c>
      <c r="I403" s="24" t="s">
        <v>30</v>
      </c>
      <c r="J403" s="24" t="s">
        <v>31</v>
      </c>
      <c r="K403" s="24" t="s">
        <v>2111</v>
      </c>
      <c r="L403" s="24" t="s">
        <v>122</v>
      </c>
      <c r="M403" s="24" t="s">
        <v>227</v>
      </c>
      <c r="N403" s="24">
        <v>18</v>
      </c>
      <c r="O403" s="36">
        <v>15</v>
      </c>
      <c r="P403" s="35">
        <v>0.2</v>
      </c>
      <c r="Q403" s="36">
        <v>216</v>
      </c>
      <c r="R403" s="34">
        <v>1</v>
      </c>
      <c r="S403" s="24" t="s">
        <v>2149</v>
      </c>
      <c r="T403" s="24" t="s">
        <v>35</v>
      </c>
      <c r="U403" s="24" t="s">
        <v>50</v>
      </c>
      <c r="V403" s="24">
        <v>9523689108</v>
      </c>
      <c r="W403" s="24" t="s">
        <v>2103</v>
      </c>
      <c r="X403" s="34">
        <v>12</v>
      </c>
      <c r="Y403" s="24" t="s">
        <v>2108</v>
      </c>
      <c r="Z403" s="30">
        <v>46074</v>
      </c>
      <c r="AA403" s="24" t="s">
        <v>2171</v>
      </c>
      <c r="AB403" s="136" t="str">
        <f t="shared" si="6"/>
        <v>Blacklisted</v>
      </c>
    </row>
    <row r="404" spans="1:28">
      <c r="A404" s="24" t="s">
        <v>1756</v>
      </c>
      <c r="B404" s="24" t="s">
        <v>71</v>
      </c>
      <c r="C404" s="24" t="s">
        <v>169</v>
      </c>
      <c r="D404" s="30">
        <v>46094</v>
      </c>
      <c r="E404" s="30" t="s">
        <v>404</v>
      </c>
      <c r="F404" s="24" t="s">
        <v>217</v>
      </c>
      <c r="G404" s="24" t="s">
        <v>76</v>
      </c>
      <c r="H404" s="30" t="s">
        <v>77</v>
      </c>
      <c r="I404" s="24" t="s">
        <v>44</v>
      </c>
      <c r="J404" s="24" t="s">
        <v>45</v>
      </c>
      <c r="K404" s="24" t="s">
        <v>2114</v>
      </c>
      <c r="L404" s="24" t="s">
        <v>32</v>
      </c>
      <c r="M404" s="24" t="s">
        <v>174</v>
      </c>
      <c r="N404" s="24">
        <v>9</v>
      </c>
      <c r="O404" s="36">
        <v>6375</v>
      </c>
      <c r="P404" s="35">
        <v>0</v>
      </c>
      <c r="Q404" s="36">
        <v>57375</v>
      </c>
      <c r="R404" s="34">
        <v>2</v>
      </c>
      <c r="S404" s="24" t="s">
        <v>79</v>
      </c>
      <c r="T404" s="24" t="s">
        <v>35</v>
      </c>
      <c r="U404" s="24" t="s">
        <v>80</v>
      </c>
      <c r="V404" s="24">
        <v>9812909831</v>
      </c>
      <c r="W404" s="24" t="s">
        <v>2100</v>
      </c>
      <c r="X404" s="34">
        <v>24</v>
      </c>
      <c r="Y404" s="24" t="s">
        <v>2110</v>
      </c>
      <c r="Z404" s="30">
        <v>46831</v>
      </c>
      <c r="AA404" s="24" t="s">
        <v>2173</v>
      </c>
      <c r="AB404" s="136" t="str">
        <f t="shared" si="6"/>
        <v>Blacklisted</v>
      </c>
    </row>
    <row r="405" spans="1:28">
      <c r="A405" s="24" t="s">
        <v>1759</v>
      </c>
      <c r="B405" s="24" t="s">
        <v>23</v>
      </c>
      <c r="C405" s="24" t="s">
        <v>169</v>
      </c>
      <c r="D405" s="30">
        <v>45931</v>
      </c>
      <c r="E405" s="30" t="s">
        <v>1760</v>
      </c>
      <c r="F405" s="24" t="s">
        <v>27</v>
      </c>
      <c r="G405" s="24" t="s">
        <v>28</v>
      </c>
      <c r="H405" s="30" t="s">
        <v>29</v>
      </c>
      <c r="I405" s="24" t="s">
        <v>30</v>
      </c>
      <c r="J405" s="24" t="s">
        <v>31</v>
      </c>
      <c r="K405" s="24" t="s">
        <v>2111</v>
      </c>
      <c r="L405" s="24" t="s">
        <v>32</v>
      </c>
      <c r="M405" s="24" t="s">
        <v>174</v>
      </c>
      <c r="N405" s="24">
        <v>8</v>
      </c>
      <c r="O405" s="36">
        <v>6375</v>
      </c>
      <c r="P405" s="35">
        <v>0.1</v>
      </c>
      <c r="Q405" s="36">
        <v>45900</v>
      </c>
      <c r="R405" s="34">
        <v>4</v>
      </c>
      <c r="S405" s="24" t="s">
        <v>34</v>
      </c>
      <c r="T405" s="24" t="s">
        <v>115</v>
      </c>
      <c r="U405" s="24" t="s">
        <v>50</v>
      </c>
      <c r="V405" s="24">
        <v>9106290987</v>
      </c>
      <c r="W405" s="24" t="s">
        <v>2100</v>
      </c>
      <c r="X405" s="34">
        <v>24</v>
      </c>
      <c r="Y405" s="24" t="s">
        <v>2108</v>
      </c>
      <c r="Z405" s="30">
        <v>46672</v>
      </c>
      <c r="AA405" s="24" t="s">
        <v>2171</v>
      </c>
      <c r="AB405" s="136" t="str">
        <f t="shared" si="6"/>
        <v>Silver</v>
      </c>
    </row>
    <row r="406" spans="1:28">
      <c r="A406" s="24" t="s">
        <v>1763</v>
      </c>
      <c r="B406" s="24" t="s">
        <v>53</v>
      </c>
      <c r="C406" s="24" t="s">
        <v>222</v>
      </c>
      <c r="D406" s="30">
        <v>46048</v>
      </c>
      <c r="E406" s="30" t="s">
        <v>1764</v>
      </c>
      <c r="F406" s="24" t="s">
        <v>163</v>
      </c>
      <c r="G406" s="24" t="s">
        <v>28</v>
      </c>
      <c r="H406" s="30" t="s">
        <v>58</v>
      </c>
      <c r="I406" s="24" t="s">
        <v>59</v>
      </c>
      <c r="J406" s="24" t="s">
        <v>31</v>
      </c>
      <c r="K406" s="24" t="s">
        <v>2111</v>
      </c>
      <c r="L406" s="24" t="s">
        <v>122</v>
      </c>
      <c r="M406" s="24" t="s">
        <v>227</v>
      </c>
      <c r="N406" s="24">
        <v>3</v>
      </c>
      <c r="O406" s="36">
        <v>15</v>
      </c>
      <c r="P406" s="35">
        <v>0.1</v>
      </c>
      <c r="Q406" s="36">
        <v>40.5</v>
      </c>
      <c r="R406" s="34">
        <v>3</v>
      </c>
      <c r="S406" s="24" t="s">
        <v>79</v>
      </c>
      <c r="T406" s="24" t="s">
        <v>151</v>
      </c>
      <c r="U406" s="24" t="s">
        <v>62</v>
      </c>
      <c r="V406" s="24">
        <v>9767727724</v>
      </c>
      <c r="W406" s="24" t="s">
        <v>2103</v>
      </c>
      <c r="X406" s="34">
        <v>12</v>
      </c>
      <c r="Y406" s="24" t="s">
        <v>2108</v>
      </c>
      <c r="Z406" s="30">
        <v>46419</v>
      </c>
      <c r="AA406" s="24" t="s">
        <v>2172</v>
      </c>
      <c r="AB406" s="136" t="str">
        <f t="shared" si="6"/>
        <v>Silver</v>
      </c>
    </row>
    <row r="407" spans="1:28">
      <c r="A407" s="24" t="s">
        <v>1767</v>
      </c>
      <c r="B407" s="24" t="s">
        <v>168</v>
      </c>
      <c r="C407" s="24" t="s">
        <v>169</v>
      </c>
      <c r="D407" s="30">
        <v>45840</v>
      </c>
      <c r="E407" s="30" t="s">
        <v>641</v>
      </c>
      <c r="F407" s="24" t="s">
        <v>361</v>
      </c>
      <c r="G407" s="24" t="s">
        <v>28</v>
      </c>
      <c r="H407" s="30" t="s">
        <v>173</v>
      </c>
      <c r="I407" s="24" t="s">
        <v>114</v>
      </c>
      <c r="J407" s="24" t="s">
        <v>106</v>
      </c>
      <c r="K407" s="24" t="s">
        <v>2111</v>
      </c>
      <c r="L407" s="24" t="s">
        <v>32</v>
      </c>
      <c r="M407" s="24" t="s">
        <v>174</v>
      </c>
      <c r="N407" s="24">
        <v>18</v>
      </c>
      <c r="O407" s="36">
        <v>6375</v>
      </c>
      <c r="P407" s="35">
        <v>0.1</v>
      </c>
      <c r="Q407" s="36">
        <v>103275</v>
      </c>
      <c r="R407" s="34">
        <v>4</v>
      </c>
      <c r="S407" s="24" t="s">
        <v>34</v>
      </c>
      <c r="T407" s="24" t="s">
        <v>49</v>
      </c>
      <c r="U407" s="24" t="s">
        <v>175</v>
      </c>
      <c r="V407" s="24">
        <v>9865401727</v>
      </c>
      <c r="W407" s="24" t="s">
        <v>2100</v>
      </c>
      <c r="X407" s="34">
        <v>24</v>
      </c>
      <c r="Y407" s="24" t="s">
        <v>2112</v>
      </c>
      <c r="Z407" s="30">
        <v>46580</v>
      </c>
      <c r="AA407" s="24" t="s">
        <v>2177</v>
      </c>
      <c r="AB407" s="136" t="str">
        <f t="shared" si="6"/>
        <v>Platinum</v>
      </c>
    </row>
    <row r="408" spans="1:28">
      <c r="A408" s="24" t="s">
        <v>1770</v>
      </c>
      <c r="B408" s="24" t="s">
        <v>53</v>
      </c>
      <c r="C408" s="24" t="s">
        <v>259</v>
      </c>
      <c r="D408" s="30">
        <v>45935</v>
      </c>
      <c r="E408" s="30" t="s">
        <v>281</v>
      </c>
      <c r="F408" s="24" t="s">
        <v>163</v>
      </c>
      <c r="G408" s="24" t="s">
        <v>28</v>
      </c>
      <c r="H408" s="30" t="s">
        <v>58</v>
      </c>
      <c r="I408" s="24" t="s">
        <v>59</v>
      </c>
      <c r="J408" s="24" t="s">
        <v>31</v>
      </c>
      <c r="K408" s="24" t="s">
        <v>2111</v>
      </c>
      <c r="L408" s="24" t="s">
        <v>122</v>
      </c>
      <c r="M408" s="24" t="s">
        <v>263</v>
      </c>
      <c r="N408" s="24">
        <v>5</v>
      </c>
      <c r="O408" s="36">
        <v>33.75</v>
      </c>
      <c r="P408" s="35">
        <v>0.1</v>
      </c>
      <c r="Q408" s="36">
        <v>151.875</v>
      </c>
      <c r="R408" s="34">
        <v>3</v>
      </c>
      <c r="S408" s="24" t="s">
        <v>34</v>
      </c>
      <c r="T408" s="24" t="s">
        <v>115</v>
      </c>
      <c r="U408" s="24" t="s">
        <v>62</v>
      </c>
      <c r="V408" s="24">
        <v>9603848571</v>
      </c>
      <c r="W408" s="24" t="s">
        <v>2100</v>
      </c>
      <c r="X408" s="34">
        <v>12</v>
      </c>
      <c r="Y408" s="24" t="s">
        <v>2108</v>
      </c>
      <c r="Z408" s="30">
        <v>46304</v>
      </c>
      <c r="AA408" s="24" t="s">
        <v>2172</v>
      </c>
      <c r="AB408" s="136" t="str">
        <f t="shared" si="6"/>
        <v>Silver</v>
      </c>
    </row>
    <row r="409" spans="1:28">
      <c r="A409" s="24" t="s">
        <v>1773</v>
      </c>
      <c r="B409" s="24" t="s">
        <v>71</v>
      </c>
      <c r="C409" s="24" t="s">
        <v>259</v>
      </c>
      <c r="D409" s="30">
        <v>45807</v>
      </c>
      <c r="E409" s="30" t="s">
        <v>684</v>
      </c>
      <c r="F409" s="24" t="s">
        <v>217</v>
      </c>
      <c r="G409" s="24" t="s">
        <v>76</v>
      </c>
      <c r="H409" s="30" t="s">
        <v>77</v>
      </c>
      <c r="I409" s="24" t="s">
        <v>44</v>
      </c>
      <c r="J409" s="24" t="s">
        <v>45</v>
      </c>
      <c r="K409" s="24" t="s">
        <v>2114</v>
      </c>
      <c r="L409" s="24" t="s">
        <v>122</v>
      </c>
      <c r="M409" s="24" t="s">
        <v>263</v>
      </c>
      <c r="N409" s="24">
        <v>2</v>
      </c>
      <c r="O409" s="36">
        <v>33.75</v>
      </c>
      <c r="P409" s="35">
        <v>0.2</v>
      </c>
      <c r="Q409" s="36">
        <v>54</v>
      </c>
      <c r="R409" s="34">
        <v>5</v>
      </c>
      <c r="S409" s="24" t="s">
        <v>2149</v>
      </c>
      <c r="T409" s="24" t="s">
        <v>61</v>
      </c>
      <c r="U409" s="24" t="s">
        <v>80</v>
      </c>
      <c r="V409" s="24">
        <v>9101231789</v>
      </c>
      <c r="W409" s="24" t="s">
        <v>2100</v>
      </c>
      <c r="X409" s="34">
        <v>12</v>
      </c>
      <c r="Y409" s="24" t="s">
        <v>2110</v>
      </c>
      <c r="Z409" s="30">
        <v>46175</v>
      </c>
      <c r="AA409" s="24" t="s">
        <v>2173</v>
      </c>
      <c r="AB409" s="136" t="str">
        <f t="shared" si="6"/>
        <v>Silver</v>
      </c>
    </row>
    <row r="410" spans="1:28">
      <c r="A410" s="24" t="s">
        <v>1776</v>
      </c>
      <c r="B410" s="24" t="s">
        <v>100</v>
      </c>
      <c r="C410" s="24" t="s">
        <v>259</v>
      </c>
      <c r="D410" s="30">
        <v>45684</v>
      </c>
      <c r="E410" s="30" t="s">
        <v>900</v>
      </c>
      <c r="F410" s="24" t="s">
        <v>103</v>
      </c>
      <c r="G410" s="24" t="s">
        <v>28</v>
      </c>
      <c r="H410" s="30" t="s">
        <v>104</v>
      </c>
      <c r="I410" s="24" t="s">
        <v>105</v>
      </c>
      <c r="J410" s="24" t="s">
        <v>106</v>
      </c>
      <c r="K410" s="24" t="s">
        <v>2111</v>
      </c>
      <c r="L410" s="24" t="s">
        <v>122</v>
      </c>
      <c r="M410" s="24" t="s">
        <v>263</v>
      </c>
      <c r="N410" s="24">
        <v>18</v>
      </c>
      <c r="O410" s="36">
        <v>33.75</v>
      </c>
      <c r="P410" s="35">
        <v>0.1</v>
      </c>
      <c r="Q410" s="36">
        <v>546.75</v>
      </c>
      <c r="R410" s="34">
        <v>2</v>
      </c>
      <c r="S410" s="24" t="s">
        <v>2148</v>
      </c>
      <c r="T410" s="24" t="s">
        <v>115</v>
      </c>
      <c r="U410" s="24" t="s">
        <v>144</v>
      </c>
      <c r="V410" s="24">
        <v>9485017802</v>
      </c>
      <c r="W410" s="24" t="s">
        <v>2100</v>
      </c>
      <c r="X410" s="34">
        <v>12</v>
      </c>
      <c r="Y410" s="24" t="s">
        <v>2110</v>
      </c>
      <c r="Z410" s="30">
        <v>46059</v>
      </c>
      <c r="AA410" s="24" t="s">
        <v>2175</v>
      </c>
      <c r="AB410" s="136" t="str">
        <f t="shared" si="6"/>
        <v>Blacklisted</v>
      </c>
    </row>
    <row r="411" spans="1:28">
      <c r="A411" s="24" t="s">
        <v>1779</v>
      </c>
      <c r="B411" s="24" t="s">
        <v>127</v>
      </c>
      <c r="C411" s="24" t="s">
        <v>72</v>
      </c>
      <c r="D411" s="30">
        <v>46015</v>
      </c>
      <c r="E411" s="30" t="s">
        <v>216</v>
      </c>
      <c r="F411" s="24" t="s">
        <v>200</v>
      </c>
      <c r="G411" s="24" t="s">
        <v>76</v>
      </c>
      <c r="H411" s="30" t="s">
        <v>131</v>
      </c>
      <c r="I411" s="24" t="s">
        <v>44</v>
      </c>
      <c r="J411" s="24" t="s">
        <v>45</v>
      </c>
      <c r="K411" s="24" t="s">
        <v>2113</v>
      </c>
      <c r="L411" s="24" t="s">
        <v>46</v>
      </c>
      <c r="M411" s="24" t="s">
        <v>78</v>
      </c>
      <c r="N411" s="24">
        <v>13</v>
      </c>
      <c r="O411" s="36">
        <v>900</v>
      </c>
      <c r="P411" s="35">
        <v>0.05</v>
      </c>
      <c r="Q411" s="36">
        <v>11115</v>
      </c>
      <c r="R411" s="34">
        <v>4</v>
      </c>
      <c r="S411" s="24" t="s">
        <v>79</v>
      </c>
      <c r="T411" s="24" t="s">
        <v>115</v>
      </c>
      <c r="U411" s="24" t="s">
        <v>132</v>
      </c>
      <c r="V411" s="24">
        <v>9815464650</v>
      </c>
      <c r="W411" s="24" t="s">
        <v>2100</v>
      </c>
      <c r="X411" s="34">
        <v>6</v>
      </c>
      <c r="Y411" s="24" t="s">
        <v>2112</v>
      </c>
      <c r="Z411" s="30">
        <v>46204</v>
      </c>
      <c r="AA411" s="24" t="s">
        <v>2176</v>
      </c>
      <c r="AB411" s="136" t="str">
        <f t="shared" si="6"/>
        <v>Silver</v>
      </c>
    </row>
    <row r="412" spans="1:28">
      <c r="A412" s="24" t="s">
        <v>1782</v>
      </c>
      <c r="B412" s="24" t="s">
        <v>23</v>
      </c>
      <c r="C412" s="24" t="s">
        <v>222</v>
      </c>
      <c r="D412" s="30">
        <v>46153</v>
      </c>
      <c r="E412" s="30" t="s">
        <v>1783</v>
      </c>
      <c r="F412" s="24" t="s">
        <v>27</v>
      </c>
      <c r="G412" s="24" t="s">
        <v>28</v>
      </c>
      <c r="H412" s="30" t="s">
        <v>29</v>
      </c>
      <c r="I412" s="24" t="s">
        <v>30</v>
      </c>
      <c r="J412" s="24" t="s">
        <v>31</v>
      </c>
      <c r="K412" s="24" t="s">
        <v>2111</v>
      </c>
      <c r="L412" s="24" t="s">
        <v>122</v>
      </c>
      <c r="M412" s="24" t="s">
        <v>227</v>
      </c>
      <c r="N412" s="24">
        <v>14</v>
      </c>
      <c r="O412" s="36">
        <v>15</v>
      </c>
      <c r="P412" s="35">
        <v>0.2</v>
      </c>
      <c r="Q412" s="36">
        <v>168</v>
      </c>
      <c r="R412" s="34">
        <v>5</v>
      </c>
      <c r="S412" s="24" t="s">
        <v>2149</v>
      </c>
      <c r="T412" s="24" t="s">
        <v>49</v>
      </c>
      <c r="U412" s="24" t="s">
        <v>50</v>
      </c>
      <c r="V412" s="24">
        <v>9860715839</v>
      </c>
      <c r="W412" s="24" t="s">
        <v>2103</v>
      </c>
      <c r="X412" s="34">
        <v>12</v>
      </c>
      <c r="Y412" s="24" t="s">
        <v>2108</v>
      </c>
      <c r="Z412" s="30">
        <v>46524</v>
      </c>
      <c r="AA412" s="24" t="s">
        <v>2171</v>
      </c>
      <c r="AB412" s="136" t="str">
        <f t="shared" si="6"/>
        <v>Silver</v>
      </c>
    </row>
    <row r="413" spans="1:28">
      <c r="A413" s="24" t="s">
        <v>1786</v>
      </c>
      <c r="B413" s="24" t="s">
        <v>100</v>
      </c>
      <c r="C413" s="24" t="s">
        <v>92</v>
      </c>
      <c r="D413" s="30">
        <v>46064</v>
      </c>
      <c r="E413" s="30" t="s">
        <v>1689</v>
      </c>
      <c r="F413" s="24" t="s">
        <v>103</v>
      </c>
      <c r="G413" s="24" t="s">
        <v>28</v>
      </c>
      <c r="H413" s="30" t="s">
        <v>104</v>
      </c>
      <c r="I413" s="24" t="s">
        <v>105</v>
      </c>
      <c r="J413" s="24" t="s">
        <v>106</v>
      </c>
      <c r="K413" s="24" t="s">
        <v>2111</v>
      </c>
      <c r="L413" s="24" t="s">
        <v>32</v>
      </c>
      <c r="M413" s="24" t="s">
        <v>97</v>
      </c>
      <c r="N413" s="24">
        <v>16</v>
      </c>
      <c r="O413" s="36">
        <v>2625</v>
      </c>
      <c r="P413" s="35">
        <v>0.15</v>
      </c>
      <c r="Q413" s="36">
        <v>35700</v>
      </c>
      <c r="R413" s="34">
        <v>3</v>
      </c>
      <c r="S413" s="24" t="s">
        <v>2149</v>
      </c>
      <c r="T413" s="24" t="s">
        <v>61</v>
      </c>
      <c r="U413" s="24" t="s">
        <v>144</v>
      </c>
      <c r="V413" s="24">
        <v>9207561051</v>
      </c>
      <c r="W413" s="24" t="s">
        <v>2101</v>
      </c>
      <c r="X413" s="34">
        <v>6</v>
      </c>
      <c r="Y413" s="24" t="s">
        <v>2110</v>
      </c>
      <c r="Z413" s="30">
        <v>46257</v>
      </c>
      <c r="AA413" s="24" t="s">
        <v>2175</v>
      </c>
      <c r="AB413" s="136" t="str">
        <f t="shared" si="6"/>
        <v>Silver</v>
      </c>
    </row>
    <row r="414" spans="1:28">
      <c r="A414" s="24" t="s">
        <v>1790</v>
      </c>
      <c r="B414" s="24" t="s">
        <v>251</v>
      </c>
      <c r="C414" s="24" t="s">
        <v>222</v>
      </c>
      <c r="D414" s="30">
        <v>45704</v>
      </c>
      <c r="E414" s="30" t="s">
        <v>1110</v>
      </c>
      <c r="F414" s="24" t="s">
        <v>254</v>
      </c>
      <c r="G414" s="24" t="s">
        <v>28</v>
      </c>
      <c r="H414" s="30" t="s">
        <v>255</v>
      </c>
      <c r="I414" s="24" t="s">
        <v>114</v>
      </c>
      <c r="J414" s="24" t="s">
        <v>106</v>
      </c>
      <c r="K414" s="24" t="s">
        <v>2111</v>
      </c>
      <c r="L414" s="24" t="s">
        <v>122</v>
      </c>
      <c r="M414" s="24" t="s">
        <v>227</v>
      </c>
      <c r="N414" s="24">
        <v>20</v>
      </c>
      <c r="O414" s="36">
        <v>15</v>
      </c>
      <c r="P414" s="35">
        <v>0.15</v>
      </c>
      <c r="Q414" s="36">
        <v>255</v>
      </c>
      <c r="R414" s="34">
        <v>1</v>
      </c>
      <c r="S414" s="24" t="s">
        <v>2148</v>
      </c>
      <c r="T414" s="24" t="s">
        <v>61</v>
      </c>
      <c r="U414" s="24" t="s">
        <v>256</v>
      </c>
      <c r="V414" s="24">
        <v>9159894508</v>
      </c>
      <c r="W414" s="24" t="s">
        <v>2103</v>
      </c>
      <c r="X414" s="34">
        <v>12</v>
      </c>
      <c r="Y414" s="24" t="s">
        <v>2112</v>
      </c>
      <c r="Z414" s="30">
        <v>46077</v>
      </c>
      <c r="AA414" s="24" t="s">
        <v>2173</v>
      </c>
      <c r="AB414" s="136" t="str">
        <f t="shared" si="6"/>
        <v>Blacklisted</v>
      </c>
    </row>
    <row r="415" spans="1:28">
      <c r="A415" s="24" t="s">
        <v>1793</v>
      </c>
      <c r="B415" s="24" t="s">
        <v>168</v>
      </c>
      <c r="C415" s="24" t="s">
        <v>54</v>
      </c>
      <c r="D415" s="30">
        <v>45756</v>
      </c>
      <c r="E415" s="30" t="s">
        <v>666</v>
      </c>
      <c r="F415" s="24" t="s">
        <v>361</v>
      </c>
      <c r="G415" s="24" t="s">
        <v>28</v>
      </c>
      <c r="H415" s="30" t="s">
        <v>173</v>
      </c>
      <c r="I415" s="24" t="s">
        <v>114</v>
      </c>
      <c r="J415" s="24" t="s">
        <v>106</v>
      </c>
      <c r="K415" s="24" t="s">
        <v>2111</v>
      </c>
      <c r="L415" s="24" t="s">
        <v>46</v>
      </c>
      <c r="M415" s="24" t="s">
        <v>60</v>
      </c>
      <c r="N415" s="24">
        <v>1</v>
      </c>
      <c r="O415" s="36">
        <v>41250</v>
      </c>
      <c r="P415" s="35">
        <v>0.15</v>
      </c>
      <c r="Q415" s="36">
        <v>35062.5</v>
      </c>
      <c r="R415" s="34">
        <v>2</v>
      </c>
      <c r="S415" s="24" t="s">
        <v>2149</v>
      </c>
      <c r="T415" s="24" t="s">
        <v>115</v>
      </c>
      <c r="U415" s="24" t="s">
        <v>175</v>
      </c>
      <c r="V415" s="24">
        <v>9531465024</v>
      </c>
      <c r="W415" s="24" t="s">
        <v>2100</v>
      </c>
      <c r="X415" s="34">
        <v>12</v>
      </c>
      <c r="Y415" s="24" t="s">
        <v>2112</v>
      </c>
      <c r="Z415" s="30">
        <v>46126</v>
      </c>
      <c r="AA415" s="24" t="s">
        <v>2177</v>
      </c>
      <c r="AB415" s="136" t="str">
        <f t="shared" si="6"/>
        <v>Blacklisted</v>
      </c>
    </row>
    <row r="416" spans="1:28">
      <c r="A416" s="24" t="s">
        <v>1796</v>
      </c>
      <c r="B416" s="24" t="s">
        <v>100</v>
      </c>
      <c r="C416" s="24" t="s">
        <v>118</v>
      </c>
      <c r="D416" s="30">
        <v>45672</v>
      </c>
      <c r="E416" s="30" t="s">
        <v>620</v>
      </c>
      <c r="F416" s="24" t="s">
        <v>103</v>
      </c>
      <c r="G416" s="24" t="s">
        <v>28</v>
      </c>
      <c r="H416" s="30" t="s">
        <v>104</v>
      </c>
      <c r="I416" s="24" t="s">
        <v>105</v>
      </c>
      <c r="J416" s="24" t="s">
        <v>106</v>
      </c>
      <c r="K416" s="24" t="s">
        <v>2111</v>
      </c>
      <c r="L416" s="24" t="s">
        <v>122</v>
      </c>
      <c r="M416" s="24" t="s">
        <v>123</v>
      </c>
      <c r="N416" s="24">
        <v>15</v>
      </c>
      <c r="O416" s="36">
        <v>45</v>
      </c>
      <c r="P416" s="35">
        <v>0.05</v>
      </c>
      <c r="Q416" s="36">
        <v>641.25</v>
      </c>
      <c r="R416" s="34">
        <v>4</v>
      </c>
      <c r="S416" s="24" t="s">
        <v>2148</v>
      </c>
      <c r="T416" s="24" t="s">
        <v>61</v>
      </c>
      <c r="U416" s="24" t="s">
        <v>144</v>
      </c>
      <c r="V416" s="24">
        <v>9158813608</v>
      </c>
      <c r="W416" s="24" t="s">
        <v>2102</v>
      </c>
      <c r="X416" s="34">
        <v>12</v>
      </c>
      <c r="Y416" s="24" t="s">
        <v>2110</v>
      </c>
      <c r="Z416" s="30">
        <v>46042</v>
      </c>
      <c r="AA416" s="24" t="s">
        <v>2175</v>
      </c>
      <c r="AB416" s="136" t="str">
        <f t="shared" si="6"/>
        <v>Silver</v>
      </c>
    </row>
    <row r="417" spans="1:28">
      <c r="A417" s="24" t="s">
        <v>1799</v>
      </c>
      <c r="B417" s="24" t="s">
        <v>83</v>
      </c>
      <c r="C417" s="24" t="s">
        <v>184</v>
      </c>
      <c r="D417" s="30">
        <v>46108</v>
      </c>
      <c r="E417" s="30" t="s">
        <v>66</v>
      </c>
      <c r="F417" s="24" t="s">
        <v>180</v>
      </c>
      <c r="G417" s="24" t="s">
        <v>76</v>
      </c>
      <c r="H417" s="30" t="s">
        <v>87</v>
      </c>
      <c r="I417" s="24" t="s">
        <v>30</v>
      </c>
      <c r="J417" s="24" t="s">
        <v>31</v>
      </c>
      <c r="K417" s="24" t="s">
        <v>2109</v>
      </c>
      <c r="L417" s="24" t="s">
        <v>46</v>
      </c>
      <c r="M417" s="24" t="s">
        <v>189</v>
      </c>
      <c r="N417" s="24">
        <v>15</v>
      </c>
      <c r="O417" s="36">
        <v>525</v>
      </c>
      <c r="P417" s="35">
        <v>0</v>
      </c>
      <c r="Q417" s="36">
        <v>7875</v>
      </c>
      <c r="R417" s="34">
        <v>5</v>
      </c>
      <c r="S417" s="24" t="s">
        <v>2148</v>
      </c>
      <c r="T417" s="24" t="s">
        <v>115</v>
      </c>
      <c r="U417" s="24" t="s">
        <v>89</v>
      </c>
      <c r="V417" s="24">
        <v>9308461700</v>
      </c>
      <c r="W417" s="24" t="s">
        <v>2100</v>
      </c>
      <c r="X417" s="34">
        <v>24</v>
      </c>
      <c r="Y417" s="24" t="s">
        <v>2108</v>
      </c>
      <c r="Z417" s="30">
        <v>46845</v>
      </c>
      <c r="AA417" s="24" t="s">
        <v>2174</v>
      </c>
      <c r="AB417" s="136" t="str">
        <f t="shared" si="6"/>
        <v>Silver</v>
      </c>
    </row>
    <row r="418" spans="1:28">
      <c r="A418" s="24" t="s">
        <v>1803</v>
      </c>
      <c r="B418" s="24" t="s">
        <v>221</v>
      </c>
      <c r="C418" s="24" t="s">
        <v>40</v>
      </c>
      <c r="D418" s="30">
        <v>46027</v>
      </c>
      <c r="E418" s="30" t="s">
        <v>440</v>
      </c>
      <c r="F418" s="24" t="s">
        <v>225</v>
      </c>
      <c r="G418" s="24" t="s">
        <v>76</v>
      </c>
      <c r="H418" s="30" t="s">
        <v>226</v>
      </c>
      <c r="I418" s="24" t="s">
        <v>105</v>
      </c>
      <c r="J418" s="24" t="s">
        <v>106</v>
      </c>
      <c r="K418" s="24" t="s">
        <v>2113</v>
      </c>
      <c r="L418" s="24" t="s">
        <v>46</v>
      </c>
      <c r="M418" s="24" t="s">
        <v>47</v>
      </c>
      <c r="N418" s="24">
        <v>13</v>
      </c>
      <c r="O418" s="36">
        <v>9000</v>
      </c>
      <c r="P418" s="35">
        <v>0.1</v>
      </c>
      <c r="Q418" s="36">
        <v>105300</v>
      </c>
      <c r="R418" s="34">
        <v>1</v>
      </c>
      <c r="S418" s="24" t="s">
        <v>34</v>
      </c>
      <c r="T418" s="24" t="s">
        <v>151</v>
      </c>
      <c r="U418" s="24" t="s">
        <v>228</v>
      </c>
      <c r="V418" s="24">
        <v>9882279049</v>
      </c>
      <c r="W418" s="24" t="s">
        <v>2101</v>
      </c>
      <c r="X418" s="34">
        <v>24</v>
      </c>
      <c r="Y418" s="24" t="s">
        <v>2112</v>
      </c>
      <c r="Z418" s="30">
        <v>46761</v>
      </c>
      <c r="AA418" s="24" t="s">
        <v>2171</v>
      </c>
      <c r="AB418" s="136" t="str">
        <f t="shared" si="6"/>
        <v>Blacklisted</v>
      </c>
    </row>
    <row r="419" spans="1:28">
      <c r="A419" s="24" t="s">
        <v>1806</v>
      </c>
      <c r="B419" s="24" t="s">
        <v>83</v>
      </c>
      <c r="C419" s="24" t="s">
        <v>40</v>
      </c>
      <c r="D419" s="30">
        <v>46129</v>
      </c>
      <c r="E419" s="30" t="s">
        <v>1081</v>
      </c>
      <c r="F419" s="24" t="s">
        <v>180</v>
      </c>
      <c r="G419" s="24" t="s">
        <v>76</v>
      </c>
      <c r="H419" s="30" t="s">
        <v>87</v>
      </c>
      <c r="I419" s="24" t="s">
        <v>30</v>
      </c>
      <c r="J419" s="24" t="s">
        <v>31</v>
      </c>
      <c r="K419" s="24" t="s">
        <v>2109</v>
      </c>
      <c r="L419" s="24" t="s">
        <v>46</v>
      </c>
      <c r="M419" s="24" t="s">
        <v>47</v>
      </c>
      <c r="N419" s="24">
        <v>12</v>
      </c>
      <c r="O419" s="36">
        <v>9000</v>
      </c>
      <c r="P419" s="35">
        <v>0.2</v>
      </c>
      <c r="Q419" s="36">
        <v>86400</v>
      </c>
      <c r="R419" s="34">
        <v>2</v>
      </c>
      <c r="S419" s="24" t="s">
        <v>34</v>
      </c>
      <c r="T419" s="24" t="s">
        <v>35</v>
      </c>
      <c r="U419" s="24" t="s">
        <v>89</v>
      </c>
      <c r="V419" s="24">
        <v>9961801338</v>
      </c>
      <c r="W419" s="24" t="s">
        <v>2101</v>
      </c>
      <c r="X419" s="34">
        <v>24</v>
      </c>
      <c r="Y419" s="24" t="s">
        <v>2108</v>
      </c>
      <c r="Z419" s="30">
        <v>46872</v>
      </c>
      <c r="AA419" s="24" t="s">
        <v>2174</v>
      </c>
      <c r="AB419" s="136" t="str">
        <f t="shared" si="6"/>
        <v>Blacklisted</v>
      </c>
    </row>
    <row r="420" spans="1:28">
      <c r="A420" s="24" t="s">
        <v>1810</v>
      </c>
      <c r="B420" s="24" t="s">
        <v>83</v>
      </c>
      <c r="C420" s="24" t="s">
        <v>259</v>
      </c>
      <c r="D420" s="30">
        <v>45741</v>
      </c>
      <c r="E420" s="30" t="s">
        <v>1298</v>
      </c>
      <c r="F420" s="24" t="s">
        <v>180</v>
      </c>
      <c r="G420" s="24" t="s">
        <v>76</v>
      </c>
      <c r="H420" s="30" t="s">
        <v>87</v>
      </c>
      <c r="I420" s="24" t="s">
        <v>30</v>
      </c>
      <c r="J420" s="24" t="s">
        <v>31</v>
      </c>
      <c r="K420" s="24" t="s">
        <v>2109</v>
      </c>
      <c r="L420" s="24" t="s">
        <v>122</v>
      </c>
      <c r="M420" s="24" t="s">
        <v>263</v>
      </c>
      <c r="N420" s="24">
        <v>10</v>
      </c>
      <c r="O420" s="36">
        <v>33.75</v>
      </c>
      <c r="P420" s="35">
        <v>0</v>
      </c>
      <c r="Q420" s="36">
        <v>337.5</v>
      </c>
      <c r="R420" s="34">
        <v>5</v>
      </c>
      <c r="S420" s="24" t="s">
        <v>79</v>
      </c>
      <c r="T420" s="24" t="s">
        <v>115</v>
      </c>
      <c r="U420" s="24" t="s">
        <v>89</v>
      </c>
      <c r="V420" s="24">
        <v>9853525026</v>
      </c>
      <c r="W420" s="24" t="s">
        <v>2100</v>
      </c>
      <c r="X420" s="34">
        <v>12</v>
      </c>
      <c r="Y420" s="24" t="s">
        <v>2108</v>
      </c>
      <c r="Z420" s="30">
        <v>46110</v>
      </c>
      <c r="AA420" s="24" t="s">
        <v>2174</v>
      </c>
      <c r="AB420" s="136" t="str">
        <f t="shared" si="6"/>
        <v>Silver</v>
      </c>
    </row>
    <row r="421" spans="1:28">
      <c r="A421" s="24" t="s">
        <v>1813</v>
      </c>
      <c r="B421" s="24" t="s">
        <v>127</v>
      </c>
      <c r="C421" s="24" t="s">
        <v>72</v>
      </c>
      <c r="D421" s="30">
        <v>45774</v>
      </c>
      <c r="E421" s="30" t="s">
        <v>596</v>
      </c>
      <c r="F421" s="24" t="s">
        <v>200</v>
      </c>
      <c r="G421" s="24" t="s">
        <v>76</v>
      </c>
      <c r="H421" s="30" t="s">
        <v>131</v>
      </c>
      <c r="I421" s="24" t="s">
        <v>44</v>
      </c>
      <c r="J421" s="24" t="s">
        <v>45</v>
      </c>
      <c r="K421" s="24" t="s">
        <v>2113</v>
      </c>
      <c r="L421" s="24" t="s">
        <v>46</v>
      </c>
      <c r="M421" s="24" t="s">
        <v>78</v>
      </c>
      <c r="N421" s="24">
        <v>20</v>
      </c>
      <c r="O421" s="36">
        <v>900</v>
      </c>
      <c r="P421" s="35">
        <v>0.2</v>
      </c>
      <c r="Q421" s="36">
        <v>14400</v>
      </c>
      <c r="R421" s="34">
        <v>5</v>
      </c>
      <c r="S421" s="24" t="s">
        <v>2148</v>
      </c>
      <c r="T421" s="24" t="s">
        <v>61</v>
      </c>
      <c r="U421" s="24" t="s">
        <v>132</v>
      </c>
      <c r="V421" s="24">
        <v>9209649485</v>
      </c>
      <c r="W421" s="24" t="s">
        <v>2100</v>
      </c>
      <c r="X421" s="34">
        <v>6</v>
      </c>
      <c r="Y421" s="24" t="s">
        <v>2112</v>
      </c>
      <c r="Z421" s="30">
        <v>45970</v>
      </c>
      <c r="AA421" s="24" t="s">
        <v>2176</v>
      </c>
      <c r="AB421" s="136" t="str">
        <f t="shared" si="6"/>
        <v>Silver</v>
      </c>
    </row>
    <row r="422" spans="1:28">
      <c r="A422" s="24" t="s">
        <v>1816</v>
      </c>
      <c r="B422" s="24" t="s">
        <v>71</v>
      </c>
      <c r="C422" s="24" t="s">
        <v>72</v>
      </c>
      <c r="D422" s="30">
        <v>45919</v>
      </c>
      <c r="E422" s="30" t="s">
        <v>1817</v>
      </c>
      <c r="F422" s="24" t="s">
        <v>217</v>
      </c>
      <c r="G422" s="24" t="s">
        <v>76</v>
      </c>
      <c r="H422" s="30" t="s">
        <v>77</v>
      </c>
      <c r="I422" s="24" t="s">
        <v>44</v>
      </c>
      <c r="J422" s="24" t="s">
        <v>45</v>
      </c>
      <c r="K422" s="24" t="s">
        <v>2114</v>
      </c>
      <c r="L422" s="24" t="s">
        <v>46</v>
      </c>
      <c r="M422" s="24" t="s">
        <v>78</v>
      </c>
      <c r="N422" s="24">
        <v>8</v>
      </c>
      <c r="O422" s="36">
        <v>900</v>
      </c>
      <c r="P422" s="35">
        <v>0.1</v>
      </c>
      <c r="Q422" s="36">
        <v>6480</v>
      </c>
      <c r="R422" s="34">
        <v>4</v>
      </c>
      <c r="S422" s="24" t="s">
        <v>2148</v>
      </c>
      <c r="T422" s="24" t="s">
        <v>61</v>
      </c>
      <c r="U422" s="24" t="s">
        <v>80</v>
      </c>
      <c r="V422" s="24">
        <v>9712905525</v>
      </c>
      <c r="W422" s="24" t="s">
        <v>2100</v>
      </c>
      <c r="X422" s="34">
        <v>6</v>
      </c>
      <c r="Y422" s="24" t="s">
        <v>2110</v>
      </c>
      <c r="Z422" s="30">
        <v>46107</v>
      </c>
      <c r="AA422" s="24" t="s">
        <v>2173</v>
      </c>
      <c r="AB422" s="136" t="str">
        <f t="shared" si="6"/>
        <v>Silver</v>
      </c>
    </row>
    <row r="423" spans="1:28">
      <c r="A423" s="24" t="s">
        <v>1820</v>
      </c>
      <c r="B423" s="24" t="s">
        <v>127</v>
      </c>
      <c r="C423" s="24" t="s">
        <v>72</v>
      </c>
      <c r="D423" s="30">
        <v>45795</v>
      </c>
      <c r="E423" s="30" t="s">
        <v>1086</v>
      </c>
      <c r="F423" s="24" t="s">
        <v>200</v>
      </c>
      <c r="G423" s="24" t="s">
        <v>76</v>
      </c>
      <c r="H423" s="30" t="s">
        <v>131</v>
      </c>
      <c r="I423" s="24" t="s">
        <v>44</v>
      </c>
      <c r="J423" s="24" t="s">
        <v>45</v>
      </c>
      <c r="K423" s="24" t="s">
        <v>2113</v>
      </c>
      <c r="L423" s="24" t="s">
        <v>46</v>
      </c>
      <c r="M423" s="24" t="s">
        <v>78</v>
      </c>
      <c r="N423" s="24">
        <v>8</v>
      </c>
      <c r="O423" s="36">
        <v>900</v>
      </c>
      <c r="P423" s="35">
        <v>0.1</v>
      </c>
      <c r="Q423" s="36">
        <v>6480</v>
      </c>
      <c r="R423" s="34">
        <v>5</v>
      </c>
      <c r="S423" s="24" t="s">
        <v>79</v>
      </c>
      <c r="T423" s="24" t="s">
        <v>49</v>
      </c>
      <c r="U423" s="24" t="s">
        <v>132</v>
      </c>
      <c r="V423" s="24">
        <v>9812472447</v>
      </c>
      <c r="W423" s="24" t="s">
        <v>2100</v>
      </c>
      <c r="X423" s="34">
        <v>6</v>
      </c>
      <c r="Y423" s="24" t="s">
        <v>2112</v>
      </c>
      <c r="Z423" s="30">
        <v>45981</v>
      </c>
      <c r="AA423" s="24" t="s">
        <v>2176</v>
      </c>
      <c r="AB423" s="136" t="str">
        <f t="shared" si="6"/>
        <v>Silver</v>
      </c>
    </row>
    <row r="424" spans="1:28">
      <c r="A424" s="24" t="s">
        <v>1823</v>
      </c>
      <c r="B424" s="24" t="s">
        <v>327</v>
      </c>
      <c r="C424" s="24" t="s">
        <v>24</v>
      </c>
      <c r="D424" s="30">
        <v>46020</v>
      </c>
      <c r="E424" s="30" t="s">
        <v>1444</v>
      </c>
      <c r="F424" s="24" t="s">
        <v>394</v>
      </c>
      <c r="G424" s="24" t="s">
        <v>76</v>
      </c>
      <c r="H424" s="30" t="s">
        <v>331</v>
      </c>
      <c r="I424" s="24" t="s">
        <v>114</v>
      </c>
      <c r="J424" s="24" t="s">
        <v>106</v>
      </c>
      <c r="K424" s="24" t="s">
        <v>2109</v>
      </c>
      <c r="L424" s="24" t="s">
        <v>32</v>
      </c>
      <c r="M424" s="24" t="s">
        <v>33</v>
      </c>
      <c r="N424" s="24">
        <v>9</v>
      </c>
      <c r="O424" s="36">
        <v>1650</v>
      </c>
      <c r="P424" s="35">
        <v>0.2</v>
      </c>
      <c r="Q424" s="36">
        <v>11880</v>
      </c>
      <c r="R424" s="34">
        <v>1</v>
      </c>
      <c r="S424" s="24" t="s">
        <v>2148</v>
      </c>
      <c r="T424" s="24" t="s">
        <v>115</v>
      </c>
      <c r="U424" s="24" t="s">
        <v>332</v>
      </c>
      <c r="V424" s="24">
        <v>9281127052</v>
      </c>
      <c r="W424" s="24" t="s">
        <v>2101</v>
      </c>
      <c r="X424" s="34">
        <v>24</v>
      </c>
      <c r="Y424" s="24" t="s">
        <v>2108</v>
      </c>
      <c r="Z424" s="30">
        <v>46751</v>
      </c>
      <c r="AA424" s="24" t="s">
        <v>2171</v>
      </c>
      <c r="AB424" s="136" t="str">
        <f t="shared" si="6"/>
        <v>Blacklisted</v>
      </c>
    </row>
    <row r="425" spans="1:28">
      <c r="A425" s="24" t="s">
        <v>1827</v>
      </c>
      <c r="B425" s="24" t="s">
        <v>127</v>
      </c>
      <c r="C425" s="24" t="s">
        <v>222</v>
      </c>
      <c r="D425" s="30">
        <v>45669</v>
      </c>
      <c r="E425" s="30" t="s">
        <v>760</v>
      </c>
      <c r="F425" s="24" t="s">
        <v>200</v>
      </c>
      <c r="G425" s="24" t="s">
        <v>76</v>
      </c>
      <c r="H425" s="30" t="s">
        <v>131</v>
      </c>
      <c r="I425" s="24" t="s">
        <v>44</v>
      </c>
      <c r="J425" s="24" t="s">
        <v>45</v>
      </c>
      <c r="K425" s="24" t="s">
        <v>2113</v>
      </c>
      <c r="L425" s="24" t="s">
        <v>122</v>
      </c>
      <c r="M425" s="24" t="s">
        <v>227</v>
      </c>
      <c r="N425" s="24">
        <v>8</v>
      </c>
      <c r="O425" s="36">
        <v>15</v>
      </c>
      <c r="P425" s="35">
        <v>0.2</v>
      </c>
      <c r="Q425" s="36">
        <v>96</v>
      </c>
      <c r="R425" s="34">
        <v>4</v>
      </c>
      <c r="S425" s="24" t="s">
        <v>34</v>
      </c>
      <c r="T425" s="24" t="s">
        <v>35</v>
      </c>
      <c r="U425" s="24" t="s">
        <v>132</v>
      </c>
      <c r="V425" s="24">
        <v>9346312555</v>
      </c>
      <c r="W425" s="24" t="s">
        <v>2103</v>
      </c>
      <c r="X425" s="34">
        <v>12</v>
      </c>
      <c r="Y425" s="24" t="s">
        <v>2112</v>
      </c>
      <c r="Z425" s="30">
        <v>46038</v>
      </c>
      <c r="AA425" s="24" t="s">
        <v>2176</v>
      </c>
      <c r="AB425" s="136" t="str">
        <f t="shared" si="6"/>
        <v>Silver</v>
      </c>
    </row>
    <row r="426" spans="1:28">
      <c r="A426" s="24" t="s">
        <v>1830</v>
      </c>
      <c r="B426" s="24" t="s">
        <v>221</v>
      </c>
      <c r="C426" s="24" t="s">
        <v>54</v>
      </c>
      <c r="D426" s="30">
        <v>46035</v>
      </c>
      <c r="E426" s="30" t="s">
        <v>1831</v>
      </c>
      <c r="F426" s="24" t="s">
        <v>225</v>
      </c>
      <c r="G426" s="24" t="s">
        <v>76</v>
      </c>
      <c r="H426" s="30" t="s">
        <v>226</v>
      </c>
      <c r="I426" s="24" t="s">
        <v>105</v>
      </c>
      <c r="J426" s="24" t="s">
        <v>106</v>
      </c>
      <c r="K426" s="24" t="s">
        <v>2113</v>
      </c>
      <c r="L426" s="24" t="s">
        <v>46</v>
      </c>
      <c r="M426" s="24" t="s">
        <v>60</v>
      </c>
      <c r="N426" s="24">
        <v>5</v>
      </c>
      <c r="O426" s="36">
        <v>41250</v>
      </c>
      <c r="P426" s="35">
        <v>0</v>
      </c>
      <c r="Q426" s="36">
        <v>206250</v>
      </c>
      <c r="R426" s="34">
        <v>1</v>
      </c>
      <c r="S426" s="24" t="s">
        <v>79</v>
      </c>
      <c r="T426" s="24" t="s">
        <v>115</v>
      </c>
      <c r="U426" s="24" t="s">
        <v>228</v>
      </c>
      <c r="V426" s="24">
        <v>9443786067</v>
      </c>
      <c r="W426" s="24" t="s">
        <v>2100</v>
      </c>
      <c r="X426" s="34">
        <v>12</v>
      </c>
      <c r="Y426" s="24" t="s">
        <v>2112</v>
      </c>
      <c r="Z426" s="30">
        <v>46409</v>
      </c>
      <c r="AA426" s="24" t="s">
        <v>2171</v>
      </c>
      <c r="AB426" s="136" t="str">
        <f t="shared" si="6"/>
        <v>Blacklisted</v>
      </c>
    </row>
    <row r="427" spans="1:28">
      <c r="A427" s="24" t="s">
        <v>1833</v>
      </c>
      <c r="B427" s="24" t="s">
        <v>100</v>
      </c>
      <c r="C427" s="24" t="s">
        <v>72</v>
      </c>
      <c r="D427" s="30">
        <v>46096</v>
      </c>
      <c r="E427" s="30" t="s">
        <v>636</v>
      </c>
      <c r="F427" s="24" t="s">
        <v>103</v>
      </c>
      <c r="G427" s="24" t="s">
        <v>28</v>
      </c>
      <c r="H427" s="30" t="s">
        <v>104</v>
      </c>
      <c r="I427" s="24" t="s">
        <v>105</v>
      </c>
      <c r="J427" s="24" t="s">
        <v>106</v>
      </c>
      <c r="K427" s="24" t="s">
        <v>2111</v>
      </c>
      <c r="L427" s="24" t="s">
        <v>46</v>
      </c>
      <c r="M427" s="24" t="s">
        <v>78</v>
      </c>
      <c r="N427" s="24">
        <v>13</v>
      </c>
      <c r="O427" s="36">
        <v>900</v>
      </c>
      <c r="P427" s="35">
        <v>0.05</v>
      </c>
      <c r="Q427" s="36">
        <v>11115</v>
      </c>
      <c r="R427" s="34">
        <v>2</v>
      </c>
      <c r="S427" s="24" t="s">
        <v>79</v>
      </c>
      <c r="T427" s="24" t="s">
        <v>35</v>
      </c>
      <c r="U427" s="24" t="s">
        <v>144</v>
      </c>
      <c r="V427" s="24">
        <v>9452540528</v>
      </c>
      <c r="W427" s="24" t="s">
        <v>2100</v>
      </c>
      <c r="X427" s="34">
        <v>6</v>
      </c>
      <c r="Y427" s="24" t="s">
        <v>2110</v>
      </c>
      <c r="Z427" s="30">
        <v>46283</v>
      </c>
      <c r="AA427" s="24" t="s">
        <v>2175</v>
      </c>
      <c r="AB427" s="136" t="str">
        <f t="shared" si="6"/>
        <v>Blacklisted</v>
      </c>
    </row>
    <row r="428" spans="1:28">
      <c r="A428" s="24" t="s">
        <v>1837</v>
      </c>
      <c r="B428" s="24" t="s">
        <v>83</v>
      </c>
      <c r="C428" s="24" t="s">
        <v>169</v>
      </c>
      <c r="D428" s="30">
        <v>45986</v>
      </c>
      <c r="E428" s="30" t="s">
        <v>1838</v>
      </c>
      <c r="F428" s="24" t="s">
        <v>180</v>
      </c>
      <c r="G428" s="24" t="s">
        <v>76</v>
      </c>
      <c r="H428" s="30" t="s">
        <v>87</v>
      </c>
      <c r="I428" s="24" t="s">
        <v>30</v>
      </c>
      <c r="J428" s="24" t="s">
        <v>31</v>
      </c>
      <c r="K428" s="24" t="s">
        <v>2109</v>
      </c>
      <c r="L428" s="24" t="s">
        <v>32</v>
      </c>
      <c r="M428" s="24" t="s">
        <v>174</v>
      </c>
      <c r="N428" s="24">
        <v>13</v>
      </c>
      <c r="O428" s="36">
        <v>6375</v>
      </c>
      <c r="P428" s="35">
        <v>0.2</v>
      </c>
      <c r="Q428" s="36">
        <v>66300</v>
      </c>
      <c r="R428" s="34">
        <v>5</v>
      </c>
      <c r="S428" s="24" t="s">
        <v>34</v>
      </c>
      <c r="T428" s="24" t="s">
        <v>49</v>
      </c>
      <c r="U428" s="24" t="s">
        <v>89</v>
      </c>
      <c r="V428" s="24">
        <v>9750918728</v>
      </c>
      <c r="W428" s="24" t="s">
        <v>2100</v>
      </c>
      <c r="X428" s="34">
        <v>24</v>
      </c>
      <c r="Y428" s="24" t="s">
        <v>2108</v>
      </c>
      <c r="Z428" s="30">
        <v>46721</v>
      </c>
      <c r="AA428" s="24" t="s">
        <v>2174</v>
      </c>
      <c r="AB428" s="136" t="str">
        <f t="shared" si="6"/>
        <v>Gold</v>
      </c>
    </row>
    <row r="429" spans="1:28">
      <c r="A429" s="24" t="s">
        <v>1841</v>
      </c>
      <c r="B429" s="24" t="s">
        <v>71</v>
      </c>
      <c r="C429" s="24" t="s">
        <v>118</v>
      </c>
      <c r="D429" s="30">
        <v>45692</v>
      </c>
      <c r="E429" s="30" t="s">
        <v>1842</v>
      </c>
      <c r="F429" s="24" t="s">
        <v>217</v>
      </c>
      <c r="G429" s="24" t="s">
        <v>76</v>
      </c>
      <c r="H429" s="30" t="s">
        <v>77</v>
      </c>
      <c r="I429" s="24" t="s">
        <v>44</v>
      </c>
      <c r="J429" s="24" t="s">
        <v>45</v>
      </c>
      <c r="K429" s="24" t="s">
        <v>2114</v>
      </c>
      <c r="L429" s="24" t="s">
        <v>122</v>
      </c>
      <c r="M429" s="24" t="s">
        <v>123</v>
      </c>
      <c r="N429" s="24">
        <v>14</v>
      </c>
      <c r="O429" s="36">
        <v>45</v>
      </c>
      <c r="P429" s="35">
        <v>0.1</v>
      </c>
      <c r="Q429" s="36">
        <v>567</v>
      </c>
      <c r="R429" s="34">
        <v>1</v>
      </c>
      <c r="S429" s="24" t="s">
        <v>34</v>
      </c>
      <c r="T429" s="24" t="s">
        <v>61</v>
      </c>
      <c r="U429" s="24" t="s">
        <v>80</v>
      </c>
      <c r="V429" s="24">
        <v>9375975834</v>
      </c>
      <c r="W429" s="24" t="s">
        <v>2102</v>
      </c>
      <c r="X429" s="34">
        <v>12</v>
      </c>
      <c r="Y429" s="24" t="s">
        <v>2110</v>
      </c>
      <c r="Z429" s="30">
        <v>46068</v>
      </c>
      <c r="AA429" s="24" t="s">
        <v>2173</v>
      </c>
      <c r="AB429" s="136" t="str">
        <f t="shared" si="6"/>
        <v>Blacklisted</v>
      </c>
    </row>
    <row r="430" spans="1:28">
      <c r="A430" s="24" t="s">
        <v>1845</v>
      </c>
      <c r="B430" s="24" t="s">
        <v>251</v>
      </c>
      <c r="C430" s="24" t="s">
        <v>24</v>
      </c>
      <c r="D430" s="30">
        <v>45775</v>
      </c>
      <c r="E430" s="30" t="s">
        <v>606</v>
      </c>
      <c r="F430" s="24" t="s">
        <v>254</v>
      </c>
      <c r="G430" s="24" t="s">
        <v>28</v>
      </c>
      <c r="H430" s="30" t="s">
        <v>255</v>
      </c>
      <c r="I430" s="24" t="s">
        <v>114</v>
      </c>
      <c r="J430" s="24" t="s">
        <v>106</v>
      </c>
      <c r="K430" s="24" t="s">
        <v>2111</v>
      </c>
      <c r="L430" s="24" t="s">
        <v>32</v>
      </c>
      <c r="M430" s="24" t="s">
        <v>33</v>
      </c>
      <c r="N430" s="24">
        <v>15</v>
      </c>
      <c r="O430" s="36">
        <v>1650</v>
      </c>
      <c r="P430" s="35">
        <v>0</v>
      </c>
      <c r="Q430" s="36">
        <v>24750</v>
      </c>
      <c r="R430" s="34">
        <v>1</v>
      </c>
      <c r="S430" s="24" t="s">
        <v>34</v>
      </c>
      <c r="T430" s="24" t="s">
        <v>61</v>
      </c>
      <c r="U430" s="24" t="s">
        <v>256</v>
      </c>
      <c r="V430" s="24">
        <v>9497321112</v>
      </c>
      <c r="W430" s="24" t="s">
        <v>2101</v>
      </c>
      <c r="X430" s="34">
        <v>24</v>
      </c>
      <c r="Y430" s="24" t="s">
        <v>2112</v>
      </c>
      <c r="Z430" s="30">
        <v>46506</v>
      </c>
      <c r="AA430" s="24" t="s">
        <v>2173</v>
      </c>
      <c r="AB430" s="136" t="str">
        <f t="shared" si="6"/>
        <v>Blacklisted</v>
      </c>
    </row>
    <row r="431" spans="1:28">
      <c r="A431" s="24" t="s">
        <v>1848</v>
      </c>
      <c r="B431" s="24" t="s">
        <v>83</v>
      </c>
      <c r="C431" s="24" t="s">
        <v>118</v>
      </c>
      <c r="D431" s="30">
        <v>45896</v>
      </c>
      <c r="E431" s="30" t="s">
        <v>1850</v>
      </c>
      <c r="F431" s="24" t="s">
        <v>180</v>
      </c>
      <c r="G431" s="24" t="s">
        <v>76</v>
      </c>
      <c r="H431" s="30" t="s">
        <v>87</v>
      </c>
      <c r="I431" s="24" t="s">
        <v>30</v>
      </c>
      <c r="J431" s="24" t="s">
        <v>31</v>
      </c>
      <c r="K431" s="24" t="s">
        <v>2109</v>
      </c>
      <c r="L431" s="24" t="s">
        <v>122</v>
      </c>
      <c r="M431" s="24" t="s">
        <v>123</v>
      </c>
      <c r="N431" s="24">
        <v>19</v>
      </c>
      <c r="O431" s="36">
        <v>45</v>
      </c>
      <c r="P431" s="35">
        <v>0.2</v>
      </c>
      <c r="Q431" s="36">
        <v>684</v>
      </c>
      <c r="R431" s="34">
        <v>3</v>
      </c>
      <c r="S431" s="24" t="s">
        <v>34</v>
      </c>
      <c r="T431" s="24" t="s">
        <v>151</v>
      </c>
      <c r="U431" s="24" t="s">
        <v>89</v>
      </c>
      <c r="V431" s="24">
        <v>9828749888</v>
      </c>
      <c r="W431" s="24" t="s">
        <v>2102</v>
      </c>
      <c r="X431" s="34">
        <v>12</v>
      </c>
      <c r="Y431" s="24" t="s">
        <v>2108</v>
      </c>
      <c r="Z431" s="30">
        <v>46263</v>
      </c>
      <c r="AA431" s="24" t="s">
        <v>2174</v>
      </c>
      <c r="AB431" s="136" t="str">
        <f t="shared" si="6"/>
        <v>Silver</v>
      </c>
    </row>
    <row r="432" spans="1:28">
      <c r="A432" s="24" t="s">
        <v>1853</v>
      </c>
      <c r="B432" s="24" t="s">
        <v>53</v>
      </c>
      <c r="C432" s="24" t="s">
        <v>259</v>
      </c>
      <c r="D432" s="30">
        <v>45942</v>
      </c>
      <c r="E432" s="30" t="s">
        <v>341</v>
      </c>
      <c r="F432" s="24" t="s">
        <v>163</v>
      </c>
      <c r="G432" s="24" t="s">
        <v>28</v>
      </c>
      <c r="H432" s="30" t="s">
        <v>58</v>
      </c>
      <c r="I432" s="24" t="s">
        <v>59</v>
      </c>
      <c r="J432" s="24" t="s">
        <v>31</v>
      </c>
      <c r="K432" s="24" t="s">
        <v>2111</v>
      </c>
      <c r="L432" s="24" t="s">
        <v>122</v>
      </c>
      <c r="M432" s="24" t="s">
        <v>263</v>
      </c>
      <c r="N432" s="24">
        <v>13</v>
      </c>
      <c r="O432" s="36">
        <v>33.75</v>
      </c>
      <c r="P432" s="35">
        <v>0.15</v>
      </c>
      <c r="Q432" s="36">
        <v>372.9375</v>
      </c>
      <c r="R432" s="34">
        <v>2</v>
      </c>
      <c r="S432" s="24" t="s">
        <v>34</v>
      </c>
      <c r="T432" s="24" t="s">
        <v>49</v>
      </c>
      <c r="U432" s="24" t="s">
        <v>62</v>
      </c>
      <c r="V432" s="24">
        <v>9814267382</v>
      </c>
      <c r="W432" s="24" t="s">
        <v>2100</v>
      </c>
      <c r="X432" s="34">
        <v>12</v>
      </c>
      <c r="Y432" s="24" t="s">
        <v>2108</v>
      </c>
      <c r="Z432" s="30">
        <v>46318</v>
      </c>
      <c r="AA432" s="24" t="s">
        <v>2172</v>
      </c>
      <c r="AB432" s="136" t="str">
        <f t="shared" si="6"/>
        <v>Blacklisted</v>
      </c>
    </row>
    <row r="433" spans="1:28">
      <c r="A433" s="24" t="s">
        <v>1856</v>
      </c>
      <c r="B433" s="24" t="s">
        <v>251</v>
      </c>
      <c r="C433" s="24" t="s">
        <v>40</v>
      </c>
      <c r="D433" s="30">
        <v>46036</v>
      </c>
      <c r="E433" s="30" t="s">
        <v>1128</v>
      </c>
      <c r="F433" s="24" t="s">
        <v>254</v>
      </c>
      <c r="G433" s="24" t="s">
        <v>28</v>
      </c>
      <c r="H433" s="30" t="s">
        <v>255</v>
      </c>
      <c r="I433" s="24" t="s">
        <v>114</v>
      </c>
      <c r="J433" s="24" t="s">
        <v>106</v>
      </c>
      <c r="K433" s="24" t="s">
        <v>2111</v>
      </c>
      <c r="L433" s="24" t="s">
        <v>46</v>
      </c>
      <c r="M433" s="24" t="s">
        <v>47</v>
      </c>
      <c r="N433" s="24">
        <v>7</v>
      </c>
      <c r="O433" s="36">
        <v>9000</v>
      </c>
      <c r="P433" s="35">
        <v>0.05</v>
      </c>
      <c r="Q433" s="36">
        <v>59850</v>
      </c>
      <c r="R433" s="34">
        <v>4</v>
      </c>
      <c r="S433" s="24" t="s">
        <v>79</v>
      </c>
      <c r="T433" s="24" t="s">
        <v>151</v>
      </c>
      <c r="U433" s="24" t="s">
        <v>256</v>
      </c>
      <c r="V433" s="24">
        <v>9937007439</v>
      </c>
      <c r="W433" s="24" t="s">
        <v>2101</v>
      </c>
      <c r="X433" s="34">
        <v>24</v>
      </c>
      <c r="Y433" s="24" t="s">
        <v>2112</v>
      </c>
      <c r="Z433" s="30">
        <v>46776</v>
      </c>
      <c r="AA433" s="24" t="s">
        <v>2173</v>
      </c>
      <c r="AB433" s="136" t="str">
        <f t="shared" si="6"/>
        <v>Gold</v>
      </c>
    </row>
    <row r="434" spans="1:28">
      <c r="A434" s="24" t="s">
        <v>1859</v>
      </c>
      <c r="B434" s="24" t="s">
        <v>327</v>
      </c>
      <c r="C434" s="24" t="s">
        <v>222</v>
      </c>
      <c r="D434" s="30">
        <v>46152</v>
      </c>
      <c r="E434" s="30"/>
      <c r="F434" s="24" t="s">
        <v>394</v>
      </c>
      <c r="G434" s="24" t="s">
        <v>76</v>
      </c>
      <c r="H434" s="30" t="s">
        <v>331</v>
      </c>
      <c r="I434" s="24" t="s">
        <v>114</v>
      </c>
      <c r="J434" s="24" t="s">
        <v>106</v>
      </c>
      <c r="K434" s="24" t="s">
        <v>2109</v>
      </c>
      <c r="L434" s="24" t="s">
        <v>122</v>
      </c>
      <c r="M434" s="24" t="s">
        <v>227</v>
      </c>
      <c r="N434" s="24">
        <v>8</v>
      </c>
      <c r="O434" s="36">
        <v>15</v>
      </c>
      <c r="P434" s="35">
        <v>0</v>
      </c>
      <c r="Q434" s="36">
        <v>120</v>
      </c>
      <c r="R434" s="34">
        <v>4</v>
      </c>
      <c r="S434" s="24" t="s">
        <v>79</v>
      </c>
      <c r="T434" s="24" t="s">
        <v>61</v>
      </c>
      <c r="U434" s="24" t="s">
        <v>332</v>
      </c>
      <c r="V434" s="24">
        <v>9657513435</v>
      </c>
      <c r="W434" s="24" t="s">
        <v>2103</v>
      </c>
      <c r="X434" s="34">
        <v>12</v>
      </c>
      <c r="Y434" s="24" t="s">
        <v>2108</v>
      </c>
      <c r="Z434" s="30">
        <v>366</v>
      </c>
      <c r="AA434" s="24" t="s">
        <v>2171</v>
      </c>
      <c r="AB434" s="136" t="str">
        <f t="shared" si="6"/>
        <v>Silver</v>
      </c>
    </row>
    <row r="435" spans="1:28">
      <c r="A435" s="24" t="s">
        <v>1862</v>
      </c>
      <c r="B435" s="24" t="s">
        <v>23</v>
      </c>
      <c r="C435" s="24" t="s">
        <v>92</v>
      </c>
      <c r="D435" s="30">
        <v>45689</v>
      </c>
      <c r="E435" s="30" t="s">
        <v>900</v>
      </c>
      <c r="F435" s="24" t="s">
        <v>27</v>
      </c>
      <c r="G435" s="24" t="s">
        <v>28</v>
      </c>
      <c r="H435" s="30" t="s">
        <v>29</v>
      </c>
      <c r="I435" s="24" t="s">
        <v>30</v>
      </c>
      <c r="J435" s="24" t="s">
        <v>31</v>
      </c>
      <c r="K435" s="24" t="s">
        <v>2111</v>
      </c>
      <c r="L435" s="24" t="s">
        <v>32</v>
      </c>
      <c r="M435" s="24" t="s">
        <v>97</v>
      </c>
      <c r="N435" s="24">
        <v>16</v>
      </c>
      <c r="O435" s="36">
        <v>2625</v>
      </c>
      <c r="P435" s="35">
        <v>0.05</v>
      </c>
      <c r="Q435" s="36">
        <v>39900</v>
      </c>
      <c r="R435" s="34">
        <v>1</v>
      </c>
      <c r="S435" s="24" t="s">
        <v>79</v>
      </c>
      <c r="T435" s="24" t="s">
        <v>61</v>
      </c>
      <c r="U435" s="24" t="s">
        <v>50</v>
      </c>
      <c r="V435" s="24">
        <v>9999406260</v>
      </c>
      <c r="W435" s="24" t="s">
        <v>2101</v>
      </c>
      <c r="X435" s="34">
        <v>6</v>
      </c>
      <c r="Y435" s="24" t="s">
        <v>2108</v>
      </c>
      <c r="Z435" s="30">
        <v>45875</v>
      </c>
      <c r="AA435" s="24" t="s">
        <v>2171</v>
      </c>
      <c r="AB435" s="136" t="str">
        <f t="shared" si="6"/>
        <v>Blacklisted</v>
      </c>
    </row>
    <row r="436" spans="1:28">
      <c r="A436" s="24" t="s">
        <v>1866</v>
      </c>
      <c r="B436" s="24" t="s">
        <v>327</v>
      </c>
      <c r="C436" s="24" t="s">
        <v>169</v>
      </c>
      <c r="D436" s="30">
        <v>45710</v>
      </c>
      <c r="E436" s="30" t="s">
        <v>1157</v>
      </c>
      <c r="F436" s="24" t="s">
        <v>394</v>
      </c>
      <c r="G436" s="24" t="s">
        <v>76</v>
      </c>
      <c r="H436" s="30" t="s">
        <v>331</v>
      </c>
      <c r="I436" s="24" t="s">
        <v>114</v>
      </c>
      <c r="J436" s="24" t="s">
        <v>106</v>
      </c>
      <c r="K436" s="24" t="s">
        <v>2109</v>
      </c>
      <c r="L436" s="24" t="s">
        <v>32</v>
      </c>
      <c r="M436" s="24" t="s">
        <v>174</v>
      </c>
      <c r="N436" s="24">
        <v>12</v>
      </c>
      <c r="O436" s="36">
        <v>6375</v>
      </c>
      <c r="P436" s="35">
        <v>0.1</v>
      </c>
      <c r="Q436" s="36">
        <v>68850</v>
      </c>
      <c r="R436" s="34">
        <v>3</v>
      </c>
      <c r="S436" s="24" t="s">
        <v>79</v>
      </c>
      <c r="T436" s="24" t="s">
        <v>35</v>
      </c>
      <c r="U436" s="24" t="s">
        <v>332</v>
      </c>
      <c r="V436" s="24">
        <v>9233727886</v>
      </c>
      <c r="W436" s="24" t="s">
        <v>2100</v>
      </c>
      <c r="X436" s="34">
        <v>24</v>
      </c>
      <c r="Y436" s="24" t="s">
        <v>2108</v>
      </c>
      <c r="Z436" s="30">
        <v>46450</v>
      </c>
      <c r="AA436" s="24" t="s">
        <v>2171</v>
      </c>
      <c r="AB436" s="136" t="str">
        <f t="shared" si="6"/>
        <v>Gold</v>
      </c>
    </row>
    <row r="437" spans="1:28">
      <c r="A437" s="24" t="s">
        <v>1870</v>
      </c>
      <c r="B437" s="24" t="s">
        <v>23</v>
      </c>
      <c r="C437" s="24" t="s">
        <v>118</v>
      </c>
      <c r="D437" s="30">
        <v>45765</v>
      </c>
      <c r="E437" s="30" t="s">
        <v>1114</v>
      </c>
      <c r="F437" s="24" t="s">
        <v>27</v>
      </c>
      <c r="G437" s="24" t="s">
        <v>28</v>
      </c>
      <c r="H437" s="30" t="s">
        <v>29</v>
      </c>
      <c r="I437" s="24" t="s">
        <v>30</v>
      </c>
      <c r="J437" s="24" t="s">
        <v>31</v>
      </c>
      <c r="K437" s="24" t="s">
        <v>2111</v>
      </c>
      <c r="L437" s="24" t="s">
        <v>122</v>
      </c>
      <c r="M437" s="24" t="s">
        <v>123</v>
      </c>
      <c r="N437" s="24">
        <v>1</v>
      </c>
      <c r="O437" s="36">
        <v>45</v>
      </c>
      <c r="P437" s="35">
        <v>0.2</v>
      </c>
      <c r="Q437" s="36">
        <v>36</v>
      </c>
      <c r="R437" s="34">
        <v>2</v>
      </c>
      <c r="S437" s="24" t="s">
        <v>79</v>
      </c>
      <c r="T437" s="24" t="s">
        <v>151</v>
      </c>
      <c r="U437" s="24" t="s">
        <v>50</v>
      </c>
      <c r="V437" s="24">
        <v>9831688801</v>
      </c>
      <c r="W437" s="24" t="s">
        <v>2102</v>
      </c>
      <c r="X437" s="34">
        <v>12</v>
      </c>
      <c r="Y437" s="24" t="s">
        <v>2108</v>
      </c>
      <c r="Z437" s="30">
        <v>46132</v>
      </c>
      <c r="AA437" s="24" t="s">
        <v>2171</v>
      </c>
      <c r="AB437" s="136" t="str">
        <f t="shared" si="6"/>
        <v>Blacklisted</v>
      </c>
    </row>
    <row r="438" spans="1:28">
      <c r="A438" s="24" t="s">
        <v>1873</v>
      </c>
      <c r="B438" s="24" t="s">
        <v>127</v>
      </c>
      <c r="C438" s="24" t="s">
        <v>118</v>
      </c>
      <c r="D438" s="30">
        <v>45967</v>
      </c>
      <c r="E438" s="30" t="s">
        <v>535</v>
      </c>
      <c r="F438" s="24" t="s">
        <v>200</v>
      </c>
      <c r="G438" s="24" t="s">
        <v>76</v>
      </c>
      <c r="H438" s="30" t="s">
        <v>131</v>
      </c>
      <c r="I438" s="24" t="s">
        <v>44</v>
      </c>
      <c r="J438" s="24" t="s">
        <v>45</v>
      </c>
      <c r="K438" s="24" t="s">
        <v>2113</v>
      </c>
      <c r="L438" s="24" t="s">
        <v>122</v>
      </c>
      <c r="M438" s="24" t="s">
        <v>123</v>
      </c>
      <c r="N438" s="24">
        <v>3</v>
      </c>
      <c r="O438" s="36">
        <v>45</v>
      </c>
      <c r="P438" s="35">
        <v>0.15</v>
      </c>
      <c r="Q438" s="36">
        <v>114.75</v>
      </c>
      <c r="R438" s="34">
        <v>4</v>
      </c>
      <c r="S438" s="24" t="s">
        <v>79</v>
      </c>
      <c r="T438" s="24" t="s">
        <v>35</v>
      </c>
      <c r="U438" s="24" t="s">
        <v>132</v>
      </c>
      <c r="V438" s="24">
        <v>9982849508</v>
      </c>
      <c r="W438" s="24" t="s">
        <v>2102</v>
      </c>
      <c r="X438" s="34">
        <v>12</v>
      </c>
      <c r="Y438" s="24" t="s">
        <v>2112</v>
      </c>
      <c r="Z438" s="30">
        <v>46337</v>
      </c>
      <c r="AA438" s="24" t="s">
        <v>2176</v>
      </c>
      <c r="AB438" s="136" t="str">
        <f t="shared" si="6"/>
        <v>Silver</v>
      </c>
    </row>
    <row r="439" spans="1:28">
      <c r="A439" s="24" t="s">
        <v>1876</v>
      </c>
      <c r="B439" s="24" t="s">
        <v>100</v>
      </c>
      <c r="C439" s="24" t="s">
        <v>184</v>
      </c>
      <c r="D439" s="30">
        <v>45736</v>
      </c>
      <c r="E439" s="30" t="s">
        <v>119</v>
      </c>
      <c r="F439" s="24" t="s">
        <v>103</v>
      </c>
      <c r="G439" s="24" t="s">
        <v>28</v>
      </c>
      <c r="H439" s="30" t="s">
        <v>104</v>
      </c>
      <c r="I439" s="24" t="s">
        <v>105</v>
      </c>
      <c r="J439" s="24" t="s">
        <v>106</v>
      </c>
      <c r="K439" s="24" t="s">
        <v>2111</v>
      </c>
      <c r="L439" s="24" t="s">
        <v>46</v>
      </c>
      <c r="M439" s="24" t="s">
        <v>189</v>
      </c>
      <c r="N439" s="24">
        <v>10</v>
      </c>
      <c r="O439" s="36">
        <v>525</v>
      </c>
      <c r="P439" s="35">
        <v>0.15</v>
      </c>
      <c r="Q439" s="36">
        <v>4462.5</v>
      </c>
      <c r="R439" s="34">
        <v>3</v>
      </c>
      <c r="S439" s="24" t="s">
        <v>2148</v>
      </c>
      <c r="T439" s="24" t="s">
        <v>35</v>
      </c>
      <c r="U439" s="24" t="s">
        <v>144</v>
      </c>
      <c r="V439" s="24">
        <v>9288309246</v>
      </c>
      <c r="W439" s="24" t="s">
        <v>2100</v>
      </c>
      <c r="X439" s="34">
        <v>24</v>
      </c>
      <c r="Y439" s="24" t="s">
        <v>2110</v>
      </c>
      <c r="Z439" s="30">
        <v>46471</v>
      </c>
      <c r="AA439" s="24" t="s">
        <v>2175</v>
      </c>
      <c r="AB439" s="136" t="str">
        <f t="shared" si="6"/>
        <v>Silver</v>
      </c>
    </row>
    <row r="440" spans="1:28">
      <c r="A440" s="24" t="s">
        <v>1879</v>
      </c>
      <c r="B440" s="24" t="s">
        <v>83</v>
      </c>
      <c r="C440" s="24" t="s">
        <v>222</v>
      </c>
      <c r="D440" s="30">
        <v>45952</v>
      </c>
      <c r="E440" s="30" t="s">
        <v>1881</v>
      </c>
      <c r="F440" s="24" t="s">
        <v>180</v>
      </c>
      <c r="G440" s="24" t="s">
        <v>76</v>
      </c>
      <c r="H440" s="30" t="s">
        <v>87</v>
      </c>
      <c r="I440" s="24" t="s">
        <v>30</v>
      </c>
      <c r="J440" s="24" t="s">
        <v>31</v>
      </c>
      <c r="K440" s="24" t="s">
        <v>2109</v>
      </c>
      <c r="L440" s="24" t="s">
        <v>122</v>
      </c>
      <c r="M440" s="24" t="s">
        <v>227</v>
      </c>
      <c r="N440" s="24">
        <v>2</v>
      </c>
      <c r="O440" s="36">
        <v>15</v>
      </c>
      <c r="P440" s="35">
        <v>0.1</v>
      </c>
      <c r="Q440" s="36">
        <v>27</v>
      </c>
      <c r="R440" s="34">
        <v>2</v>
      </c>
      <c r="S440" s="24" t="s">
        <v>2149</v>
      </c>
      <c r="T440" s="24" t="s">
        <v>61</v>
      </c>
      <c r="U440" s="24" t="s">
        <v>89</v>
      </c>
      <c r="V440" s="24">
        <v>9808476235</v>
      </c>
      <c r="W440" s="24" t="s">
        <v>2103</v>
      </c>
      <c r="X440" s="34">
        <v>12</v>
      </c>
      <c r="Y440" s="24" t="s">
        <v>2108</v>
      </c>
      <c r="Z440" s="30">
        <v>46320</v>
      </c>
      <c r="AA440" s="24" t="s">
        <v>2174</v>
      </c>
      <c r="AB440" s="136" t="str">
        <f t="shared" si="6"/>
        <v>Blacklisted</v>
      </c>
    </row>
    <row r="441" spans="1:28">
      <c r="A441" s="24" t="s">
        <v>1884</v>
      </c>
      <c r="B441" s="24" t="s">
        <v>83</v>
      </c>
      <c r="C441" s="24" t="s">
        <v>222</v>
      </c>
      <c r="D441" s="30">
        <v>46022</v>
      </c>
      <c r="E441" s="30" t="s">
        <v>1199</v>
      </c>
      <c r="F441" s="24" t="s">
        <v>180</v>
      </c>
      <c r="G441" s="24" t="s">
        <v>76</v>
      </c>
      <c r="H441" s="30" t="s">
        <v>87</v>
      </c>
      <c r="I441" s="24" t="s">
        <v>30</v>
      </c>
      <c r="J441" s="24" t="s">
        <v>31</v>
      </c>
      <c r="K441" s="24" t="s">
        <v>2109</v>
      </c>
      <c r="L441" s="24" t="s">
        <v>122</v>
      </c>
      <c r="M441" s="24" t="s">
        <v>227</v>
      </c>
      <c r="N441" s="24">
        <v>14</v>
      </c>
      <c r="O441" s="36">
        <v>15</v>
      </c>
      <c r="P441" s="35">
        <v>0.2</v>
      </c>
      <c r="Q441" s="36">
        <v>168</v>
      </c>
      <c r="R441" s="34">
        <v>5</v>
      </c>
      <c r="S441" s="24" t="s">
        <v>34</v>
      </c>
      <c r="T441" s="24" t="s">
        <v>151</v>
      </c>
      <c r="U441" s="24" t="s">
        <v>89</v>
      </c>
      <c r="V441" s="24">
        <v>9869056117</v>
      </c>
      <c r="W441" s="24" t="s">
        <v>2103</v>
      </c>
      <c r="X441" s="34">
        <v>12</v>
      </c>
      <c r="Y441" s="24" t="s">
        <v>2108</v>
      </c>
      <c r="Z441" s="30">
        <v>46392</v>
      </c>
      <c r="AA441" s="24" t="s">
        <v>2174</v>
      </c>
      <c r="AB441" s="136" t="str">
        <f t="shared" si="6"/>
        <v>Silver</v>
      </c>
    </row>
    <row r="442" spans="1:28">
      <c r="A442" s="24" t="s">
        <v>1888</v>
      </c>
      <c r="B442" s="24" t="s">
        <v>327</v>
      </c>
      <c r="C442" s="24" t="s">
        <v>92</v>
      </c>
      <c r="D442" s="30">
        <v>45829</v>
      </c>
      <c r="E442" s="30" t="s">
        <v>193</v>
      </c>
      <c r="F442" s="24" t="s">
        <v>394</v>
      </c>
      <c r="G442" s="24" t="s">
        <v>76</v>
      </c>
      <c r="H442" s="30" t="s">
        <v>331</v>
      </c>
      <c r="I442" s="24" t="s">
        <v>114</v>
      </c>
      <c r="J442" s="24" t="s">
        <v>106</v>
      </c>
      <c r="K442" s="24" t="s">
        <v>2109</v>
      </c>
      <c r="L442" s="24" t="s">
        <v>32</v>
      </c>
      <c r="M442" s="24" t="s">
        <v>97</v>
      </c>
      <c r="N442" s="24">
        <v>4</v>
      </c>
      <c r="O442" s="36">
        <v>2625</v>
      </c>
      <c r="P442" s="35">
        <v>0</v>
      </c>
      <c r="Q442" s="36">
        <v>10500</v>
      </c>
      <c r="R442" s="34">
        <v>2</v>
      </c>
      <c r="S442" s="24" t="s">
        <v>2149</v>
      </c>
      <c r="T442" s="24" t="s">
        <v>35</v>
      </c>
      <c r="U442" s="24" t="s">
        <v>332</v>
      </c>
      <c r="V442" s="24">
        <v>9734229772</v>
      </c>
      <c r="W442" s="24" t="s">
        <v>2101</v>
      </c>
      <c r="X442" s="34">
        <v>6</v>
      </c>
      <c r="Y442" s="24" t="s">
        <v>2108</v>
      </c>
      <c r="Z442" s="30">
        <v>46016</v>
      </c>
      <c r="AA442" s="24" t="s">
        <v>2171</v>
      </c>
      <c r="AB442" s="136" t="str">
        <f t="shared" si="6"/>
        <v>Blacklisted</v>
      </c>
    </row>
    <row r="443" spans="1:28">
      <c r="A443" s="24" t="s">
        <v>1891</v>
      </c>
      <c r="B443" s="24" t="s">
        <v>83</v>
      </c>
      <c r="C443" s="24" t="s">
        <v>92</v>
      </c>
      <c r="D443" s="30">
        <v>45812</v>
      </c>
      <c r="E443" s="30" t="s">
        <v>1119</v>
      </c>
      <c r="F443" s="24" t="s">
        <v>180</v>
      </c>
      <c r="G443" s="24" t="s">
        <v>76</v>
      </c>
      <c r="H443" s="30" t="s">
        <v>87</v>
      </c>
      <c r="I443" s="24" t="s">
        <v>30</v>
      </c>
      <c r="J443" s="24" t="s">
        <v>31</v>
      </c>
      <c r="K443" s="24" t="s">
        <v>2109</v>
      </c>
      <c r="L443" s="24" t="s">
        <v>32</v>
      </c>
      <c r="M443" s="24" t="s">
        <v>97</v>
      </c>
      <c r="N443" s="24">
        <v>9</v>
      </c>
      <c r="O443" s="36">
        <v>2625</v>
      </c>
      <c r="P443" s="35">
        <v>0.05</v>
      </c>
      <c r="Q443" s="36">
        <v>22443.75</v>
      </c>
      <c r="R443" s="34">
        <v>3</v>
      </c>
      <c r="S443" s="24" t="s">
        <v>79</v>
      </c>
      <c r="T443" s="24" t="s">
        <v>61</v>
      </c>
      <c r="U443" s="24" t="s">
        <v>89</v>
      </c>
      <c r="V443" s="24">
        <v>9791617906</v>
      </c>
      <c r="W443" s="24" t="s">
        <v>2101</v>
      </c>
      <c r="X443" s="34">
        <v>6</v>
      </c>
      <c r="Y443" s="24" t="s">
        <v>2108</v>
      </c>
      <c r="Z443" s="30">
        <v>45996</v>
      </c>
      <c r="AA443" s="24" t="s">
        <v>2174</v>
      </c>
      <c r="AB443" s="136" t="str">
        <f t="shared" si="6"/>
        <v>Silver</v>
      </c>
    </row>
    <row r="444" spans="1:28">
      <c r="A444" s="24" t="s">
        <v>1894</v>
      </c>
      <c r="B444" s="24" t="s">
        <v>127</v>
      </c>
      <c r="C444" s="24" t="s">
        <v>118</v>
      </c>
      <c r="D444" s="30">
        <v>45807</v>
      </c>
      <c r="E444" s="30" t="s">
        <v>1465</v>
      </c>
      <c r="F444" s="24" t="s">
        <v>200</v>
      </c>
      <c r="G444" s="24" t="s">
        <v>76</v>
      </c>
      <c r="H444" s="30" t="s">
        <v>131</v>
      </c>
      <c r="I444" s="24" t="s">
        <v>44</v>
      </c>
      <c r="J444" s="24" t="s">
        <v>45</v>
      </c>
      <c r="K444" s="24" t="s">
        <v>2113</v>
      </c>
      <c r="L444" s="24" t="s">
        <v>122</v>
      </c>
      <c r="M444" s="24" t="s">
        <v>123</v>
      </c>
      <c r="N444" s="24">
        <v>9</v>
      </c>
      <c r="O444" s="36">
        <v>45</v>
      </c>
      <c r="P444" s="35">
        <v>0</v>
      </c>
      <c r="Q444" s="36">
        <v>405</v>
      </c>
      <c r="R444" s="34">
        <v>3</v>
      </c>
      <c r="S444" s="24" t="s">
        <v>2149</v>
      </c>
      <c r="T444" s="24" t="s">
        <v>35</v>
      </c>
      <c r="U444" s="24" t="s">
        <v>132</v>
      </c>
      <c r="V444" s="24">
        <v>9286316823</v>
      </c>
      <c r="W444" s="24" t="s">
        <v>2102</v>
      </c>
      <c r="X444" s="34">
        <v>12</v>
      </c>
      <c r="Y444" s="24" t="s">
        <v>2112</v>
      </c>
      <c r="Z444" s="30">
        <v>46176</v>
      </c>
      <c r="AA444" s="24" t="s">
        <v>2176</v>
      </c>
      <c r="AB444" s="136" t="str">
        <f t="shared" si="6"/>
        <v>Silver</v>
      </c>
    </row>
    <row r="445" spans="1:28">
      <c r="A445" s="24" t="s">
        <v>1897</v>
      </c>
      <c r="B445" s="24" t="s">
        <v>168</v>
      </c>
      <c r="C445" s="24" t="s">
        <v>72</v>
      </c>
      <c r="D445" s="30">
        <v>45779</v>
      </c>
      <c r="E445" s="30" t="s">
        <v>1263</v>
      </c>
      <c r="F445" s="24" t="s">
        <v>361</v>
      </c>
      <c r="G445" s="24" t="s">
        <v>28</v>
      </c>
      <c r="H445" s="30" t="s">
        <v>173</v>
      </c>
      <c r="I445" s="24" t="s">
        <v>114</v>
      </c>
      <c r="J445" s="24" t="s">
        <v>106</v>
      </c>
      <c r="K445" s="24" t="s">
        <v>2111</v>
      </c>
      <c r="L445" s="24" t="s">
        <v>46</v>
      </c>
      <c r="M445" s="24" t="s">
        <v>78</v>
      </c>
      <c r="N445" s="24">
        <v>4</v>
      </c>
      <c r="O445" s="36">
        <v>900</v>
      </c>
      <c r="P445" s="35">
        <v>0</v>
      </c>
      <c r="Q445" s="36">
        <v>3600</v>
      </c>
      <c r="R445" s="34">
        <v>1</v>
      </c>
      <c r="S445" s="24" t="s">
        <v>2148</v>
      </c>
      <c r="T445" s="24" t="s">
        <v>61</v>
      </c>
      <c r="U445" s="24" t="s">
        <v>175</v>
      </c>
      <c r="V445" s="24">
        <v>9810569252</v>
      </c>
      <c r="W445" s="24" t="s">
        <v>2100</v>
      </c>
      <c r="X445" s="34">
        <v>6</v>
      </c>
      <c r="Y445" s="24" t="s">
        <v>2112</v>
      </c>
      <c r="Z445" s="30">
        <v>45964</v>
      </c>
      <c r="AA445" s="24" t="s">
        <v>2177</v>
      </c>
      <c r="AB445" s="136" t="str">
        <f t="shared" si="6"/>
        <v>Blacklisted</v>
      </c>
    </row>
    <row r="446" spans="1:28">
      <c r="A446" s="24" t="s">
        <v>1901</v>
      </c>
      <c r="B446" s="24" t="s">
        <v>53</v>
      </c>
      <c r="C446" s="24" t="s">
        <v>54</v>
      </c>
      <c r="D446" s="30">
        <v>45691</v>
      </c>
      <c r="E446" s="30" t="s">
        <v>302</v>
      </c>
      <c r="F446" s="24" t="s">
        <v>163</v>
      </c>
      <c r="G446" s="24" t="s">
        <v>28</v>
      </c>
      <c r="H446" s="30" t="s">
        <v>58</v>
      </c>
      <c r="I446" s="24" t="s">
        <v>59</v>
      </c>
      <c r="J446" s="24" t="s">
        <v>31</v>
      </c>
      <c r="K446" s="24" t="s">
        <v>2111</v>
      </c>
      <c r="L446" s="24" t="s">
        <v>46</v>
      </c>
      <c r="M446" s="24" t="s">
        <v>60</v>
      </c>
      <c r="N446" s="24">
        <v>10</v>
      </c>
      <c r="O446" s="36">
        <v>41250</v>
      </c>
      <c r="P446" s="35">
        <v>0.05</v>
      </c>
      <c r="Q446" s="36">
        <v>391875</v>
      </c>
      <c r="R446" s="34">
        <v>5</v>
      </c>
      <c r="S446" s="24" t="s">
        <v>2149</v>
      </c>
      <c r="T446" s="24" t="s">
        <v>115</v>
      </c>
      <c r="U446" s="24" t="s">
        <v>62</v>
      </c>
      <c r="V446" s="24">
        <v>9771745925</v>
      </c>
      <c r="W446" s="24" t="s">
        <v>2100</v>
      </c>
      <c r="X446" s="34">
        <v>12</v>
      </c>
      <c r="Y446" s="24" t="s">
        <v>2108</v>
      </c>
      <c r="Z446" s="30">
        <v>46066</v>
      </c>
      <c r="AA446" s="24" t="s">
        <v>2172</v>
      </c>
      <c r="AB446" s="136" t="str">
        <f t="shared" si="6"/>
        <v>Platinum</v>
      </c>
    </row>
    <row r="447" spans="1:28">
      <c r="A447" s="24" t="s">
        <v>1904</v>
      </c>
      <c r="B447" s="24" t="s">
        <v>221</v>
      </c>
      <c r="C447" s="24" t="s">
        <v>259</v>
      </c>
      <c r="D447" s="30">
        <v>45837</v>
      </c>
      <c r="E447" s="30" t="s">
        <v>881</v>
      </c>
      <c r="F447" s="24" t="s">
        <v>225</v>
      </c>
      <c r="G447" s="24" t="s">
        <v>76</v>
      </c>
      <c r="H447" s="30" t="s">
        <v>226</v>
      </c>
      <c r="I447" s="24" t="s">
        <v>105</v>
      </c>
      <c r="J447" s="24" t="s">
        <v>106</v>
      </c>
      <c r="K447" s="24" t="s">
        <v>2113</v>
      </c>
      <c r="L447" s="24" t="s">
        <v>122</v>
      </c>
      <c r="M447" s="24" t="s">
        <v>263</v>
      </c>
      <c r="N447" s="24">
        <v>20</v>
      </c>
      <c r="O447" s="36">
        <v>33.75</v>
      </c>
      <c r="P447" s="35">
        <v>0.15</v>
      </c>
      <c r="Q447" s="36">
        <v>573.75</v>
      </c>
      <c r="R447" s="34">
        <v>2</v>
      </c>
      <c r="S447" s="24" t="s">
        <v>79</v>
      </c>
      <c r="T447" s="24" t="s">
        <v>35</v>
      </c>
      <c r="U447" s="24" t="s">
        <v>228</v>
      </c>
      <c r="V447" s="24">
        <v>9820683063</v>
      </c>
      <c r="W447" s="24" t="s">
        <v>2100</v>
      </c>
      <c r="X447" s="34">
        <v>12</v>
      </c>
      <c r="Y447" s="24" t="s">
        <v>2112</v>
      </c>
      <c r="Z447" s="30">
        <v>46209</v>
      </c>
      <c r="AA447" s="24" t="s">
        <v>2171</v>
      </c>
      <c r="AB447" s="136" t="str">
        <f t="shared" si="6"/>
        <v>Blacklisted</v>
      </c>
    </row>
    <row r="448" spans="1:28">
      <c r="A448" s="24" t="s">
        <v>1908</v>
      </c>
      <c r="B448" s="24" t="s">
        <v>23</v>
      </c>
      <c r="C448" s="24" t="s">
        <v>222</v>
      </c>
      <c r="D448" s="30">
        <v>46065</v>
      </c>
      <c r="E448" s="30" t="s">
        <v>170</v>
      </c>
      <c r="F448" s="24" t="s">
        <v>27</v>
      </c>
      <c r="G448" s="24" t="s">
        <v>28</v>
      </c>
      <c r="H448" s="30" t="s">
        <v>29</v>
      </c>
      <c r="I448" s="24" t="s">
        <v>30</v>
      </c>
      <c r="J448" s="24" t="s">
        <v>31</v>
      </c>
      <c r="K448" s="24" t="s">
        <v>2111</v>
      </c>
      <c r="L448" s="24" t="s">
        <v>122</v>
      </c>
      <c r="M448" s="24" t="s">
        <v>227</v>
      </c>
      <c r="N448" s="24">
        <v>9</v>
      </c>
      <c r="O448" s="36">
        <v>15</v>
      </c>
      <c r="P448" s="35">
        <v>0.2</v>
      </c>
      <c r="Q448" s="36">
        <v>108</v>
      </c>
      <c r="R448" s="34">
        <v>3</v>
      </c>
      <c r="S448" s="24" t="s">
        <v>79</v>
      </c>
      <c r="T448" s="24" t="s">
        <v>61</v>
      </c>
      <c r="U448" s="24" t="s">
        <v>50</v>
      </c>
      <c r="V448" s="24">
        <v>9292891941</v>
      </c>
      <c r="W448" s="24" t="s">
        <v>2103</v>
      </c>
      <c r="X448" s="34">
        <v>12</v>
      </c>
      <c r="Y448" s="24" t="s">
        <v>2108</v>
      </c>
      <c r="Z448" s="30">
        <v>46440</v>
      </c>
      <c r="AA448" s="24" t="s">
        <v>2171</v>
      </c>
      <c r="AB448" s="136" t="str">
        <f t="shared" si="6"/>
        <v>Silver</v>
      </c>
    </row>
    <row r="449" spans="1:28">
      <c r="A449" s="24" t="s">
        <v>1911</v>
      </c>
      <c r="B449" s="24" t="s">
        <v>23</v>
      </c>
      <c r="C449" s="24" t="s">
        <v>54</v>
      </c>
      <c r="D449" s="30">
        <v>45719</v>
      </c>
      <c r="E449" s="30" t="s">
        <v>910</v>
      </c>
      <c r="F449" s="24" t="s">
        <v>27</v>
      </c>
      <c r="G449" s="24" t="s">
        <v>28</v>
      </c>
      <c r="H449" s="30" t="s">
        <v>29</v>
      </c>
      <c r="I449" s="24" t="s">
        <v>30</v>
      </c>
      <c r="J449" s="24" t="s">
        <v>31</v>
      </c>
      <c r="K449" s="24" t="s">
        <v>2111</v>
      </c>
      <c r="L449" s="24" t="s">
        <v>46</v>
      </c>
      <c r="M449" s="24" t="s">
        <v>60</v>
      </c>
      <c r="N449" s="24">
        <v>8</v>
      </c>
      <c r="O449" s="36">
        <v>41250</v>
      </c>
      <c r="P449" s="35">
        <v>0</v>
      </c>
      <c r="Q449" s="36">
        <v>330000</v>
      </c>
      <c r="R449" s="34">
        <v>4</v>
      </c>
      <c r="S449" s="24" t="s">
        <v>34</v>
      </c>
      <c r="T449" s="24" t="s">
        <v>115</v>
      </c>
      <c r="U449" s="24" t="s">
        <v>50</v>
      </c>
      <c r="V449" s="24">
        <v>9413789556</v>
      </c>
      <c r="W449" s="24" t="s">
        <v>2100</v>
      </c>
      <c r="X449" s="34">
        <v>12</v>
      </c>
      <c r="Y449" s="24" t="s">
        <v>2108</v>
      </c>
      <c r="Z449" s="30">
        <v>46095</v>
      </c>
      <c r="AA449" s="24" t="s">
        <v>2171</v>
      </c>
      <c r="AB449" s="136" t="str">
        <f t="shared" si="6"/>
        <v>Platinum</v>
      </c>
    </row>
    <row r="450" spans="1:28">
      <c r="A450" s="24" t="s">
        <v>1915</v>
      </c>
      <c r="B450" s="24" t="s">
        <v>327</v>
      </c>
      <c r="C450" s="24" t="s">
        <v>72</v>
      </c>
      <c r="D450" s="30">
        <v>46136</v>
      </c>
      <c r="E450" s="30" t="s">
        <v>1430</v>
      </c>
      <c r="F450" s="24" t="s">
        <v>394</v>
      </c>
      <c r="G450" s="24" t="s">
        <v>76</v>
      </c>
      <c r="H450" s="30" t="s">
        <v>331</v>
      </c>
      <c r="I450" s="24" t="s">
        <v>114</v>
      </c>
      <c r="J450" s="24" t="s">
        <v>106</v>
      </c>
      <c r="K450" s="24" t="s">
        <v>2109</v>
      </c>
      <c r="L450" s="24" t="s">
        <v>46</v>
      </c>
      <c r="M450" s="24" t="s">
        <v>78</v>
      </c>
      <c r="N450" s="24">
        <v>4</v>
      </c>
      <c r="O450" s="36">
        <v>900</v>
      </c>
      <c r="P450" s="35">
        <v>0.1</v>
      </c>
      <c r="Q450" s="36">
        <v>3240</v>
      </c>
      <c r="R450" s="34">
        <v>4</v>
      </c>
      <c r="S450" s="24" t="s">
        <v>2149</v>
      </c>
      <c r="T450" s="24" t="s">
        <v>35</v>
      </c>
      <c r="U450" s="24" t="s">
        <v>332</v>
      </c>
      <c r="V450" s="24">
        <v>9876513858</v>
      </c>
      <c r="W450" s="24" t="s">
        <v>2100</v>
      </c>
      <c r="X450" s="34">
        <v>6</v>
      </c>
      <c r="Y450" s="24" t="s">
        <v>2108</v>
      </c>
      <c r="Z450" s="30">
        <v>46323</v>
      </c>
      <c r="AA450" s="24" t="s">
        <v>2171</v>
      </c>
      <c r="AB450" s="136" t="str">
        <f t="shared" si="6"/>
        <v>Silver</v>
      </c>
    </row>
    <row r="451" spans="1:28">
      <c r="A451" s="24" t="s">
        <v>1920</v>
      </c>
      <c r="B451" s="24" t="s">
        <v>327</v>
      </c>
      <c r="C451" s="24" t="s">
        <v>169</v>
      </c>
      <c r="D451" s="30">
        <v>46145</v>
      </c>
      <c r="E451" s="30" t="s">
        <v>426</v>
      </c>
      <c r="F451" s="24" t="s">
        <v>394</v>
      </c>
      <c r="G451" s="24" t="s">
        <v>76</v>
      </c>
      <c r="H451" s="30" t="s">
        <v>331</v>
      </c>
      <c r="I451" s="24" t="s">
        <v>114</v>
      </c>
      <c r="J451" s="24" t="s">
        <v>106</v>
      </c>
      <c r="K451" s="24" t="s">
        <v>2109</v>
      </c>
      <c r="L451" s="24" t="s">
        <v>32</v>
      </c>
      <c r="M451" s="24" t="s">
        <v>174</v>
      </c>
      <c r="N451" s="24">
        <v>14</v>
      </c>
      <c r="O451" s="36">
        <v>6375</v>
      </c>
      <c r="P451" s="35">
        <v>0.1</v>
      </c>
      <c r="Q451" s="36">
        <v>80325</v>
      </c>
      <c r="R451" s="34">
        <v>4</v>
      </c>
      <c r="S451" s="24" t="s">
        <v>34</v>
      </c>
      <c r="T451" s="24" t="s">
        <v>35</v>
      </c>
      <c r="U451" s="24" t="s">
        <v>332</v>
      </c>
      <c r="V451" s="24">
        <v>9211936331</v>
      </c>
      <c r="W451" s="24" t="s">
        <v>2100</v>
      </c>
      <c r="X451" s="34">
        <v>24</v>
      </c>
      <c r="Y451" s="24" t="s">
        <v>2108</v>
      </c>
      <c r="Z451" s="30">
        <v>46886</v>
      </c>
      <c r="AA451" s="24" t="s">
        <v>2171</v>
      </c>
      <c r="AB451" s="136" t="str">
        <f t="shared" ref="AB451:AB501" si="7">IF(R451&lt;=2, "Blacklisted", IF(AND(Q451&gt;=100000, R451&gt;=4, P451&lt;=10%), "Platinum", IF(AND(Q451&gt;=50000, R451&gt;=3), "Gold", IF(Q451&lt;50000, "Silver", "Blacklisted"))))</f>
        <v>Gold</v>
      </c>
    </row>
    <row r="452" spans="1:28">
      <c r="A452" s="24" t="s">
        <v>1923</v>
      </c>
      <c r="B452" s="24" t="s">
        <v>71</v>
      </c>
      <c r="C452" s="24" t="s">
        <v>259</v>
      </c>
      <c r="D452" s="30">
        <v>45807</v>
      </c>
      <c r="E452" s="30" t="s">
        <v>1924</v>
      </c>
      <c r="F452" s="24" t="s">
        <v>217</v>
      </c>
      <c r="G452" s="24" t="s">
        <v>76</v>
      </c>
      <c r="H452" s="30" t="s">
        <v>77</v>
      </c>
      <c r="I452" s="24" t="s">
        <v>44</v>
      </c>
      <c r="J452" s="24" t="s">
        <v>45</v>
      </c>
      <c r="K452" s="24" t="s">
        <v>2114</v>
      </c>
      <c r="L452" s="24" t="s">
        <v>122</v>
      </c>
      <c r="M452" s="24" t="s">
        <v>263</v>
      </c>
      <c r="N452" s="24">
        <v>1</v>
      </c>
      <c r="O452" s="36">
        <v>33.75</v>
      </c>
      <c r="P452" s="35">
        <v>0</v>
      </c>
      <c r="Q452" s="36">
        <v>33.75</v>
      </c>
      <c r="R452" s="34">
        <v>3</v>
      </c>
      <c r="S452" s="24" t="s">
        <v>2149</v>
      </c>
      <c r="T452" s="24" t="s">
        <v>151</v>
      </c>
      <c r="U452" s="24" t="s">
        <v>80</v>
      </c>
      <c r="V452" s="24">
        <v>9167291747</v>
      </c>
      <c r="W452" s="24" t="s">
        <v>2100</v>
      </c>
      <c r="X452" s="34">
        <v>12</v>
      </c>
      <c r="Y452" s="24" t="s">
        <v>2110</v>
      </c>
      <c r="Z452" s="30">
        <v>46180</v>
      </c>
      <c r="AA452" s="24" t="s">
        <v>2173</v>
      </c>
      <c r="AB452" s="136" t="str">
        <f t="shared" si="7"/>
        <v>Silver</v>
      </c>
    </row>
    <row r="453" spans="1:28">
      <c r="A453" s="24" t="s">
        <v>1927</v>
      </c>
      <c r="B453" s="24" t="s">
        <v>71</v>
      </c>
      <c r="C453" s="24" t="s">
        <v>54</v>
      </c>
      <c r="D453" s="30">
        <v>45705</v>
      </c>
      <c r="E453" s="30" t="s">
        <v>1069</v>
      </c>
      <c r="F453" s="24" t="s">
        <v>217</v>
      </c>
      <c r="G453" s="24" t="s">
        <v>76</v>
      </c>
      <c r="H453" s="30" t="s">
        <v>77</v>
      </c>
      <c r="I453" s="24" t="s">
        <v>44</v>
      </c>
      <c r="J453" s="24" t="s">
        <v>45</v>
      </c>
      <c r="K453" s="24" t="s">
        <v>2114</v>
      </c>
      <c r="L453" s="24" t="s">
        <v>46</v>
      </c>
      <c r="M453" s="24" t="s">
        <v>60</v>
      </c>
      <c r="N453" s="24">
        <v>16</v>
      </c>
      <c r="O453" s="36">
        <v>41250</v>
      </c>
      <c r="P453" s="35">
        <v>0.15</v>
      </c>
      <c r="Q453" s="36">
        <v>561000</v>
      </c>
      <c r="R453" s="34">
        <v>1</v>
      </c>
      <c r="S453" s="24" t="s">
        <v>79</v>
      </c>
      <c r="T453" s="24" t="s">
        <v>151</v>
      </c>
      <c r="U453" s="24" t="s">
        <v>80</v>
      </c>
      <c r="V453" s="24">
        <v>9637283597</v>
      </c>
      <c r="W453" s="24" t="s">
        <v>2100</v>
      </c>
      <c r="X453" s="34">
        <v>12</v>
      </c>
      <c r="Y453" s="24" t="s">
        <v>2110</v>
      </c>
      <c r="Z453" s="30">
        <v>46081</v>
      </c>
      <c r="AA453" s="24" t="s">
        <v>2173</v>
      </c>
      <c r="AB453" s="136" t="str">
        <f t="shared" si="7"/>
        <v>Blacklisted</v>
      </c>
    </row>
    <row r="454" spans="1:28">
      <c r="A454" s="24" t="s">
        <v>1930</v>
      </c>
      <c r="B454" s="24" t="s">
        <v>53</v>
      </c>
      <c r="C454" s="24" t="s">
        <v>184</v>
      </c>
      <c r="D454" s="30">
        <v>46103</v>
      </c>
      <c r="E454" s="30" t="s">
        <v>1932</v>
      </c>
      <c r="F454" s="24" t="s">
        <v>163</v>
      </c>
      <c r="G454" s="24" t="s">
        <v>28</v>
      </c>
      <c r="H454" s="30" t="s">
        <v>58</v>
      </c>
      <c r="I454" s="24" t="s">
        <v>59</v>
      </c>
      <c r="J454" s="24" t="s">
        <v>31</v>
      </c>
      <c r="K454" s="24" t="s">
        <v>2111</v>
      </c>
      <c r="L454" s="24" t="s">
        <v>46</v>
      </c>
      <c r="M454" s="24" t="s">
        <v>189</v>
      </c>
      <c r="N454" s="24">
        <v>8</v>
      </c>
      <c r="O454" s="36">
        <v>525</v>
      </c>
      <c r="P454" s="35">
        <v>0</v>
      </c>
      <c r="Q454" s="36">
        <v>4200</v>
      </c>
      <c r="R454" s="34">
        <v>3</v>
      </c>
      <c r="S454" s="24" t="s">
        <v>34</v>
      </c>
      <c r="T454" s="24" t="s">
        <v>49</v>
      </c>
      <c r="U454" s="24" t="s">
        <v>62</v>
      </c>
      <c r="V454" s="24">
        <v>9514269002</v>
      </c>
      <c r="W454" s="24" t="s">
        <v>2100</v>
      </c>
      <c r="X454" s="34">
        <v>24</v>
      </c>
      <c r="Y454" s="24" t="s">
        <v>2108</v>
      </c>
      <c r="Z454" s="30">
        <v>46841</v>
      </c>
      <c r="AA454" s="24" t="s">
        <v>2172</v>
      </c>
      <c r="AB454" s="136" t="str">
        <f t="shared" si="7"/>
        <v>Silver</v>
      </c>
    </row>
    <row r="455" spans="1:28">
      <c r="A455" s="24" t="s">
        <v>1935</v>
      </c>
      <c r="B455" s="24" t="s">
        <v>251</v>
      </c>
      <c r="C455" s="24" t="s">
        <v>72</v>
      </c>
      <c r="D455" s="30">
        <v>46114</v>
      </c>
      <c r="E455" s="30" t="s">
        <v>1936</v>
      </c>
      <c r="F455" s="24" t="s">
        <v>254</v>
      </c>
      <c r="G455" s="24" t="s">
        <v>28</v>
      </c>
      <c r="H455" s="30" t="s">
        <v>255</v>
      </c>
      <c r="I455" s="24" t="s">
        <v>114</v>
      </c>
      <c r="J455" s="24" t="s">
        <v>106</v>
      </c>
      <c r="K455" s="24" t="s">
        <v>2111</v>
      </c>
      <c r="L455" s="24" t="s">
        <v>46</v>
      </c>
      <c r="M455" s="24" t="s">
        <v>78</v>
      </c>
      <c r="N455" s="24">
        <v>3</v>
      </c>
      <c r="O455" s="36">
        <v>900</v>
      </c>
      <c r="P455" s="35">
        <v>0</v>
      </c>
      <c r="Q455" s="36">
        <v>2700</v>
      </c>
      <c r="R455" s="34">
        <v>1</v>
      </c>
      <c r="S455" s="24" t="s">
        <v>79</v>
      </c>
      <c r="T455" s="24" t="s">
        <v>49</v>
      </c>
      <c r="U455" s="24" t="s">
        <v>256</v>
      </c>
      <c r="V455" s="24">
        <v>9778908233</v>
      </c>
      <c r="W455" s="24" t="s">
        <v>2100</v>
      </c>
      <c r="X455" s="34">
        <v>6</v>
      </c>
      <c r="Y455" s="24" t="s">
        <v>2112</v>
      </c>
      <c r="Z455" s="30">
        <v>46308</v>
      </c>
      <c r="AA455" s="24" t="s">
        <v>2173</v>
      </c>
      <c r="AB455" s="136" t="str">
        <f t="shared" si="7"/>
        <v>Blacklisted</v>
      </c>
    </row>
    <row r="456" spans="1:28">
      <c r="A456" s="24" t="s">
        <v>1939</v>
      </c>
      <c r="B456" s="24" t="s">
        <v>71</v>
      </c>
      <c r="C456" s="24" t="s">
        <v>92</v>
      </c>
      <c r="D456" s="30">
        <v>45706</v>
      </c>
      <c r="E456" s="30" t="s">
        <v>387</v>
      </c>
      <c r="F456" s="24" t="s">
        <v>217</v>
      </c>
      <c r="G456" s="24" t="s">
        <v>76</v>
      </c>
      <c r="H456" s="30" t="s">
        <v>77</v>
      </c>
      <c r="I456" s="24" t="s">
        <v>44</v>
      </c>
      <c r="J456" s="24" t="s">
        <v>45</v>
      </c>
      <c r="K456" s="24" t="s">
        <v>2114</v>
      </c>
      <c r="L456" s="24" t="s">
        <v>32</v>
      </c>
      <c r="M456" s="24" t="s">
        <v>97</v>
      </c>
      <c r="N456" s="24">
        <v>7</v>
      </c>
      <c r="O456" s="36">
        <v>2625</v>
      </c>
      <c r="P456" s="35">
        <v>0.15</v>
      </c>
      <c r="Q456" s="36">
        <v>15618.75</v>
      </c>
      <c r="R456" s="34">
        <v>4</v>
      </c>
      <c r="S456" s="24" t="s">
        <v>79</v>
      </c>
      <c r="T456" s="24" t="s">
        <v>61</v>
      </c>
      <c r="U456" s="24" t="s">
        <v>80</v>
      </c>
      <c r="V456" s="24">
        <v>9981118755</v>
      </c>
      <c r="W456" s="24" t="s">
        <v>2101</v>
      </c>
      <c r="X456" s="34">
        <v>6</v>
      </c>
      <c r="Y456" s="24" t="s">
        <v>2110</v>
      </c>
      <c r="Z456" s="30">
        <v>45895</v>
      </c>
      <c r="AA456" s="24" t="s">
        <v>2173</v>
      </c>
      <c r="AB456" s="136" t="str">
        <f t="shared" si="7"/>
        <v>Silver</v>
      </c>
    </row>
    <row r="457" spans="1:28">
      <c r="A457" s="24" t="s">
        <v>1942</v>
      </c>
      <c r="B457" s="24" t="s">
        <v>53</v>
      </c>
      <c r="C457" s="24" t="s">
        <v>54</v>
      </c>
      <c r="D457" s="30">
        <v>46110</v>
      </c>
      <c r="E457" s="30" t="s">
        <v>740</v>
      </c>
      <c r="F457" s="24" t="s">
        <v>163</v>
      </c>
      <c r="G457" s="24" t="s">
        <v>28</v>
      </c>
      <c r="H457" s="30" t="s">
        <v>58</v>
      </c>
      <c r="I457" s="24" t="s">
        <v>59</v>
      </c>
      <c r="J457" s="24" t="s">
        <v>31</v>
      </c>
      <c r="K457" s="24" t="s">
        <v>2111</v>
      </c>
      <c r="L457" s="24" t="s">
        <v>46</v>
      </c>
      <c r="M457" s="24" t="s">
        <v>60</v>
      </c>
      <c r="N457" s="24">
        <v>9</v>
      </c>
      <c r="O457" s="36">
        <v>41250</v>
      </c>
      <c r="P457" s="35">
        <v>0.15</v>
      </c>
      <c r="Q457" s="36">
        <v>315562.5</v>
      </c>
      <c r="R457" s="34">
        <v>3</v>
      </c>
      <c r="S457" s="24" t="s">
        <v>2149</v>
      </c>
      <c r="T457" s="24" t="s">
        <v>35</v>
      </c>
      <c r="U457" s="24" t="s">
        <v>62</v>
      </c>
      <c r="V457" s="24">
        <v>9887896743</v>
      </c>
      <c r="W457" s="24" t="s">
        <v>2100</v>
      </c>
      <c r="X457" s="34">
        <v>12</v>
      </c>
      <c r="Y457" s="24" t="s">
        <v>2108</v>
      </c>
      <c r="Z457" s="30">
        <v>46481</v>
      </c>
      <c r="AA457" s="24" t="s">
        <v>2172</v>
      </c>
      <c r="AB457" s="136" t="str">
        <f t="shared" si="7"/>
        <v>Gold</v>
      </c>
    </row>
    <row r="458" spans="1:28">
      <c r="A458" s="24" t="s">
        <v>1945</v>
      </c>
      <c r="B458" s="24" t="s">
        <v>327</v>
      </c>
      <c r="C458" s="24" t="s">
        <v>40</v>
      </c>
      <c r="D458" s="30">
        <v>45992</v>
      </c>
      <c r="E458" s="30" t="s">
        <v>918</v>
      </c>
      <c r="F458" s="24" t="s">
        <v>394</v>
      </c>
      <c r="G458" s="24" t="s">
        <v>76</v>
      </c>
      <c r="H458" s="30" t="s">
        <v>331</v>
      </c>
      <c r="I458" s="24" t="s">
        <v>114</v>
      </c>
      <c r="J458" s="24" t="s">
        <v>106</v>
      </c>
      <c r="K458" s="24" t="s">
        <v>2109</v>
      </c>
      <c r="L458" s="24" t="s">
        <v>46</v>
      </c>
      <c r="M458" s="24" t="s">
        <v>47</v>
      </c>
      <c r="N458" s="24">
        <v>12</v>
      </c>
      <c r="O458" s="36">
        <v>9000</v>
      </c>
      <c r="P458" s="35">
        <v>0</v>
      </c>
      <c r="Q458" s="36">
        <v>108000</v>
      </c>
      <c r="R458" s="34">
        <v>3</v>
      </c>
      <c r="S458" s="24" t="s">
        <v>79</v>
      </c>
      <c r="T458" s="24" t="s">
        <v>151</v>
      </c>
      <c r="U458" s="24" t="s">
        <v>332</v>
      </c>
      <c r="V458" s="24">
        <v>9585330043</v>
      </c>
      <c r="W458" s="24" t="s">
        <v>2101</v>
      </c>
      <c r="X458" s="34">
        <v>24</v>
      </c>
      <c r="Y458" s="24" t="s">
        <v>2108</v>
      </c>
      <c r="Z458" s="30">
        <v>46723</v>
      </c>
      <c r="AA458" s="24" t="s">
        <v>2171</v>
      </c>
      <c r="AB458" s="136" t="str">
        <f t="shared" si="7"/>
        <v>Gold</v>
      </c>
    </row>
    <row r="459" spans="1:28">
      <c r="A459" s="24" t="s">
        <v>1948</v>
      </c>
      <c r="B459" s="24" t="s">
        <v>100</v>
      </c>
      <c r="C459" s="24" t="s">
        <v>118</v>
      </c>
      <c r="D459" s="30">
        <v>45781</v>
      </c>
      <c r="E459" s="30" t="s">
        <v>597</v>
      </c>
      <c r="F459" s="24" t="s">
        <v>103</v>
      </c>
      <c r="G459" s="24" t="s">
        <v>28</v>
      </c>
      <c r="H459" s="30" t="s">
        <v>104</v>
      </c>
      <c r="I459" s="24" t="s">
        <v>105</v>
      </c>
      <c r="J459" s="24" t="s">
        <v>106</v>
      </c>
      <c r="K459" s="24" t="s">
        <v>2111</v>
      </c>
      <c r="L459" s="24" t="s">
        <v>122</v>
      </c>
      <c r="M459" s="24" t="s">
        <v>123</v>
      </c>
      <c r="N459" s="24">
        <v>7</v>
      </c>
      <c r="O459" s="36">
        <v>45</v>
      </c>
      <c r="P459" s="35">
        <v>0.1</v>
      </c>
      <c r="Q459" s="36">
        <v>283.5</v>
      </c>
      <c r="R459" s="34">
        <v>4</v>
      </c>
      <c r="S459" s="24" t="s">
        <v>34</v>
      </c>
      <c r="T459" s="24" t="s">
        <v>49</v>
      </c>
      <c r="U459" s="24" t="s">
        <v>144</v>
      </c>
      <c r="V459" s="24">
        <v>9423719975</v>
      </c>
      <c r="W459" s="24" t="s">
        <v>2102</v>
      </c>
      <c r="X459" s="34">
        <v>12</v>
      </c>
      <c r="Y459" s="24" t="s">
        <v>2110</v>
      </c>
      <c r="Z459" s="30">
        <v>46153</v>
      </c>
      <c r="AA459" s="24" t="s">
        <v>2175</v>
      </c>
      <c r="AB459" s="136" t="str">
        <f t="shared" si="7"/>
        <v>Silver</v>
      </c>
    </row>
    <row r="460" spans="1:28">
      <c r="A460" s="24" t="s">
        <v>1951</v>
      </c>
      <c r="B460" s="24" t="s">
        <v>221</v>
      </c>
      <c r="C460" s="24" t="s">
        <v>24</v>
      </c>
      <c r="D460" s="30">
        <v>45892</v>
      </c>
      <c r="E460" s="30" t="s">
        <v>674</v>
      </c>
      <c r="F460" s="24" t="s">
        <v>225</v>
      </c>
      <c r="G460" s="24" t="s">
        <v>76</v>
      </c>
      <c r="H460" s="30" t="s">
        <v>226</v>
      </c>
      <c r="I460" s="24" t="s">
        <v>105</v>
      </c>
      <c r="J460" s="24" t="s">
        <v>106</v>
      </c>
      <c r="K460" s="24" t="s">
        <v>2113</v>
      </c>
      <c r="L460" s="24" t="s">
        <v>32</v>
      </c>
      <c r="M460" s="24" t="s">
        <v>33</v>
      </c>
      <c r="N460" s="24">
        <v>17</v>
      </c>
      <c r="O460" s="36">
        <v>1650</v>
      </c>
      <c r="P460" s="35">
        <v>0.15</v>
      </c>
      <c r="Q460" s="36">
        <v>23842.5</v>
      </c>
      <c r="R460" s="34">
        <v>3</v>
      </c>
      <c r="S460" s="24" t="s">
        <v>2149</v>
      </c>
      <c r="T460" s="24" t="s">
        <v>151</v>
      </c>
      <c r="U460" s="24" t="s">
        <v>228</v>
      </c>
      <c r="V460" s="24">
        <v>9270746961</v>
      </c>
      <c r="W460" s="24" t="s">
        <v>2101</v>
      </c>
      <c r="X460" s="34">
        <v>24</v>
      </c>
      <c r="Y460" s="24" t="s">
        <v>2112</v>
      </c>
      <c r="Z460" s="30">
        <v>46630</v>
      </c>
      <c r="AA460" s="24" t="s">
        <v>2171</v>
      </c>
      <c r="AB460" s="136" t="str">
        <f t="shared" si="7"/>
        <v>Silver</v>
      </c>
    </row>
    <row r="461" spans="1:28">
      <c r="A461" s="24" t="s">
        <v>1954</v>
      </c>
      <c r="B461" s="24" t="s">
        <v>327</v>
      </c>
      <c r="C461" s="24" t="s">
        <v>184</v>
      </c>
      <c r="D461" s="30">
        <v>45988</v>
      </c>
      <c r="E461" s="30" t="s">
        <v>1537</v>
      </c>
      <c r="F461" s="24" t="s">
        <v>394</v>
      </c>
      <c r="G461" s="24" t="s">
        <v>76</v>
      </c>
      <c r="H461" s="30" t="s">
        <v>331</v>
      </c>
      <c r="I461" s="24" t="s">
        <v>114</v>
      </c>
      <c r="J461" s="24" t="s">
        <v>106</v>
      </c>
      <c r="K461" s="24" t="s">
        <v>2109</v>
      </c>
      <c r="L461" s="24" t="s">
        <v>46</v>
      </c>
      <c r="M461" s="24" t="s">
        <v>189</v>
      </c>
      <c r="N461" s="24">
        <v>17</v>
      </c>
      <c r="O461" s="36">
        <v>525</v>
      </c>
      <c r="P461" s="35">
        <v>0.1</v>
      </c>
      <c r="Q461" s="36">
        <v>8032.5</v>
      </c>
      <c r="R461" s="34">
        <v>2</v>
      </c>
      <c r="S461" s="24" t="s">
        <v>34</v>
      </c>
      <c r="T461" s="24" t="s">
        <v>61</v>
      </c>
      <c r="U461" s="24" t="s">
        <v>332</v>
      </c>
      <c r="V461" s="24">
        <v>9333162025</v>
      </c>
      <c r="W461" s="24" t="s">
        <v>2100</v>
      </c>
      <c r="X461" s="34">
        <v>24</v>
      </c>
      <c r="Y461" s="24" t="s">
        <v>2108</v>
      </c>
      <c r="Z461" s="30">
        <v>46727</v>
      </c>
      <c r="AA461" s="24" t="s">
        <v>2171</v>
      </c>
      <c r="AB461" s="136" t="str">
        <f t="shared" si="7"/>
        <v>Blacklisted</v>
      </c>
    </row>
    <row r="462" spans="1:28">
      <c r="A462" s="24" t="s">
        <v>1957</v>
      </c>
      <c r="B462" s="24" t="s">
        <v>327</v>
      </c>
      <c r="C462" s="24" t="s">
        <v>54</v>
      </c>
      <c r="D462" s="30">
        <v>45806</v>
      </c>
      <c r="E462" s="30" t="s">
        <v>1188</v>
      </c>
      <c r="F462" s="24" t="s">
        <v>394</v>
      </c>
      <c r="G462" s="24" t="s">
        <v>76</v>
      </c>
      <c r="H462" s="30" t="s">
        <v>331</v>
      </c>
      <c r="I462" s="24" t="s">
        <v>114</v>
      </c>
      <c r="J462" s="24" t="s">
        <v>106</v>
      </c>
      <c r="K462" s="24" t="s">
        <v>2109</v>
      </c>
      <c r="L462" s="24" t="s">
        <v>46</v>
      </c>
      <c r="M462" s="24" t="s">
        <v>60</v>
      </c>
      <c r="N462" s="24">
        <v>19</v>
      </c>
      <c r="O462" s="36">
        <v>41250</v>
      </c>
      <c r="P462" s="35">
        <v>0.2</v>
      </c>
      <c r="Q462" s="36">
        <v>627000</v>
      </c>
      <c r="R462" s="34">
        <v>5</v>
      </c>
      <c r="S462" s="24" t="s">
        <v>2148</v>
      </c>
      <c r="T462" s="24" t="s">
        <v>61</v>
      </c>
      <c r="U462" s="24" t="s">
        <v>332</v>
      </c>
      <c r="V462" s="24">
        <v>9247023285</v>
      </c>
      <c r="W462" s="24" t="s">
        <v>2100</v>
      </c>
      <c r="X462" s="34">
        <v>12</v>
      </c>
      <c r="Y462" s="24" t="s">
        <v>2108</v>
      </c>
      <c r="Z462" s="30">
        <v>46174</v>
      </c>
      <c r="AA462" s="24" t="s">
        <v>2171</v>
      </c>
      <c r="AB462" s="136" t="str">
        <f t="shared" si="7"/>
        <v>Gold</v>
      </c>
    </row>
    <row r="463" spans="1:28">
      <c r="A463" s="24" t="s">
        <v>1961</v>
      </c>
      <c r="B463" s="24" t="s">
        <v>127</v>
      </c>
      <c r="C463" s="24" t="s">
        <v>118</v>
      </c>
      <c r="D463" s="30">
        <v>45912</v>
      </c>
      <c r="E463" s="30" t="s">
        <v>128</v>
      </c>
      <c r="F463" s="24" t="s">
        <v>200</v>
      </c>
      <c r="G463" s="24" t="s">
        <v>76</v>
      </c>
      <c r="H463" s="30" t="s">
        <v>131</v>
      </c>
      <c r="I463" s="24" t="s">
        <v>44</v>
      </c>
      <c r="J463" s="24" t="s">
        <v>45</v>
      </c>
      <c r="K463" s="24" t="s">
        <v>2113</v>
      </c>
      <c r="L463" s="24" t="s">
        <v>122</v>
      </c>
      <c r="M463" s="24" t="s">
        <v>123</v>
      </c>
      <c r="N463" s="24">
        <v>1</v>
      </c>
      <c r="O463" s="36">
        <v>45</v>
      </c>
      <c r="P463" s="35">
        <v>0.1</v>
      </c>
      <c r="Q463" s="36">
        <v>40.5</v>
      </c>
      <c r="R463" s="34">
        <v>4</v>
      </c>
      <c r="S463" s="24" t="s">
        <v>2148</v>
      </c>
      <c r="T463" s="24" t="s">
        <v>2145</v>
      </c>
      <c r="U463" s="24" t="s">
        <v>132</v>
      </c>
      <c r="V463" s="24">
        <v>9448658297</v>
      </c>
      <c r="W463" s="24" t="s">
        <v>2102</v>
      </c>
      <c r="X463" s="34">
        <v>12</v>
      </c>
      <c r="Y463" s="24" t="s">
        <v>2112</v>
      </c>
      <c r="Z463" s="30">
        <v>46284</v>
      </c>
      <c r="AA463" s="24" t="s">
        <v>2176</v>
      </c>
      <c r="AB463" s="136" t="str">
        <f t="shared" si="7"/>
        <v>Silver</v>
      </c>
    </row>
    <row r="464" spans="1:28">
      <c r="A464" s="24" t="s">
        <v>1965</v>
      </c>
      <c r="B464" s="24" t="s">
        <v>71</v>
      </c>
      <c r="C464" s="24" t="s">
        <v>92</v>
      </c>
      <c r="D464" s="30">
        <v>46085</v>
      </c>
      <c r="E464" s="30" t="s">
        <v>554</v>
      </c>
      <c r="F464" s="24" t="s">
        <v>217</v>
      </c>
      <c r="G464" s="24" t="s">
        <v>76</v>
      </c>
      <c r="H464" s="30" t="s">
        <v>77</v>
      </c>
      <c r="I464" s="24" t="s">
        <v>44</v>
      </c>
      <c r="J464" s="24" t="s">
        <v>45</v>
      </c>
      <c r="K464" s="24" t="s">
        <v>2114</v>
      </c>
      <c r="L464" s="24" t="s">
        <v>32</v>
      </c>
      <c r="M464" s="24" t="s">
        <v>97</v>
      </c>
      <c r="N464" s="24">
        <v>16</v>
      </c>
      <c r="O464" s="36">
        <v>2625</v>
      </c>
      <c r="P464" s="35">
        <v>0</v>
      </c>
      <c r="Q464" s="36">
        <v>42000</v>
      </c>
      <c r="R464" s="34">
        <v>4</v>
      </c>
      <c r="S464" s="24" t="s">
        <v>2148</v>
      </c>
      <c r="T464" s="24" t="s">
        <v>35</v>
      </c>
      <c r="U464" s="24" t="s">
        <v>80</v>
      </c>
      <c r="V464" s="24">
        <v>9906748486</v>
      </c>
      <c r="W464" s="24" t="s">
        <v>2101</v>
      </c>
      <c r="X464" s="34">
        <v>6</v>
      </c>
      <c r="Y464" s="24" t="s">
        <v>2110</v>
      </c>
      <c r="Z464" s="30">
        <v>46276</v>
      </c>
      <c r="AA464" s="24" t="s">
        <v>2173</v>
      </c>
      <c r="AB464" s="136" t="str">
        <f t="shared" si="7"/>
        <v>Silver</v>
      </c>
    </row>
    <row r="465" spans="1:28">
      <c r="A465" s="24" t="s">
        <v>1968</v>
      </c>
      <c r="B465" s="24" t="s">
        <v>127</v>
      </c>
      <c r="C465" s="24" t="s">
        <v>222</v>
      </c>
      <c r="D465" s="30">
        <v>45681</v>
      </c>
      <c r="E465" s="30" t="s">
        <v>766</v>
      </c>
      <c r="F465" s="24" t="s">
        <v>200</v>
      </c>
      <c r="G465" s="24" t="s">
        <v>76</v>
      </c>
      <c r="H465" s="30" t="s">
        <v>131</v>
      </c>
      <c r="I465" s="24" t="s">
        <v>44</v>
      </c>
      <c r="J465" s="24" t="s">
        <v>45</v>
      </c>
      <c r="K465" s="24" t="s">
        <v>2113</v>
      </c>
      <c r="L465" s="24" t="s">
        <v>122</v>
      </c>
      <c r="M465" s="24" t="s">
        <v>227</v>
      </c>
      <c r="N465" s="24">
        <v>14</v>
      </c>
      <c r="O465" s="36">
        <v>15</v>
      </c>
      <c r="P465" s="35">
        <v>0.1</v>
      </c>
      <c r="Q465" s="36">
        <v>189</v>
      </c>
      <c r="R465" s="34">
        <v>1</v>
      </c>
      <c r="S465" s="24" t="s">
        <v>2148</v>
      </c>
      <c r="T465" s="24" t="s">
        <v>61</v>
      </c>
      <c r="U465" s="24" t="s">
        <v>132</v>
      </c>
      <c r="V465" s="24">
        <v>9365182725</v>
      </c>
      <c r="W465" s="24" t="s">
        <v>2103</v>
      </c>
      <c r="X465" s="34">
        <v>12</v>
      </c>
      <c r="Y465" s="24" t="s">
        <v>2112</v>
      </c>
      <c r="Z465" s="30">
        <v>46058</v>
      </c>
      <c r="AA465" s="24" t="s">
        <v>2176</v>
      </c>
      <c r="AB465" s="136" t="str">
        <f t="shared" si="7"/>
        <v>Blacklisted</v>
      </c>
    </row>
    <row r="466" spans="1:28">
      <c r="A466" s="24" t="s">
        <v>1970</v>
      </c>
      <c r="B466" s="24" t="s">
        <v>71</v>
      </c>
      <c r="C466" s="24" t="s">
        <v>24</v>
      </c>
      <c r="D466" s="30">
        <v>46004</v>
      </c>
      <c r="E466" s="30" t="s">
        <v>454</v>
      </c>
      <c r="F466" s="24" t="s">
        <v>217</v>
      </c>
      <c r="G466" s="24" t="s">
        <v>76</v>
      </c>
      <c r="H466" s="30" t="s">
        <v>77</v>
      </c>
      <c r="I466" s="24" t="s">
        <v>44</v>
      </c>
      <c r="J466" s="24" t="s">
        <v>45</v>
      </c>
      <c r="K466" s="24" t="s">
        <v>2114</v>
      </c>
      <c r="L466" s="24" t="s">
        <v>32</v>
      </c>
      <c r="M466" s="24" t="s">
        <v>33</v>
      </c>
      <c r="N466" s="24">
        <v>11</v>
      </c>
      <c r="O466" s="36">
        <v>1650</v>
      </c>
      <c r="P466" s="35">
        <v>0.15</v>
      </c>
      <c r="Q466" s="36">
        <v>15427.5</v>
      </c>
      <c r="R466" s="34">
        <v>4</v>
      </c>
      <c r="S466" s="24" t="s">
        <v>2148</v>
      </c>
      <c r="T466" s="24" t="s">
        <v>49</v>
      </c>
      <c r="U466" s="24" t="s">
        <v>80</v>
      </c>
      <c r="V466" s="24">
        <v>9937119494</v>
      </c>
      <c r="W466" s="24" t="s">
        <v>2101</v>
      </c>
      <c r="X466" s="34">
        <v>24</v>
      </c>
      <c r="Y466" s="24" t="s">
        <v>2110</v>
      </c>
      <c r="Z466" s="30">
        <v>46735</v>
      </c>
      <c r="AA466" s="24" t="s">
        <v>2173</v>
      </c>
      <c r="AB466" s="136" t="str">
        <f t="shared" si="7"/>
        <v>Silver</v>
      </c>
    </row>
    <row r="467" spans="1:28">
      <c r="A467" s="24" t="s">
        <v>1973</v>
      </c>
      <c r="B467" s="24" t="s">
        <v>83</v>
      </c>
      <c r="C467" s="24" t="s">
        <v>54</v>
      </c>
      <c r="D467" s="30">
        <v>45870</v>
      </c>
      <c r="E467" s="30" t="s">
        <v>1282</v>
      </c>
      <c r="F467" s="24" t="s">
        <v>180</v>
      </c>
      <c r="G467" s="24" t="s">
        <v>76</v>
      </c>
      <c r="H467" s="30" t="s">
        <v>87</v>
      </c>
      <c r="I467" s="24" t="s">
        <v>30</v>
      </c>
      <c r="J467" s="24" t="s">
        <v>31</v>
      </c>
      <c r="K467" s="24" t="s">
        <v>2109</v>
      </c>
      <c r="L467" s="24" t="s">
        <v>46</v>
      </c>
      <c r="M467" s="24" t="s">
        <v>60</v>
      </c>
      <c r="N467" s="24">
        <v>2</v>
      </c>
      <c r="O467" s="36">
        <v>41250</v>
      </c>
      <c r="P467" s="35">
        <v>0</v>
      </c>
      <c r="Q467" s="36">
        <v>82500</v>
      </c>
      <c r="R467" s="34">
        <v>4</v>
      </c>
      <c r="S467" s="24" t="s">
        <v>2148</v>
      </c>
      <c r="T467" s="24" t="s">
        <v>49</v>
      </c>
      <c r="U467" s="24" t="s">
        <v>89</v>
      </c>
      <c r="V467" s="24">
        <v>9828015293</v>
      </c>
      <c r="W467" s="24" t="s">
        <v>2100</v>
      </c>
      <c r="X467" s="34">
        <v>12</v>
      </c>
      <c r="Y467" s="24" t="s">
        <v>2108</v>
      </c>
      <c r="Z467" s="30">
        <v>46243</v>
      </c>
      <c r="AA467" s="24" t="s">
        <v>2174</v>
      </c>
      <c r="AB467" s="136" t="str">
        <f t="shared" si="7"/>
        <v>Gold</v>
      </c>
    </row>
    <row r="468" spans="1:28">
      <c r="A468" s="24" t="s">
        <v>1976</v>
      </c>
      <c r="B468" s="24" t="s">
        <v>53</v>
      </c>
      <c r="C468" s="24" t="s">
        <v>24</v>
      </c>
      <c r="D468" s="30">
        <v>45658</v>
      </c>
      <c r="E468" s="30" t="s">
        <v>513</v>
      </c>
      <c r="F468" s="24" t="s">
        <v>163</v>
      </c>
      <c r="G468" s="24" t="s">
        <v>28</v>
      </c>
      <c r="H468" s="30" t="s">
        <v>58</v>
      </c>
      <c r="I468" s="24" t="s">
        <v>59</v>
      </c>
      <c r="J468" s="24" t="s">
        <v>31</v>
      </c>
      <c r="K468" s="24" t="s">
        <v>2111</v>
      </c>
      <c r="L468" s="24" t="s">
        <v>32</v>
      </c>
      <c r="M468" s="24" t="s">
        <v>33</v>
      </c>
      <c r="N468" s="24">
        <v>7</v>
      </c>
      <c r="O468" s="36">
        <v>1650</v>
      </c>
      <c r="P468" s="35">
        <v>0.05</v>
      </c>
      <c r="Q468" s="36">
        <v>10972.5</v>
      </c>
      <c r="R468" s="34">
        <v>4</v>
      </c>
      <c r="S468" s="24" t="s">
        <v>79</v>
      </c>
      <c r="T468" s="24" t="s">
        <v>115</v>
      </c>
      <c r="U468" s="24" t="s">
        <v>62</v>
      </c>
      <c r="V468" s="24">
        <v>9864206250</v>
      </c>
      <c r="W468" s="24" t="s">
        <v>2101</v>
      </c>
      <c r="X468" s="34">
        <v>24</v>
      </c>
      <c r="Y468" s="24" t="s">
        <v>2108</v>
      </c>
      <c r="Z468" s="30">
        <v>46394</v>
      </c>
      <c r="AA468" s="24" t="s">
        <v>2172</v>
      </c>
      <c r="AB468" s="136" t="str">
        <f t="shared" si="7"/>
        <v>Silver</v>
      </c>
    </row>
    <row r="469" spans="1:28">
      <c r="A469" s="24" t="s">
        <v>1979</v>
      </c>
      <c r="B469" s="24" t="s">
        <v>23</v>
      </c>
      <c r="C469" s="24" t="s">
        <v>259</v>
      </c>
      <c r="D469" s="30">
        <v>45755</v>
      </c>
      <c r="E469" s="30" t="s">
        <v>577</v>
      </c>
      <c r="F469" s="24" t="s">
        <v>27</v>
      </c>
      <c r="G469" s="24" t="s">
        <v>28</v>
      </c>
      <c r="H469" s="30" t="s">
        <v>29</v>
      </c>
      <c r="I469" s="24" t="s">
        <v>30</v>
      </c>
      <c r="J469" s="24" t="s">
        <v>31</v>
      </c>
      <c r="K469" s="24" t="s">
        <v>2111</v>
      </c>
      <c r="L469" s="24" t="s">
        <v>122</v>
      </c>
      <c r="M469" s="24" t="s">
        <v>263</v>
      </c>
      <c r="N469" s="24">
        <v>11</v>
      </c>
      <c r="O469" s="36">
        <v>33.75</v>
      </c>
      <c r="P469" s="35">
        <v>0.15</v>
      </c>
      <c r="Q469" s="36">
        <v>315.5625</v>
      </c>
      <c r="R469" s="34">
        <v>4</v>
      </c>
      <c r="S469" s="24" t="s">
        <v>79</v>
      </c>
      <c r="T469" s="24" t="s">
        <v>61</v>
      </c>
      <c r="U469" s="24" t="s">
        <v>50</v>
      </c>
      <c r="V469" s="24">
        <v>9519293104</v>
      </c>
      <c r="W469" s="24" t="s">
        <v>2100</v>
      </c>
      <c r="X469" s="34">
        <v>12</v>
      </c>
      <c r="Y469" s="24" t="s">
        <v>2108</v>
      </c>
      <c r="Z469" s="30">
        <v>46124</v>
      </c>
      <c r="AA469" s="24" t="s">
        <v>2171</v>
      </c>
      <c r="AB469" s="136" t="str">
        <f t="shared" si="7"/>
        <v>Silver</v>
      </c>
    </row>
    <row r="470" spans="1:28">
      <c r="A470" s="24" t="s">
        <v>1982</v>
      </c>
      <c r="B470" s="24" t="s">
        <v>100</v>
      </c>
      <c r="C470" s="24" t="s">
        <v>118</v>
      </c>
      <c r="D470" s="30">
        <v>45767</v>
      </c>
      <c r="E470" s="30" t="s">
        <v>210</v>
      </c>
      <c r="F470" s="24" t="s">
        <v>103</v>
      </c>
      <c r="G470" s="24" t="s">
        <v>28</v>
      </c>
      <c r="H470" s="30" t="s">
        <v>104</v>
      </c>
      <c r="I470" s="24" t="s">
        <v>105</v>
      </c>
      <c r="J470" s="24" t="s">
        <v>106</v>
      </c>
      <c r="K470" s="24" t="s">
        <v>2111</v>
      </c>
      <c r="L470" s="24" t="s">
        <v>122</v>
      </c>
      <c r="M470" s="24" t="s">
        <v>123</v>
      </c>
      <c r="N470" s="24">
        <v>16</v>
      </c>
      <c r="O470" s="36">
        <v>45</v>
      </c>
      <c r="P470" s="35">
        <v>0.05</v>
      </c>
      <c r="Q470" s="36">
        <v>684</v>
      </c>
      <c r="R470" s="34">
        <v>2</v>
      </c>
      <c r="S470" s="24" t="s">
        <v>34</v>
      </c>
      <c r="T470" s="24" t="s">
        <v>115</v>
      </c>
      <c r="U470" s="24" t="s">
        <v>144</v>
      </c>
      <c r="V470" s="24">
        <v>9296075245</v>
      </c>
      <c r="W470" s="24" t="s">
        <v>2102</v>
      </c>
      <c r="X470" s="34">
        <v>12</v>
      </c>
      <c r="Y470" s="24" t="s">
        <v>2110</v>
      </c>
      <c r="Z470" s="30">
        <v>46142</v>
      </c>
      <c r="AA470" s="24" t="s">
        <v>2175</v>
      </c>
      <c r="AB470" s="136" t="str">
        <f t="shared" si="7"/>
        <v>Blacklisted</v>
      </c>
    </row>
    <row r="471" spans="1:28">
      <c r="A471" s="24" t="s">
        <v>1985</v>
      </c>
      <c r="B471" s="24" t="s">
        <v>327</v>
      </c>
      <c r="C471" s="24" t="s">
        <v>54</v>
      </c>
      <c r="D471" s="30">
        <v>45963</v>
      </c>
      <c r="E471" s="30" t="s">
        <v>864</v>
      </c>
      <c r="F471" s="24" t="s">
        <v>394</v>
      </c>
      <c r="G471" s="24" t="s">
        <v>76</v>
      </c>
      <c r="H471" s="30" t="s">
        <v>331</v>
      </c>
      <c r="I471" s="24" t="s">
        <v>114</v>
      </c>
      <c r="J471" s="24" t="s">
        <v>106</v>
      </c>
      <c r="K471" s="24" t="s">
        <v>2109</v>
      </c>
      <c r="L471" s="24" t="s">
        <v>46</v>
      </c>
      <c r="M471" s="24" t="s">
        <v>60</v>
      </c>
      <c r="N471" s="24">
        <v>18</v>
      </c>
      <c r="O471" s="36">
        <v>41250</v>
      </c>
      <c r="P471" s="35">
        <v>0</v>
      </c>
      <c r="Q471" s="36">
        <v>742500</v>
      </c>
      <c r="R471" s="34">
        <v>5</v>
      </c>
      <c r="S471" s="24" t="s">
        <v>2148</v>
      </c>
      <c r="T471" s="24" t="s">
        <v>49</v>
      </c>
      <c r="U471" s="24" t="s">
        <v>332</v>
      </c>
      <c r="V471" s="24">
        <v>9316770206</v>
      </c>
      <c r="W471" s="24" t="s">
        <v>2100</v>
      </c>
      <c r="X471" s="34">
        <v>12</v>
      </c>
      <c r="Y471" s="24" t="s">
        <v>2108</v>
      </c>
      <c r="Z471" s="30">
        <v>46330</v>
      </c>
      <c r="AA471" s="24" t="s">
        <v>2171</v>
      </c>
      <c r="AB471" s="136" t="str">
        <f t="shared" si="7"/>
        <v>Platinum</v>
      </c>
    </row>
    <row r="472" spans="1:28">
      <c r="A472" s="24" t="s">
        <v>1988</v>
      </c>
      <c r="B472" s="24" t="s">
        <v>23</v>
      </c>
      <c r="C472" s="24" t="s">
        <v>72</v>
      </c>
      <c r="D472" s="30">
        <v>45948</v>
      </c>
      <c r="E472" s="30" t="s">
        <v>1880</v>
      </c>
      <c r="F472" s="24" t="s">
        <v>27</v>
      </c>
      <c r="G472" s="24" t="s">
        <v>28</v>
      </c>
      <c r="H472" s="30" t="s">
        <v>29</v>
      </c>
      <c r="I472" s="24" t="s">
        <v>30</v>
      </c>
      <c r="J472" s="24" t="s">
        <v>31</v>
      </c>
      <c r="K472" s="24" t="s">
        <v>2111</v>
      </c>
      <c r="L472" s="24" t="s">
        <v>46</v>
      </c>
      <c r="M472" s="24" t="s">
        <v>78</v>
      </c>
      <c r="N472" s="24">
        <v>17</v>
      </c>
      <c r="O472" s="36">
        <v>900</v>
      </c>
      <c r="P472" s="35">
        <v>0.05</v>
      </c>
      <c r="Q472" s="36">
        <v>14535</v>
      </c>
      <c r="R472" s="34">
        <v>1</v>
      </c>
      <c r="S472" s="24" t="s">
        <v>2148</v>
      </c>
      <c r="T472" s="24" t="s">
        <v>35</v>
      </c>
      <c r="U472" s="24" t="s">
        <v>50</v>
      </c>
      <c r="V472" s="24">
        <v>9706553861</v>
      </c>
      <c r="W472" s="24" t="s">
        <v>2100</v>
      </c>
      <c r="X472" s="34">
        <v>6</v>
      </c>
      <c r="Y472" s="24" t="s">
        <v>2108</v>
      </c>
      <c r="Z472" s="30">
        <v>46134</v>
      </c>
      <c r="AA472" s="24" t="s">
        <v>2171</v>
      </c>
      <c r="AB472" s="136" t="str">
        <f t="shared" si="7"/>
        <v>Blacklisted</v>
      </c>
    </row>
    <row r="473" spans="1:28">
      <c r="A473" s="24" t="s">
        <v>1992</v>
      </c>
      <c r="B473" s="24" t="s">
        <v>53</v>
      </c>
      <c r="C473" s="24" t="s">
        <v>54</v>
      </c>
      <c r="D473" s="30">
        <v>45774</v>
      </c>
      <c r="E473" s="30" t="s">
        <v>199</v>
      </c>
      <c r="F473" s="24" t="s">
        <v>163</v>
      </c>
      <c r="G473" s="24" t="s">
        <v>28</v>
      </c>
      <c r="H473" s="30" t="s">
        <v>58</v>
      </c>
      <c r="I473" s="24" t="s">
        <v>59</v>
      </c>
      <c r="J473" s="24" t="s">
        <v>31</v>
      </c>
      <c r="K473" s="24" t="s">
        <v>2111</v>
      </c>
      <c r="L473" s="24" t="s">
        <v>46</v>
      </c>
      <c r="M473" s="24" t="s">
        <v>60</v>
      </c>
      <c r="N473" s="24">
        <v>11</v>
      </c>
      <c r="O473" s="36">
        <v>41250</v>
      </c>
      <c r="P473" s="35">
        <v>0</v>
      </c>
      <c r="Q473" s="36">
        <v>453750</v>
      </c>
      <c r="R473" s="34">
        <v>2</v>
      </c>
      <c r="S473" s="24" t="s">
        <v>34</v>
      </c>
      <c r="T473" s="24" t="s">
        <v>61</v>
      </c>
      <c r="U473" s="24" t="s">
        <v>62</v>
      </c>
      <c r="V473" s="24">
        <v>9524904662</v>
      </c>
      <c r="W473" s="24" t="s">
        <v>2100</v>
      </c>
      <c r="X473" s="34">
        <v>12</v>
      </c>
      <c r="Y473" s="24" t="s">
        <v>2108</v>
      </c>
      <c r="Z473" s="30">
        <v>46147</v>
      </c>
      <c r="AA473" s="24" t="s">
        <v>2172</v>
      </c>
      <c r="AB473" s="136" t="str">
        <f t="shared" si="7"/>
        <v>Blacklisted</v>
      </c>
    </row>
    <row r="474" spans="1:28">
      <c r="A474" s="24" t="s">
        <v>1995</v>
      </c>
      <c r="B474" s="24" t="s">
        <v>251</v>
      </c>
      <c r="C474" s="24" t="s">
        <v>184</v>
      </c>
      <c r="D474" s="30">
        <v>45799</v>
      </c>
      <c r="E474" s="30" t="s">
        <v>678</v>
      </c>
      <c r="F474" s="24" t="s">
        <v>254</v>
      </c>
      <c r="G474" s="24" t="s">
        <v>28</v>
      </c>
      <c r="H474" s="30" t="s">
        <v>255</v>
      </c>
      <c r="I474" s="24" t="s">
        <v>114</v>
      </c>
      <c r="J474" s="24" t="s">
        <v>106</v>
      </c>
      <c r="K474" s="24" t="s">
        <v>2111</v>
      </c>
      <c r="L474" s="24" t="s">
        <v>46</v>
      </c>
      <c r="M474" s="24" t="s">
        <v>189</v>
      </c>
      <c r="N474" s="24">
        <v>20</v>
      </c>
      <c r="O474" s="36">
        <v>525</v>
      </c>
      <c r="P474" s="35">
        <v>0.2</v>
      </c>
      <c r="Q474" s="36">
        <v>8400</v>
      </c>
      <c r="R474" s="34">
        <v>5</v>
      </c>
      <c r="S474" s="24" t="s">
        <v>2148</v>
      </c>
      <c r="T474" s="24" t="s">
        <v>61</v>
      </c>
      <c r="U474" s="24" t="s">
        <v>256</v>
      </c>
      <c r="V474" s="24">
        <v>9577624596</v>
      </c>
      <c r="W474" s="24" t="s">
        <v>2100</v>
      </c>
      <c r="X474" s="34">
        <v>24</v>
      </c>
      <c r="Y474" s="24" t="s">
        <v>2112</v>
      </c>
      <c r="Z474" s="30">
        <v>46538</v>
      </c>
      <c r="AA474" s="24" t="s">
        <v>2173</v>
      </c>
      <c r="AB474" s="136" t="str">
        <f t="shared" si="7"/>
        <v>Silver</v>
      </c>
    </row>
    <row r="475" spans="1:28">
      <c r="A475" s="24" t="s">
        <v>1998</v>
      </c>
      <c r="B475" s="24" t="s">
        <v>71</v>
      </c>
      <c r="C475" s="24" t="s">
        <v>222</v>
      </c>
      <c r="D475" s="30">
        <v>46050</v>
      </c>
      <c r="E475" s="30" t="s">
        <v>322</v>
      </c>
      <c r="F475" s="24" t="s">
        <v>217</v>
      </c>
      <c r="G475" s="24" t="s">
        <v>76</v>
      </c>
      <c r="H475" s="30" t="s">
        <v>77</v>
      </c>
      <c r="I475" s="24" t="s">
        <v>44</v>
      </c>
      <c r="J475" s="24" t="s">
        <v>45</v>
      </c>
      <c r="K475" s="24" t="s">
        <v>2114</v>
      </c>
      <c r="L475" s="24" t="s">
        <v>122</v>
      </c>
      <c r="M475" s="24" t="s">
        <v>227</v>
      </c>
      <c r="N475" s="24">
        <v>5</v>
      </c>
      <c r="O475" s="36">
        <v>15</v>
      </c>
      <c r="P475" s="35">
        <v>0.05</v>
      </c>
      <c r="Q475" s="36">
        <v>71.25</v>
      </c>
      <c r="R475" s="34">
        <v>4</v>
      </c>
      <c r="S475" s="24" t="s">
        <v>34</v>
      </c>
      <c r="T475" s="24" t="s">
        <v>49</v>
      </c>
      <c r="U475" s="24" t="s">
        <v>80</v>
      </c>
      <c r="V475" s="24">
        <v>9898452436</v>
      </c>
      <c r="W475" s="24" t="s">
        <v>2103</v>
      </c>
      <c r="X475" s="34">
        <v>12</v>
      </c>
      <c r="Y475" s="24" t="s">
        <v>2110</v>
      </c>
      <c r="Z475" s="30">
        <v>46426</v>
      </c>
      <c r="AA475" s="24" t="s">
        <v>2173</v>
      </c>
      <c r="AB475" s="136" t="str">
        <f t="shared" si="7"/>
        <v>Silver</v>
      </c>
    </row>
    <row r="476" spans="1:28">
      <c r="A476" s="24" t="s">
        <v>2001</v>
      </c>
      <c r="B476" s="24" t="s">
        <v>327</v>
      </c>
      <c r="C476" s="24" t="s">
        <v>54</v>
      </c>
      <c r="D476" s="30">
        <v>45692</v>
      </c>
      <c r="E476" s="30" t="s">
        <v>1373</v>
      </c>
      <c r="F476" s="24" t="s">
        <v>394</v>
      </c>
      <c r="G476" s="24" t="s">
        <v>76</v>
      </c>
      <c r="H476" s="30" t="s">
        <v>331</v>
      </c>
      <c r="I476" s="24" t="s">
        <v>114</v>
      </c>
      <c r="J476" s="24" t="s">
        <v>106</v>
      </c>
      <c r="K476" s="24" t="s">
        <v>2109</v>
      </c>
      <c r="L476" s="24" t="s">
        <v>46</v>
      </c>
      <c r="M476" s="24" t="s">
        <v>60</v>
      </c>
      <c r="N476" s="24">
        <v>13</v>
      </c>
      <c r="O476" s="36">
        <v>41250</v>
      </c>
      <c r="P476" s="35">
        <v>0.05</v>
      </c>
      <c r="Q476" s="36">
        <v>509437.5</v>
      </c>
      <c r="R476" s="34">
        <v>1</v>
      </c>
      <c r="S476" s="24" t="s">
        <v>2148</v>
      </c>
      <c r="T476" s="24" t="s">
        <v>49</v>
      </c>
      <c r="U476" s="24" t="s">
        <v>332</v>
      </c>
      <c r="V476" s="24">
        <v>9960757012</v>
      </c>
      <c r="W476" s="24" t="s">
        <v>2100</v>
      </c>
      <c r="X476" s="34">
        <v>12</v>
      </c>
      <c r="Y476" s="24" t="s">
        <v>2108</v>
      </c>
      <c r="Z476" s="30">
        <v>46064</v>
      </c>
      <c r="AA476" s="24" t="s">
        <v>2171</v>
      </c>
      <c r="AB476" s="136" t="str">
        <f t="shared" si="7"/>
        <v>Blacklisted</v>
      </c>
    </row>
    <row r="477" spans="1:28">
      <c r="A477" s="24" t="s">
        <v>2004</v>
      </c>
      <c r="B477" s="24" t="s">
        <v>127</v>
      </c>
      <c r="C477" s="24" t="s">
        <v>54</v>
      </c>
      <c r="D477" s="30">
        <v>45766</v>
      </c>
      <c r="E477" s="30" t="s">
        <v>1114</v>
      </c>
      <c r="F477" s="24" t="s">
        <v>200</v>
      </c>
      <c r="G477" s="24" t="s">
        <v>76</v>
      </c>
      <c r="H477" s="30" t="s">
        <v>131</v>
      </c>
      <c r="I477" s="24" t="s">
        <v>44</v>
      </c>
      <c r="J477" s="24" t="s">
        <v>45</v>
      </c>
      <c r="K477" s="24" t="s">
        <v>2113</v>
      </c>
      <c r="L477" s="24" t="s">
        <v>46</v>
      </c>
      <c r="M477" s="24" t="s">
        <v>60</v>
      </c>
      <c r="N477" s="24">
        <v>12</v>
      </c>
      <c r="O477" s="36">
        <v>41250</v>
      </c>
      <c r="P477" s="35">
        <v>0.05</v>
      </c>
      <c r="Q477" s="36">
        <v>470250</v>
      </c>
      <c r="R477" s="34">
        <v>1</v>
      </c>
      <c r="S477" s="24" t="s">
        <v>2148</v>
      </c>
      <c r="T477" s="24" t="s">
        <v>115</v>
      </c>
      <c r="U477" s="24" t="s">
        <v>132</v>
      </c>
      <c r="V477" s="24">
        <v>9331268182</v>
      </c>
      <c r="W477" s="24" t="s">
        <v>2100</v>
      </c>
      <c r="X477" s="34">
        <v>12</v>
      </c>
      <c r="Y477" s="24" t="s">
        <v>2112</v>
      </c>
      <c r="Z477" s="30">
        <v>46132</v>
      </c>
      <c r="AA477" s="24" t="s">
        <v>2176</v>
      </c>
      <c r="AB477" s="136" t="str">
        <f t="shared" si="7"/>
        <v>Blacklisted</v>
      </c>
    </row>
    <row r="478" spans="1:28">
      <c r="A478" s="24" t="s">
        <v>2007</v>
      </c>
      <c r="B478" s="24" t="s">
        <v>53</v>
      </c>
      <c r="C478" s="24" t="s">
        <v>259</v>
      </c>
      <c r="D478" s="30">
        <v>45678</v>
      </c>
      <c r="E478" s="30" t="s">
        <v>1705</v>
      </c>
      <c r="F478" s="24" t="s">
        <v>163</v>
      </c>
      <c r="G478" s="24" t="s">
        <v>28</v>
      </c>
      <c r="H478" s="30" t="s">
        <v>58</v>
      </c>
      <c r="I478" s="24" t="s">
        <v>59</v>
      </c>
      <c r="J478" s="24" t="s">
        <v>31</v>
      </c>
      <c r="K478" s="24" t="s">
        <v>2111</v>
      </c>
      <c r="L478" s="24" t="s">
        <v>122</v>
      </c>
      <c r="M478" s="24" t="s">
        <v>263</v>
      </c>
      <c r="N478" s="24">
        <v>16</v>
      </c>
      <c r="O478" s="36">
        <v>33.75</v>
      </c>
      <c r="P478" s="35">
        <v>0.2</v>
      </c>
      <c r="Q478" s="36">
        <v>432</v>
      </c>
      <c r="R478" s="34">
        <v>2</v>
      </c>
      <c r="S478" s="24" t="s">
        <v>34</v>
      </c>
      <c r="T478" s="24" t="s">
        <v>49</v>
      </c>
      <c r="U478" s="24" t="s">
        <v>62</v>
      </c>
      <c r="V478" s="24">
        <v>9135996862</v>
      </c>
      <c r="W478" s="24" t="s">
        <v>2100</v>
      </c>
      <c r="X478" s="34">
        <v>12</v>
      </c>
      <c r="Y478" s="24" t="s">
        <v>2108</v>
      </c>
      <c r="Z478" s="30">
        <v>46050</v>
      </c>
      <c r="AA478" s="24" t="s">
        <v>2172</v>
      </c>
      <c r="AB478" s="136" t="str">
        <f t="shared" si="7"/>
        <v>Blacklisted</v>
      </c>
    </row>
    <row r="479" spans="1:28">
      <c r="A479" s="24" t="s">
        <v>2010</v>
      </c>
      <c r="B479" s="24" t="s">
        <v>23</v>
      </c>
      <c r="C479" s="24" t="s">
        <v>72</v>
      </c>
      <c r="D479" s="30">
        <v>45918</v>
      </c>
      <c r="E479" s="30" t="s">
        <v>73</v>
      </c>
      <c r="F479" s="24" t="s">
        <v>27</v>
      </c>
      <c r="G479" s="24" t="s">
        <v>28</v>
      </c>
      <c r="H479" s="30" t="s">
        <v>29</v>
      </c>
      <c r="I479" s="24" t="s">
        <v>30</v>
      </c>
      <c r="J479" s="24" t="s">
        <v>31</v>
      </c>
      <c r="K479" s="24" t="s">
        <v>2111</v>
      </c>
      <c r="L479" s="24" t="s">
        <v>46</v>
      </c>
      <c r="M479" s="24" t="s">
        <v>78</v>
      </c>
      <c r="N479" s="24">
        <v>5</v>
      </c>
      <c r="O479" s="36">
        <v>900</v>
      </c>
      <c r="P479" s="35">
        <v>0.1</v>
      </c>
      <c r="Q479" s="36">
        <v>4050</v>
      </c>
      <c r="R479" s="34">
        <v>1</v>
      </c>
      <c r="S479" s="24" t="s">
        <v>34</v>
      </c>
      <c r="T479" s="24" t="s">
        <v>2145</v>
      </c>
      <c r="U479" s="24" t="s">
        <v>50</v>
      </c>
      <c r="V479" s="24">
        <v>9540813143</v>
      </c>
      <c r="W479" s="24" t="s">
        <v>2100</v>
      </c>
      <c r="X479" s="34">
        <v>6</v>
      </c>
      <c r="Y479" s="24" t="s">
        <v>2108</v>
      </c>
      <c r="Z479" s="30">
        <v>46108</v>
      </c>
      <c r="AA479" s="24" t="s">
        <v>2171</v>
      </c>
      <c r="AB479" s="136" t="str">
        <f t="shared" si="7"/>
        <v>Blacklisted</v>
      </c>
    </row>
    <row r="480" spans="1:28">
      <c r="A480" s="24" t="s">
        <v>2014</v>
      </c>
      <c r="B480" s="24" t="s">
        <v>168</v>
      </c>
      <c r="C480" s="24" t="s">
        <v>259</v>
      </c>
      <c r="D480" s="30">
        <v>45949</v>
      </c>
      <c r="E480" s="30" t="s">
        <v>702</v>
      </c>
      <c r="F480" s="24" t="s">
        <v>361</v>
      </c>
      <c r="G480" s="24" t="s">
        <v>28</v>
      </c>
      <c r="H480" s="30" t="s">
        <v>173</v>
      </c>
      <c r="I480" s="24" t="s">
        <v>114</v>
      </c>
      <c r="J480" s="24" t="s">
        <v>106</v>
      </c>
      <c r="K480" s="24" t="s">
        <v>2111</v>
      </c>
      <c r="L480" s="24" t="s">
        <v>122</v>
      </c>
      <c r="M480" s="24" t="s">
        <v>263</v>
      </c>
      <c r="N480" s="24">
        <v>2</v>
      </c>
      <c r="O480" s="36">
        <v>33.75</v>
      </c>
      <c r="P480" s="35">
        <v>0.1</v>
      </c>
      <c r="Q480" s="36">
        <v>60.75</v>
      </c>
      <c r="R480" s="34">
        <v>4</v>
      </c>
      <c r="S480" s="24" t="s">
        <v>2149</v>
      </c>
      <c r="T480" s="24" t="s">
        <v>49</v>
      </c>
      <c r="U480" s="24" t="s">
        <v>175</v>
      </c>
      <c r="V480" s="24">
        <v>9910913552</v>
      </c>
      <c r="W480" s="24" t="s">
        <v>2100</v>
      </c>
      <c r="X480" s="34">
        <v>12</v>
      </c>
      <c r="Y480" s="24" t="s">
        <v>2112</v>
      </c>
      <c r="Z480" s="30">
        <v>46315</v>
      </c>
      <c r="AA480" s="24" t="s">
        <v>2177</v>
      </c>
      <c r="AB480" s="136" t="str">
        <f t="shared" si="7"/>
        <v>Silver</v>
      </c>
    </row>
    <row r="481" spans="1:28">
      <c r="A481" s="24" t="s">
        <v>2018</v>
      </c>
      <c r="B481" s="24" t="s">
        <v>127</v>
      </c>
      <c r="C481" s="24" t="s">
        <v>40</v>
      </c>
      <c r="D481" s="30">
        <v>46034</v>
      </c>
      <c r="E481" s="30" t="s">
        <v>587</v>
      </c>
      <c r="F481" s="24" t="s">
        <v>200</v>
      </c>
      <c r="G481" s="24" t="s">
        <v>76</v>
      </c>
      <c r="H481" s="30" t="s">
        <v>131</v>
      </c>
      <c r="I481" s="24" t="s">
        <v>44</v>
      </c>
      <c r="J481" s="24" t="s">
        <v>45</v>
      </c>
      <c r="K481" s="24" t="s">
        <v>2113</v>
      </c>
      <c r="L481" s="24" t="s">
        <v>46</v>
      </c>
      <c r="M481" s="24" t="s">
        <v>47</v>
      </c>
      <c r="N481" s="24">
        <v>3</v>
      </c>
      <c r="O481" s="36">
        <v>9000</v>
      </c>
      <c r="P481" s="35">
        <v>0</v>
      </c>
      <c r="Q481" s="36">
        <v>27000</v>
      </c>
      <c r="R481" s="34">
        <v>2</v>
      </c>
      <c r="S481" s="24" t="s">
        <v>2149</v>
      </c>
      <c r="T481" s="24" t="s">
        <v>151</v>
      </c>
      <c r="U481" s="24" t="s">
        <v>132</v>
      </c>
      <c r="V481" s="24">
        <v>9282751683</v>
      </c>
      <c r="W481" s="24" t="s">
        <v>2101</v>
      </c>
      <c r="X481" s="34">
        <v>24</v>
      </c>
      <c r="Y481" s="24" t="s">
        <v>2112</v>
      </c>
      <c r="Z481" s="30">
        <v>46770</v>
      </c>
      <c r="AA481" s="24" t="s">
        <v>2176</v>
      </c>
      <c r="AB481" s="136" t="str">
        <f t="shared" si="7"/>
        <v>Blacklisted</v>
      </c>
    </row>
    <row r="482" spans="1:28">
      <c r="A482" s="24" t="s">
        <v>2021</v>
      </c>
      <c r="B482" s="24" t="s">
        <v>23</v>
      </c>
      <c r="C482" s="24" t="s">
        <v>40</v>
      </c>
      <c r="D482" s="30">
        <v>45683</v>
      </c>
      <c r="E482" s="30" t="s">
        <v>1863</v>
      </c>
      <c r="F482" s="24" t="s">
        <v>27</v>
      </c>
      <c r="G482" s="24" t="s">
        <v>28</v>
      </c>
      <c r="H482" s="30" t="s">
        <v>29</v>
      </c>
      <c r="I482" s="24" t="s">
        <v>30</v>
      </c>
      <c r="J482" s="24" t="s">
        <v>31</v>
      </c>
      <c r="K482" s="24" t="s">
        <v>2111</v>
      </c>
      <c r="L482" s="24" t="s">
        <v>46</v>
      </c>
      <c r="M482" s="24" t="s">
        <v>47</v>
      </c>
      <c r="N482" s="24">
        <v>3</v>
      </c>
      <c r="O482" s="36">
        <v>9000</v>
      </c>
      <c r="P482" s="35">
        <v>0.2</v>
      </c>
      <c r="Q482" s="36">
        <v>21600</v>
      </c>
      <c r="R482" s="34">
        <v>3</v>
      </c>
      <c r="S482" s="24" t="s">
        <v>2149</v>
      </c>
      <c r="T482" s="24" t="s">
        <v>115</v>
      </c>
      <c r="U482" s="24" t="s">
        <v>50</v>
      </c>
      <c r="V482" s="24">
        <v>9939332058</v>
      </c>
      <c r="W482" s="24" t="s">
        <v>2101</v>
      </c>
      <c r="X482" s="34">
        <v>24</v>
      </c>
      <c r="Y482" s="24" t="s">
        <v>2108</v>
      </c>
      <c r="Z482" s="30">
        <v>46419</v>
      </c>
      <c r="AA482" s="24" t="s">
        <v>2171</v>
      </c>
      <c r="AB482" s="136" t="str">
        <f t="shared" si="7"/>
        <v>Silver</v>
      </c>
    </row>
    <row r="483" spans="1:28">
      <c r="A483" s="24" t="s">
        <v>2025</v>
      </c>
      <c r="B483" s="24" t="s">
        <v>127</v>
      </c>
      <c r="C483" s="24" t="s">
        <v>169</v>
      </c>
      <c r="D483" s="30">
        <v>46119</v>
      </c>
      <c r="E483" s="30" t="s">
        <v>161</v>
      </c>
      <c r="F483" s="24" t="s">
        <v>200</v>
      </c>
      <c r="G483" s="24" t="s">
        <v>76</v>
      </c>
      <c r="H483" s="30" t="s">
        <v>131</v>
      </c>
      <c r="I483" s="24" t="s">
        <v>44</v>
      </c>
      <c r="J483" s="24" t="s">
        <v>45</v>
      </c>
      <c r="K483" s="24" t="s">
        <v>2113</v>
      </c>
      <c r="L483" s="24" t="s">
        <v>32</v>
      </c>
      <c r="M483" s="24" t="s">
        <v>174</v>
      </c>
      <c r="N483" s="24">
        <v>9</v>
      </c>
      <c r="O483" s="36">
        <v>6375</v>
      </c>
      <c r="P483" s="35">
        <v>0.15</v>
      </c>
      <c r="Q483" s="36">
        <v>48768.75</v>
      </c>
      <c r="R483" s="34">
        <v>5</v>
      </c>
      <c r="S483" s="24" t="s">
        <v>34</v>
      </c>
      <c r="T483" s="24" t="s">
        <v>49</v>
      </c>
      <c r="U483" s="24" t="s">
        <v>132</v>
      </c>
      <c r="V483" s="24">
        <v>9780626473</v>
      </c>
      <c r="W483" s="24" t="s">
        <v>2100</v>
      </c>
      <c r="X483" s="34">
        <v>24</v>
      </c>
      <c r="Y483" s="24" t="s">
        <v>2112</v>
      </c>
      <c r="Z483" s="30">
        <v>46851</v>
      </c>
      <c r="AA483" s="24" t="s">
        <v>2176</v>
      </c>
      <c r="AB483" s="136" t="str">
        <f t="shared" si="7"/>
        <v>Silver</v>
      </c>
    </row>
    <row r="484" spans="1:28">
      <c r="A484" s="24" t="s">
        <v>2028</v>
      </c>
      <c r="B484" s="24" t="s">
        <v>71</v>
      </c>
      <c r="C484" s="24" t="s">
        <v>184</v>
      </c>
      <c r="D484" s="30">
        <v>45834</v>
      </c>
      <c r="E484" s="30" t="s">
        <v>881</v>
      </c>
      <c r="F484" s="24" t="s">
        <v>217</v>
      </c>
      <c r="G484" s="24" t="s">
        <v>76</v>
      </c>
      <c r="H484" s="30" t="s">
        <v>77</v>
      </c>
      <c r="I484" s="24" t="s">
        <v>44</v>
      </c>
      <c r="J484" s="24" t="s">
        <v>45</v>
      </c>
      <c r="K484" s="24" t="s">
        <v>2114</v>
      </c>
      <c r="L484" s="24" t="s">
        <v>46</v>
      </c>
      <c r="M484" s="24" t="s">
        <v>189</v>
      </c>
      <c r="N484" s="24">
        <v>17</v>
      </c>
      <c r="O484" s="36">
        <v>525</v>
      </c>
      <c r="P484" s="35">
        <v>0</v>
      </c>
      <c r="Q484" s="36">
        <v>8925</v>
      </c>
      <c r="R484" s="34">
        <v>2</v>
      </c>
      <c r="S484" s="24" t="s">
        <v>34</v>
      </c>
      <c r="T484" s="24" t="s">
        <v>61</v>
      </c>
      <c r="U484" s="24" t="s">
        <v>80</v>
      </c>
      <c r="V484" s="24">
        <v>9347298020</v>
      </c>
      <c r="W484" s="24" t="s">
        <v>2100</v>
      </c>
      <c r="X484" s="34">
        <v>24</v>
      </c>
      <c r="Y484" s="24" t="s">
        <v>2110</v>
      </c>
      <c r="Z484" s="30">
        <v>46574</v>
      </c>
      <c r="AA484" s="24" t="s">
        <v>2173</v>
      </c>
      <c r="AB484" s="136" t="str">
        <f t="shared" si="7"/>
        <v>Blacklisted</v>
      </c>
    </row>
    <row r="485" spans="1:28">
      <c r="A485" s="24" t="s">
        <v>2032</v>
      </c>
      <c r="B485" s="24" t="s">
        <v>23</v>
      </c>
      <c r="C485" s="24" t="s">
        <v>184</v>
      </c>
      <c r="D485" s="30">
        <v>45846</v>
      </c>
      <c r="E485" s="30" t="s">
        <v>1572</v>
      </c>
      <c r="F485" s="24" t="s">
        <v>27</v>
      </c>
      <c r="G485" s="24" t="s">
        <v>28</v>
      </c>
      <c r="H485" s="30" t="s">
        <v>29</v>
      </c>
      <c r="I485" s="24" t="s">
        <v>30</v>
      </c>
      <c r="J485" s="24" t="s">
        <v>31</v>
      </c>
      <c r="K485" s="24" t="s">
        <v>2111</v>
      </c>
      <c r="L485" s="24" t="s">
        <v>46</v>
      </c>
      <c r="M485" s="24" t="s">
        <v>189</v>
      </c>
      <c r="N485" s="24">
        <v>20</v>
      </c>
      <c r="O485" s="36">
        <v>525</v>
      </c>
      <c r="P485" s="35">
        <v>0.05</v>
      </c>
      <c r="Q485" s="36">
        <v>9975</v>
      </c>
      <c r="R485" s="34">
        <v>2</v>
      </c>
      <c r="S485" s="24" t="s">
        <v>2149</v>
      </c>
      <c r="T485" s="24" t="s">
        <v>35</v>
      </c>
      <c r="U485" s="24" t="s">
        <v>50</v>
      </c>
      <c r="V485" s="24">
        <v>9345328522</v>
      </c>
      <c r="W485" s="24" t="s">
        <v>2100</v>
      </c>
      <c r="X485" s="34">
        <v>24</v>
      </c>
      <c r="Y485" s="24" t="s">
        <v>2108</v>
      </c>
      <c r="Z485" s="30">
        <v>46586</v>
      </c>
      <c r="AA485" s="24" t="s">
        <v>2171</v>
      </c>
      <c r="AB485" s="136" t="str">
        <f t="shared" si="7"/>
        <v>Blacklisted</v>
      </c>
    </row>
    <row r="486" spans="1:28">
      <c r="A486" s="24" t="s">
        <v>2035</v>
      </c>
      <c r="B486" s="24" t="s">
        <v>327</v>
      </c>
      <c r="C486" s="24" t="s">
        <v>72</v>
      </c>
      <c r="D486" s="30">
        <v>46092</v>
      </c>
      <c r="E486" s="30" t="s">
        <v>65</v>
      </c>
      <c r="F486" s="24" t="s">
        <v>394</v>
      </c>
      <c r="G486" s="24" t="s">
        <v>76</v>
      </c>
      <c r="H486" s="30" t="s">
        <v>331</v>
      </c>
      <c r="I486" s="24" t="s">
        <v>114</v>
      </c>
      <c r="J486" s="24" t="s">
        <v>106</v>
      </c>
      <c r="K486" s="24" t="s">
        <v>2109</v>
      </c>
      <c r="L486" s="24" t="s">
        <v>46</v>
      </c>
      <c r="M486" s="24" t="s">
        <v>78</v>
      </c>
      <c r="N486" s="24">
        <v>13</v>
      </c>
      <c r="O486" s="36">
        <v>900</v>
      </c>
      <c r="P486" s="35">
        <v>0.2</v>
      </c>
      <c r="Q486" s="36">
        <v>9360</v>
      </c>
      <c r="R486" s="34">
        <v>5</v>
      </c>
      <c r="S486" s="24" t="s">
        <v>79</v>
      </c>
      <c r="T486" s="24" t="s">
        <v>115</v>
      </c>
      <c r="U486" s="24" t="s">
        <v>332</v>
      </c>
      <c r="V486" s="24">
        <v>9160310438</v>
      </c>
      <c r="W486" s="24" t="s">
        <v>2100</v>
      </c>
      <c r="X486" s="34">
        <v>6</v>
      </c>
      <c r="Y486" s="24" t="s">
        <v>2108</v>
      </c>
      <c r="Z486" s="30">
        <v>46286</v>
      </c>
      <c r="AA486" s="24" t="s">
        <v>2171</v>
      </c>
      <c r="AB486" s="136" t="str">
        <f t="shared" si="7"/>
        <v>Silver</v>
      </c>
    </row>
    <row r="487" spans="1:28">
      <c r="A487" s="24" t="s">
        <v>2039</v>
      </c>
      <c r="B487" s="24" t="s">
        <v>100</v>
      </c>
      <c r="C487" s="24" t="s">
        <v>54</v>
      </c>
      <c r="D487" s="30">
        <v>46104</v>
      </c>
      <c r="E487" s="30" t="s">
        <v>1932</v>
      </c>
      <c r="F487" s="24" t="s">
        <v>103</v>
      </c>
      <c r="G487" s="24" t="s">
        <v>28</v>
      </c>
      <c r="H487" s="30" t="s">
        <v>104</v>
      </c>
      <c r="I487" s="24" t="s">
        <v>105</v>
      </c>
      <c r="J487" s="24" t="s">
        <v>106</v>
      </c>
      <c r="K487" s="24" t="s">
        <v>2111</v>
      </c>
      <c r="L487" s="24" t="s">
        <v>46</v>
      </c>
      <c r="M487" s="24" t="s">
        <v>60</v>
      </c>
      <c r="N487" s="24">
        <v>20</v>
      </c>
      <c r="O487" s="36">
        <v>41250</v>
      </c>
      <c r="P487" s="35">
        <v>0.1</v>
      </c>
      <c r="Q487" s="36">
        <v>742500</v>
      </c>
      <c r="R487" s="34">
        <v>1</v>
      </c>
      <c r="S487" s="24" t="s">
        <v>2149</v>
      </c>
      <c r="T487" s="24" t="s">
        <v>35</v>
      </c>
      <c r="U487" s="24" t="s">
        <v>144</v>
      </c>
      <c r="V487" s="24">
        <v>9343776153</v>
      </c>
      <c r="W487" s="24" t="s">
        <v>2100</v>
      </c>
      <c r="X487" s="34">
        <v>12</v>
      </c>
      <c r="Y487" s="24" t="s">
        <v>2110</v>
      </c>
      <c r="Z487" s="30">
        <v>46475</v>
      </c>
      <c r="AA487" s="24" t="s">
        <v>2175</v>
      </c>
      <c r="AB487" s="136" t="str">
        <f t="shared" si="7"/>
        <v>Blacklisted</v>
      </c>
    </row>
    <row r="488" spans="1:28">
      <c r="A488" s="24" t="s">
        <v>2042</v>
      </c>
      <c r="B488" s="24" t="s">
        <v>251</v>
      </c>
      <c r="C488" s="24" t="s">
        <v>72</v>
      </c>
      <c r="D488" s="30">
        <v>45961</v>
      </c>
      <c r="E488" s="30" t="s">
        <v>291</v>
      </c>
      <c r="F488" s="24" t="s">
        <v>254</v>
      </c>
      <c r="G488" s="24" t="s">
        <v>28</v>
      </c>
      <c r="H488" s="30" t="s">
        <v>255</v>
      </c>
      <c r="I488" s="24" t="s">
        <v>114</v>
      </c>
      <c r="J488" s="24" t="s">
        <v>106</v>
      </c>
      <c r="K488" s="24" t="s">
        <v>2111</v>
      </c>
      <c r="L488" s="24" t="s">
        <v>46</v>
      </c>
      <c r="M488" s="24" t="s">
        <v>78</v>
      </c>
      <c r="N488" s="24">
        <v>8</v>
      </c>
      <c r="O488" s="36">
        <v>900</v>
      </c>
      <c r="P488" s="35">
        <v>0</v>
      </c>
      <c r="Q488" s="36">
        <v>7200</v>
      </c>
      <c r="R488" s="34">
        <v>2</v>
      </c>
      <c r="S488" s="24" t="s">
        <v>2148</v>
      </c>
      <c r="T488" s="24" t="s">
        <v>151</v>
      </c>
      <c r="U488" s="24" t="s">
        <v>256</v>
      </c>
      <c r="V488" s="24">
        <v>9458599727</v>
      </c>
      <c r="W488" s="24" t="s">
        <v>2100</v>
      </c>
      <c r="X488" s="34">
        <v>6</v>
      </c>
      <c r="Y488" s="24" t="s">
        <v>2112</v>
      </c>
      <c r="Z488" s="30">
        <v>46147</v>
      </c>
      <c r="AA488" s="24" t="s">
        <v>2173</v>
      </c>
      <c r="AB488" s="136" t="str">
        <f t="shared" si="7"/>
        <v>Blacklisted</v>
      </c>
    </row>
    <row r="489" spans="1:28">
      <c r="A489" s="24" t="s">
        <v>2045</v>
      </c>
      <c r="B489" s="24" t="s">
        <v>53</v>
      </c>
      <c r="C489" s="24" t="s">
        <v>222</v>
      </c>
      <c r="D489" s="30">
        <v>46147</v>
      </c>
      <c r="E489" s="30" t="s">
        <v>1238</v>
      </c>
      <c r="F489" s="24" t="s">
        <v>163</v>
      </c>
      <c r="G489" s="24" t="s">
        <v>28</v>
      </c>
      <c r="H489" s="30" t="s">
        <v>58</v>
      </c>
      <c r="I489" s="24" t="s">
        <v>59</v>
      </c>
      <c r="J489" s="24" t="s">
        <v>31</v>
      </c>
      <c r="K489" s="24" t="s">
        <v>2111</v>
      </c>
      <c r="L489" s="24" t="s">
        <v>122</v>
      </c>
      <c r="M489" s="24" t="s">
        <v>227</v>
      </c>
      <c r="N489" s="24">
        <v>18</v>
      </c>
      <c r="O489" s="36">
        <v>15</v>
      </c>
      <c r="P489" s="35">
        <v>0.1</v>
      </c>
      <c r="Q489" s="36">
        <v>243</v>
      </c>
      <c r="R489" s="34">
        <v>5</v>
      </c>
      <c r="S489" s="24" t="s">
        <v>79</v>
      </c>
      <c r="T489" s="24" t="s">
        <v>2145</v>
      </c>
      <c r="U489" s="24" t="s">
        <v>62</v>
      </c>
      <c r="V489" s="24">
        <v>9218660140</v>
      </c>
      <c r="W489" s="24" t="s">
        <v>2103</v>
      </c>
      <c r="X489" s="34">
        <v>12</v>
      </c>
      <c r="Y489" s="24" t="s">
        <v>2108</v>
      </c>
      <c r="Z489" s="30">
        <v>46516</v>
      </c>
      <c r="AA489" s="24" t="s">
        <v>2172</v>
      </c>
      <c r="AB489" s="136" t="str">
        <f t="shared" si="7"/>
        <v>Silver</v>
      </c>
    </row>
    <row r="490" spans="1:28">
      <c r="A490" s="24" t="s">
        <v>2050</v>
      </c>
      <c r="B490" s="24" t="s">
        <v>168</v>
      </c>
      <c r="C490" s="24" t="s">
        <v>40</v>
      </c>
      <c r="D490" s="30">
        <v>45711</v>
      </c>
      <c r="E490" s="30" t="s">
        <v>272</v>
      </c>
      <c r="F490" s="24" t="s">
        <v>361</v>
      </c>
      <c r="G490" s="24" t="s">
        <v>28</v>
      </c>
      <c r="H490" s="30" t="s">
        <v>173</v>
      </c>
      <c r="I490" s="24" t="s">
        <v>114</v>
      </c>
      <c r="J490" s="24" t="s">
        <v>106</v>
      </c>
      <c r="K490" s="24" t="s">
        <v>2111</v>
      </c>
      <c r="L490" s="24" t="s">
        <v>46</v>
      </c>
      <c r="M490" s="24" t="s">
        <v>47</v>
      </c>
      <c r="N490" s="24">
        <v>11</v>
      </c>
      <c r="O490" s="36">
        <v>9000</v>
      </c>
      <c r="P490" s="35">
        <v>0.1</v>
      </c>
      <c r="Q490" s="36">
        <v>89100</v>
      </c>
      <c r="R490" s="34">
        <v>1</v>
      </c>
      <c r="S490" s="24" t="s">
        <v>79</v>
      </c>
      <c r="T490" s="24" t="s">
        <v>49</v>
      </c>
      <c r="U490" s="24" t="s">
        <v>175</v>
      </c>
      <c r="V490" s="24">
        <v>9341979199</v>
      </c>
      <c r="W490" s="24" t="s">
        <v>2101</v>
      </c>
      <c r="X490" s="34">
        <v>24</v>
      </c>
      <c r="Y490" s="24" t="s">
        <v>2112</v>
      </c>
      <c r="Z490" s="30">
        <v>46453</v>
      </c>
      <c r="AA490" s="24" t="s">
        <v>2177</v>
      </c>
      <c r="AB490" s="136" t="str">
        <f t="shared" si="7"/>
        <v>Blacklisted</v>
      </c>
    </row>
    <row r="491" spans="1:28">
      <c r="A491" s="24" t="s">
        <v>2054</v>
      </c>
      <c r="B491" s="24" t="s">
        <v>327</v>
      </c>
      <c r="C491" s="24" t="s">
        <v>169</v>
      </c>
      <c r="D491" s="30">
        <v>45672</v>
      </c>
      <c r="E491" s="30" t="s">
        <v>1378</v>
      </c>
      <c r="F491" s="24" t="s">
        <v>394</v>
      </c>
      <c r="G491" s="24" t="s">
        <v>76</v>
      </c>
      <c r="H491" s="30" t="s">
        <v>331</v>
      </c>
      <c r="I491" s="24" t="s">
        <v>114</v>
      </c>
      <c r="J491" s="24" t="s">
        <v>106</v>
      </c>
      <c r="K491" s="24" t="s">
        <v>2109</v>
      </c>
      <c r="L491" s="24" t="s">
        <v>32</v>
      </c>
      <c r="M491" s="24" t="s">
        <v>174</v>
      </c>
      <c r="N491" s="24">
        <v>2</v>
      </c>
      <c r="O491" s="36">
        <v>6375</v>
      </c>
      <c r="P491" s="35">
        <v>0.05</v>
      </c>
      <c r="Q491" s="36">
        <v>12112.5</v>
      </c>
      <c r="R491" s="34">
        <v>1</v>
      </c>
      <c r="S491" s="24" t="s">
        <v>79</v>
      </c>
      <c r="T491" s="24" t="s">
        <v>61</v>
      </c>
      <c r="U491" s="24" t="s">
        <v>332</v>
      </c>
      <c r="V491" s="24">
        <v>9823080381</v>
      </c>
      <c r="W491" s="24" t="s">
        <v>2100</v>
      </c>
      <c r="X491" s="34">
        <v>24</v>
      </c>
      <c r="Y491" s="24" t="s">
        <v>2108</v>
      </c>
      <c r="Z491" s="30">
        <v>46404</v>
      </c>
      <c r="AA491" s="24" t="s">
        <v>2171</v>
      </c>
      <c r="AB491" s="136" t="str">
        <f t="shared" si="7"/>
        <v>Blacklisted</v>
      </c>
    </row>
    <row r="492" spans="1:28">
      <c r="A492" s="24" t="s">
        <v>2057</v>
      </c>
      <c r="B492" s="24" t="s">
        <v>100</v>
      </c>
      <c r="C492" s="24" t="s">
        <v>24</v>
      </c>
      <c r="D492" s="30">
        <v>45746</v>
      </c>
      <c r="E492" s="30" t="s">
        <v>1507</v>
      </c>
      <c r="F492" s="24" t="s">
        <v>103</v>
      </c>
      <c r="G492" s="24" t="s">
        <v>28</v>
      </c>
      <c r="H492" s="30" t="s">
        <v>104</v>
      </c>
      <c r="I492" s="24" t="s">
        <v>105</v>
      </c>
      <c r="J492" s="24" t="s">
        <v>106</v>
      </c>
      <c r="K492" s="24" t="s">
        <v>2111</v>
      </c>
      <c r="L492" s="24" t="s">
        <v>32</v>
      </c>
      <c r="M492" s="24" t="s">
        <v>33</v>
      </c>
      <c r="N492" s="24">
        <v>7</v>
      </c>
      <c r="O492" s="36">
        <v>1650</v>
      </c>
      <c r="P492" s="35">
        <v>0</v>
      </c>
      <c r="Q492" s="36">
        <v>11550</v>
      </c>
      <c r="R492" s="34">
        <v>5</v>
      </c>
      <c r="S492" s="24" t="s">
        <v>2148</v>
      </c>
      <c r="T492" s="24" t="s">
        <v>35</v>
      </c>
      <c r="U492" s="24" t="s">
        <v>144</v>
      </c>
      <c r="V492" s="24">
        <v>9981183477</v>
      </c>
      <c r="W492" s="24" t="s">
        <v>2101</v>
      </c>
      <c r="X492" s="34">
        <v>24</v>
      </c>
      <c r="Y492" s="24" t="s">
        <v>2110</v>
      </c>
      <c r="Z492" s="30">
        <v>46485</v>
      </c>
      <c r="AA492" s="24" t="s">
        <v>2175</v>
      </c>
      <c r="AB492" s="136" t="str">
        <f t="shared" si="7"/>
        <v>Silver</v>
      </c>
    </row>
    <row r="493" spans="1:28">
      <c r="A493" s="24" t="s">
        <v>2061</v>
      </c>
      <c r="B493" s="24" t="s">
        <v>83</v>
      </c>
      <c r="C493" s="24" t="s">
        <v>169</v>
      </c>
      <c r="D493" s="30">
        <v>46136</v>
      </c>
      <c r="E493" s="30" t="s">
        <v>1098</v>
      </c>
      <c r="F493" s="24" t="s">
        <v>180</v>
      </c>
      <c r="G493" s="24" t="s">
        <v>76</v>
      </c>
      <c r="H493" s="30" t="s">
        <v>87</v>
      </c>
      <c r="I493" s="24" t="s">
        <v>30</v>
      </c>
      <c r="J493" s="24" t="s">
        <v>31</v>
      </c>
      <c r="K493" s="24" t="s">
        <v>2109</v>
      </c>
      <c r="L493" s="24" t="s">
        <v>32</v>
      </c>
      <c r="M493" s="24" t="s">
        <v>174</v>
      </c>
      <c r="N493" s="24">
        <v>20</v>
      </c>
      <c r="O493" s="36">
        <v>6375</v>
      </c>
      <c r="P493" s="35">
        <v>0</v>
      </c>
      <c r="Q493" s="36">
        <v>127500</v>
      </c>
      <c r="R493" s="34">
        <v>3</v>
      </c>
      <c r="S493" s="24" t="s">
        <v>2148</v>
      </c>
      <c r="T493" s="24" t="s">
        <v>49</v>
      </c>
      <c r="U493" s="24" t="s">
        <v>89</v>
      </c>
      <c r="V493" s="24">
        <v>9281596011</v>
      </c>
      <c r="W493" s="24" t="s">
        <v>2100</v>
      </c>
      <c r="X493" s="34">
        <v>24</v>
      </c>
      <c r="Y493" s="24" t="s">
        <v>2108</v>
      </c>
      <c r="Z493" s="30">
        <v>46875</v>
      </c>
      <c r="AA493" s="24" t="s">
        <v>2174</v>
      </c>
      <c r="AB493" s="136" t="str">
        <f t="shared" si="7"/>
        <v>Gold</v>
      </c>
    </row>
    <row r="494" spans="1:28">
      <c r="A494" s="24" t="s">
        <v>2064</v>
      </c>
      <c r="B494" s="24" t="s">
        <v>127</v>
      </c>
      <c r="C494" s="24" t="s">
        <v>72</v>
      </c>
      <c r="D494" s="30">
        <v>45858</v>
      </c>
      <c r="E494" s="30" t="s">
        <v>839</v>
      </c>
      <c r="F494" s="24" t="s">
        <v>200</v>
      </c>
      <c r="G494" s="24" t="s">
        <v>76</v>
      </c>
      <c r="H494" s="30" t="s">
        <v>131</v>
      </c>
      <c r="I494" s="24" t="s">
        <v>44</v>
      </c>
      <c r="J494" s="24" t="s">
        <v>45</v>
      </c>
      <c r="K494" s="24" t="s">
        <v>2113</v>
      </c>
      <c r="L494" s="24" t="s">
        <v>46</v>
      </c>
      <c r="M494" s="24" t="s">
        <v>78</v>
      </c>
      <c r="N494" s="24">
        <v>11</v>
      </c>
      <c r="O494" s="36">
        <v>900</v>
      </c>
      <c r="P494" s="35">
        <v>0.05</v>
      </c>
      <c r="Q494" s="36">
        <v>9405</v>
      </c>
      <c r="R494" s="34">
        <v>2</v>
      </c>
      <c r="S494" s="24" t="s">
        <v>34</v>
      </c>
      <c r="T494" s="24" t="s">
        <v>35</v>
      </c>
      <c r="U494" s="24" t="s">
        <v>132</v>
      </c>
      <c r="V494" s="24">
        <v>9211734022</v>
      </c>
      <c r="W494" s="24" t="s">
        <v>2100</v>
      </c>
      <c r="X494" s="34">
        <v>6</v>
      </c>
      <c r="Y494" s="24" t="s">
        <v>2112</v>
      </c>
      <c r="Z494" s="30">
        <v>46051</v>
      </c>
      <c r="AA494" s="24" t="s">
        <v>2176</v>
      </c>
      <c r="AB494" s="136" t="str">
        <f t="shared" si="7"/>
        <v>Blacklisted</v>
      </c>
    </row>
    <row r="495" spans="1:28">
      <c r="A495" s="24" t="s">
        <v>2068</v>
      </c>
      <c r="B495" s="24" t="s">
        <v>83</v>
      </c>
      <c r="C495" s="24" t="s">
        <v>184</v>
      </c>
      <c r="D495" s="30">
        <v>45867</v>
      </c>
      <c r="E495" s="30" t="s">
        <v>756</v>
      </c>
      <c r="F495" s="24" t="s">
        <v>180</v>
      </c>
      <c r="G495" s="24" t="s">
        <v>76</v>
      </c>
      <c r="H495" s="30" t="s">
        <v>87</v>
      </c>
      <c r="I495" s="24" t="s">
        <v>30</v>
      </c>
      <c r="J495" s="24" t="s">
        <v>31</v>
      </c>
      <c r="K495" s="24" t="s">
        <v>2109</v>
      </c>
      <c r="L495" s="24" t="s">
        <v>46</v>
      </c>
      <c r="M495" s="24" t="s">
        <v>189</v>
      </c>
      <c r="N495" s="24">
        <v>14</v>
      </c>
      <c r="O495" s="36">
        <v>525</v>
      </c>
      <c r="P495" s="35">
        <v>0</v>
      </c>
      <c r="Q495" s="36">
        <v>7350</v>
      </c>
      <c r="R495" s="34">
        <v>2</v>
      </c>
      <c r="S495" s="24" t="s">
        <v>79</v>
      </c>
      <c r="T495" s="24" t="s">
        <v>151</v>
      </c>
      <c r="U495" s="24" t="s">
        <v>89</v>
      </c>
      <c r="V495" s="24">
        <v>9447151666</v>
      </c>
      <c r="W495" s="24" t="s">
        <v>2100</v>
      </c>
      <c r="X495" s="34">
        <v>24</v>
      </c>
      <c r="Y495" s="24" t="s">
        <v>2108</v>
      </c>
      <c r="Z495" s="30">
        <v>46600</v>
      </c>
      <c r="AA495" s="24" t="s">
        <v>2174</v>
      </c>
      <c r="AB495" s="136" t="str">
        <f t="shared" si="7"/>
        <v>Blacklisted</v>
      </c>
    </row>
    <row r="496" spans="1:28">
      <c r="A496" s="24" t="s">
        <v>2071</v>
      </c>
      <c r="B496" s="24" t="s">
        <v>71</v>
      </c>
      <c r="C496" s="24" t="s">
        <v>72</v>
      </c>
      <c r="D496" s="30">
        <v>45951</v>
      </c>
      <c r="E496" s="30" t="s">
        <v>1650</v>
      </c>
      <c r="F496" s="24" t="s">
        <v>217</v>
      </c>
      <c r="G496" s="24" t="s">
        <v>76</v>
      </c>
      <c r="H496" s="30" t="s">
        <v>77</v>
      </c>
      <c r="I496" s="24" t="s">
        <v>44</v>
      </c>
      <c r="J496" s="24" t="s">
        <v>45</v>
      </c>
      <c r="K496" s="24" t="s">
        <v>2114</v>
      </c>
      <c r="L496" s="24" t="s">
        <v>46</v>
      </c>
      <c r="M496" s="24" t="s">
        <v>78</v>
      </c>
      <c r="N496" s="24">
        <v>16</v>
      </c>
      <c r="O496" s="36">
        <v>900</v>
      </c>
      <c r="P496" s="35">
        <v>0.15</v>
      </c>
      <c r="Q496" s="36">
        <v>12240</v>
      </c>
      <c r="R496" s="34">
        <v>4</v>
      </c>
      <c r="S496" s="24" t="s">
        <v>34</v>
      </c>
      <c r="T496" s="24" t="s">
        <v>151</v>
      </c>
      <c r="U496" s="24" t="s">
        <v>80</v>
      </c>
      <c r="V496" s="24">
        <v>9345342793</v>
      </c>
      <c r="W496" s="24" t="s">
        <v>2100</v>
      </c>
      <c r="X496" s="34">
        <v>6</v>
      </c>
      <c r="Y496" s="24" t="s">
        <v>2110</v>
      </c>
      <c r="Z496" s="30">
        <v>46143</v>
      </c>
      <c r="AA496" s="24" t="s">
        <v>2173</v>
      </c>
      <c r="AB496" s="136" t="str">
        <f t="shared" si="7"/>
        <v>Silver</v>
      </c>
    </row>
    <row r="497" spans="1:28">
      <c r="A497" s="24" t="s">
        <v>2074</v>
      </c>
      <c r="B497" s="24" t="s">
        <v>168</v>
      </c>
      <c r="C497" s="24" t="s">
        <v>24</v>
      </c>
      <c r="D497" s="30">
        <v>46098</v>
      </c>
      <c r="E497" s="30" t="s">
        <v>1932</v>
      </c>
      <c r="F497" s="24" t="s">
        <v>361</v>
      </c>
      <c r="G497" s="24" t="s">
        <v>28</v>
      </c>
      <c r="H497" s="30" t="s">
        <v>173</v>
      </c>
      <c r="I497" s="24" t="s">
        <v>114</v>
      </c>
      <c r="J497" s="24" t="s">
        <v>106</v>
      </c>
      <c r="K497" s="24" t="s">
        <v>2111</v>
      </c>
      <c r="L497" s="24" t="s">
        <v>32</v>
      </c>
      <c r="M497" s="24" t="s">
        <v>33</v>
      </c>
      <c r="N497" s="24">
        <v>20</v>
      </c>
      <c r="O497" s="36">
        <v>1650</v>
      </c>
      <c r="P497" s="35">
        <v>0</v>
      </c>
      <c r="Q497" s="36">
        <v>33000</v>
      </c>
      <c r="R497" s="34">
        <v>5</v>
      </c>
      <c r="S497" s="24" t="s">
        <v>34</v>
      </c>
      <c r="T497" s="24" t="s">
        <v>35</v>
      </c>
      <c r="U497" s="24" t="s">
        <v>175</v>
      </c>
      <c r="V497" s="24">
        <v>9329668173</v>
      </c>
      <c r="W497" s="24" t="s">
        <v>2101</v>
      </c>
      <c r="X497" s="34">
        <v>24</v>
      </c>
      <c r="Y497" s="24" t="s">
        <v>2112</v>
      </c>
      <c r="Z497" s="30">
        <v>46841</v>
      </c>
      <c r="AA497" s="24" t="s">
        <v>2177</v>
      </c>
      <c r="AB497" s="136" t="str">
        <f t="shared" si="7"/>
        <v>Silver</v>
      </c>
    </row>
    <row r="498" spans="1:28">
      <c r="A498" s="24" t="s">
        <v>2078</v>
      </c>
      <c r="B498" s="24" t="s">
        <v>83</v>
      </c>
      <c r="C498" s="24" t="s">
        <v>40</v>
      </c>
      <c r="D498" s="30">
        <v>45711</v>
      </c>
      <c r="E498" s="30" t="s">
        <v>272</v>
      </c>
      <c r="F498" s="24" t="s">
        <v>180</v>
      </c>
      <c r="G498" s="24" t="s">
        <v>76</v>
      </c>
      <c r="H498" s="30" t="s">
        <v>87</v>
      </c>
      <c r="I498" s="24" t="s">
        <v>30</v>
      </c>
      <c r="J498" s="24" t="s">
        <v>31</v>
      </c>
      <c r="K498" s="24" t="s">
        <v>2109</v>
      </c>
      <c r="L498" s="24" t="s">
        <v>46</v>
      </c>
      <c r="M498" s="24" t="s">
        <v>47</v>
      </c>
      <c r="N498" s="24">
        <v>12</v>
      </c>
      <c r="O498" s="36">
        <v>9000</v>
      </c>
      <c r="P498" s="35">
        <v>0.15</v>
      </c>
      <c r="Q498" s="36">
        <v>91800</v>
      </c>
      <c r="R498" s="34">
        <v>5</v>
      </c>
      <c r="S498" s="24" t="s">
        <v>34</v>
      </c>
      <c r="T498" s="24" t="s">
        <v>151</v>
      </c>
      <c r="U498" s="24" t="s">
        <v>89</v>
      </c>
      <c r="V498" s="24">
        <v>9294740227</v>
      </c>
      <c r="W498" s="24" t="s">
        <v>2101</v>
      </c>
      <c r="X498" s="34">
        <v>24</v>
      </c>
      <c r="Y498" s="24" t="s">
        <v>2108</v>
      </c>
      <c r="Z498" s="30">
        <v>46453</v>
      </c>
      <c r="AA498" s="24" t="s">
        <v>2174</v>
      </c>
      <c r="AB498" s="136" t="str">
        <f t="shared" si="7"/>
        <v>Gold</v>
      </c>
    </row>
    <row r="499" spans="1:28">
      <c r="A499" s="24" t="s">
        <v>2081</v>
      </c>
      <c r="B499" s="24" t="s">
        <v>221</v>
      </c>
      <c r="C499" s="24" t="s">
        <v>72</v>
      </c>
      <c r="D499" s="30">
        <v>46002</v>
      </c>
      <c r="E499" s="30" t="s">
        <v>611</v>
      </c>
      <c r="F499" s="24" t="s">
        <v>225</v>
      </c>
      <c r="G499" s="24" t="s">
        <v>76</v>
      </c>
      <c r="H499" s="30" t="s">
        <v>226</v>
      </c>
      <c r="I499" s="24" t="s">
        <v>105</v>
      </c>
      <c r="J499" s="24" t="s">
        <v>106</v>
      </c>
      <c r="K499" s="24" t="s">
        <v>2113</v>
      </c>
      <c r="L499" s="24" t="s">
        <v>46</v>
      </c>
      <c r="M499" s="24" t="s">
        <v>78</v>
      </c>
      <c r="N499" s="24">
        <v>3</v>
      </c>
      <c r="O499" s="36">
        <v>900</v>
      </c>
      <c r="P499" s="35">
        <v>0.2</v>
      </c>
      <c r="Q499" s="36">
        <v>2160</v>
      </c>
      <c r="R499" s="34">
        <v>2</v>
      </c>
      <c r="S499" s="24" t="s">
        <v>2148</v>
      </c>
      <c r="T499" s="24" t="s">
        <v>115</v>
      </c>
      <c r="U499" s="24" t="s">
        <v>228</v>
      </c>
      <c r="V499" s="24">
        <v>9549426303</v>
      </c>
      <c r="W499" s="24" t="s">
        <v>2100</v>
      </c>
      <c r="X499" s="34">
        <v>6</v>
      </c>
      <c r="Y499" s="24" t="s">
        <v>2112</v>
      </c>
      <c r="Z499" s="30">
        <v>46193</v>
      </c>
      <c r="AA499" s="24" t="s">
        <v>2171</v>
      </c>
      <c r="AB499" s="136" t="str">
        <f t="shared" si="7"/>
        <v>Blacklisted</v>
      </c>
    </row>
    <row r="500" spans="1:28">
      <c r="A500" s="24" t="s">
        <v>2084</v>
      </c>
      <c r="B500" s="24" t="s">
        <v>100</v>
      </c>
      <c r="C500" s="24" t="s">
        <v>54</v>
      </c>
      <c r="D500" s="30">
        <v>45842</v>
      </c>
      <c r="E500" s="30" t="s">
        <v>2085</v>
      </c>
      <c r="F500" s="24" t="s">
        <v>103</v>
      </c>
      <c r="G500" s="24" t="s">
        <v>28</v>
      </c>
      <c r="H500" s="30" t="s">
        <v>104</v>
      </c>
      <c r="I500" s="24" t="s">
        <v>105</v>
      </c>
      <c r="J500" s="24" t="s">
        <v>106</v>
      </c>
      <c r="K500" s="24" t="s">
        <v>2111</v>
      </c>
      <c r="L500" s="24" t="s">
        <v>46</v>
      </c>
      <c r="M500" s="24" t="s">
        <v>60</v>
      </c>
      <c r="N500" s="24">
        <v>6</v>
      </c>
      <c r="O500" s="36">
        <v>41250</v>
      </c>
      <c r="P500" s="35">
        <v>0.2</v>
      </c>
      <c r="Q500" s="36">
        <v>198000</v>
      </c>
      <c r="R500" s="34">
        <v>3</v>
      </c>
      <c r="S500" s="24" t="s">
        <v>34</v>
      </c>
      <c r="T500" s="24" t="s">
        <v>151</v>
      </c>
      <c r="U500" s="24" t="s">
        <v>144</v>
      </c>
      <c r="V500" s="24">
        <v>9374249303</v>
      </c>
      <c r="W500" s="24" t="s">
        <v>2100</v>
      </c>
      <c r="X500" s="34">
        <v>12</v>
      </c>
      <c r="Y500" s="24" t="s">
        <v>2110</v>
      </c>
      <c r="Z500" s="30">
        <v>46208</v>
      </c>
      <c r="AA500" s="24" t="s">
        <v>2175</v>
      </c>
      <c r="AB500" s="136" t="str">
        <f t="shared" si="7"/>
        <v>Gold</v>
      </c>
    </row>
    <row r="501" spans="1:28">
      <c r="A501" s="24" t="s">
        <v>2089</v>
      </c>
      <c r="B501" s="24" t="s">
        <v>100</v>
      </c>
      <c r="C501" s="24" t="s">
        <v>92</v>
      </c>
      <c r="D501" s="30">
        <v>45916</v>
      </c>
      <c r="E501" s="30" t="s">
        <v>129</v>
      </c>
      <c r="F501" s="24" t="s">
        <v>103</v>
      </c>
      <c r="G501" s="24" t="s">
        <v>28</v>
      </c>
      <c r="H501" s="30" t="s">
        <v>104</v>
      </c>
      <c r="I501" s="24" t="s">
        <v>105</v>
      </c>
      <c r="J501" s="24" t="s">
        <v>106</v>
      </c>
      <c r="K501" s="24" t="s">
        <v>2111</v>
      </c>
      <c r="L501" s="24" t="s">
        <v>32</v>
      </c>
      <c r="M501" s="24" t="s">
        <v>97</v>
      </c>
      <c r="N501" s="24">
        <v>20</v>
      </c>
      <c r="O501" s="36">
        <v>2625</v>
      </c>
      <c r="P501" s="35">
        <v>0</v>
      </c>
      <c r="Q501" s="36">
        <v>52500</v>
      </c>
      <c r="R501" s="34">
        <v>1</v>
      </c>
      <c r="S501" s="24" t="s">
        <v>2148</v>
      </c>
      <c r="T501" s="24" t="s">
        <v>151</v>
      </c>
      <c r="U501" s="24" t="s">
        <v>144</v>
      </c>
      <c r="V501" s="24">
        <v>9810334941</v>
      </c>
      <c r="W501" s="24" t="s">
        <v>2101</v>
      </c>
      <c r="X501" s="34">
        <v>6</v>
      </c>
      <c r="Y501" s="24" t="s">
        <v>2110</v>
      </c>
      <c r="Z501" s="30">
        <v>46104</v>
      </c>
      <c r="AA501" s="24" t="s">
        <v>2175</v>
      </c>
      <c r="AB501" s="136" t="str">
        <f t="shared" si="7"/>
        <v>Blacklisted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F5AB-C332-41B1-83ED-B6287FB94EE1}">
  <dimension ref="A1:N27"/>
  <sheetViews>
    <sheetView topLeftCell="A4" workbookViewId="0">
      <selection sqref="A1:N27"/>
    </sheetView>
  </sheetViews>
  <sheetFormatPr defaultRowHeight="14.4"/>
  <cols>
    <col min="11" max="11" width="15" bestFit="1" customWidth="1"/>
    <col min="14" max="14" width="84.33203125" bestFit="1" customWidth="1"/>
  </cols>
  <sheetData>
    <row r="1" spans="1:14">
      <c r="A1" s="106" t="s">
        <v>2183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</row>
    <row r="2" spans="1:14">
      <c r="A2" s="109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10"/>
    </row>
    <row r="3" spans="1:14">
      <c r="A3" s="109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110"/>
    </row>
    <row r="4" spans="1:14">
      <c r="A4" s="109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110"/>
    </row>
    <row r="5" spans="1:14">
      <c r="A5" s="109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110"/>
    </row>
    <row r="6" spans="1:14">
      <c r="A6" s="109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10"/>
    </row>
    <row r="7" spans="1:14">
      <c r="A7" s="109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10"/>
    </row>
    <row r="8" spans="1:14">
      <c r="A8" s="10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110"/>
    </row>
    <row r="9" spans="1:14">
      <c r="A9" s="10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110"/>
    </row>
    <row r="10" spans="1:14">
      <c r="A10" s="10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110"/>
    </row>
    <row r="11" spans="1:14">
      <c r="A11" s="10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110"/>
    </row>
    <row r="12" spans="1:14">
      <c r="A12" s="10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110"/>
    </row>
    <row r="13" spans="1:14" ht="15" thickBot="1">
      <c r="A13" s="111"/>
      <c r="B13" s="112"/>
      <c r="C13" s="112"/>
      <c r="D13" s="112"/>
      <c r="E13" s="112"/>
      <c r="F13" s="115"/>
      <c r="G13" s="115"/>
      <c r="H13" s="115"/>
      <c r="I13" s="115"/>
      <c r="J13" s="115"/>
      <c r="K13" s="115"/>
      <c r="L13" s="115"/>
      <c r="M13" s="115"/>
      <c r="N13" s="116"/>
    </row>
    <row r="14" spans="1:14" ht="18" customHeight="1">
      <c r="A14" s="119" t="s">
        <v>2186</v>
      </c>
      <c r="B14" s="117"/>
      <c r="C14" s="117"/>
      <c r="D14" s="117"/>
      <c r="E14" s="120"/>
      <c r="F14" s="126" t="s">
        <v>2185</v>
      </c>
      <c r="G14" s="127"/>
      <c r="H14" s="127"/>
      <c r="I14" s="127"/>
      <c r="J14" s="127"/>
      <c r="K14" s="127"/>
      <c r="L14" s="127"/>
      <c r="M14" s="128"/>
      <c r="N14" s="133" t="s">
        <v>2197</v>
      </c>
    </row>
    <row r="15" spans="1:14">
      <c r="A15" s="121"/>
      <c r="B15" s="118"/>
      <c r="C15" s="118"/>
      <c r="D15" s="118"/>
      <c r="E15" s="122"/>
      <c r="F15" s="102" t="s">
        <v>2184</v>
      </c>
      <c r="G15" s="100"/>
      <c r="H15" s="100"/>
      <c r="I15" s="100"/>
      <c r="J15" s="100"/>
      <c r="K15" s="100"/>
      <c r="L15" s="100"/>
      <c r="M15" s="101"/>
      <c r="N15" s="131" t="s">
        <v>2195</v>
      </c>
    </row>
    <row r="16" spans="1:14">
      <c r="A16" s="121"/>
      <c r="B16" s="118"/>
      <c r="C16" s="118"/>
      <c r="D16" s="118"/>
      <c r="E16" s="122"/>
      <c r="F16" s="102" t="s">
        <v>2192</v>
      </c>
      <c r="G16" s="100"/>
      <c r="H16" s="100"/>
      <c r="I16" s="100"/>
      <c r="J16" s="100"/>
      <c r="K16" s="100"/>
      <c r="L16" s="100"/>
      <c r="M16" s="101"/>
      <c r="N16" s="131" t="s">
        <v>2196</v>
      </c>
    </row>
    <row r="17" spans="1:14">
      <c r="A17" s="121"/>
      <c r="B17" s="118"/>
      <c r="C17" s="118"/>
      <c r="D17" s="118"/>
      <c r="E17" s="122"/>
      <c r="F17" s="102"/>
      <c r="G17" s="100"/>
      <c r="H17" s="100"/>
      <c r="I17" s="100"/>
      <c r="J17" s="100"/>
      <c r="K17" s="100"/>
      <c r="L17" s="100"/>
      <c r="M17" s="101"/>
      <c r="N17" s="130"/>
    </row>
    <row r="18" spans="1:14" ht="15.6">
      <c r="A18" s="121"/>
      <c r="B18" s="118"/>
      <c r="C18" s="118"/>
      <c r="D18" s="118"/>
      <c r="E18" s="122"/>
      <c r="F18" s="129" t="s">
        <v>2193</v>
      </c>
      <c r="G18" s="100"/>
      <c r="H18" s="100"/>
      <c r="I18" s="100"/>
      <c r="J18" s="100"/>
      <c r="K18" s="100"/>
      <c r="L18" s="100"/>
      <c r="M18" s="101"/>
      <c r="N18" s="130"/>
    </row>
    <row r="19" spans="1:14" ht="15.6">
      <c r="A19" s="121"/>
      <c r="B19" s="118"/>
      <c r="C19" s="118"/>
      <c r="D19" s="118"/>
      <c r="E19" s="122"/>
      <c r="F19" s="102" t="s">
        <v>2187</v>
      </c>
      <c r="G19" s="100"/>
      <c r="H19" s="100"/>
      <c r="I19" s="100"/>
      <c r="J19" s="100"/>
      <c r="K19" s="100"/>
      <c r="L19" s="100"/>
      <c r="M19" s="101"/>
      <c r="N19" s="134" t="s">
        <v>2198</v>
      </c>
    </row>
    <row r="20" spans="1:14">
      <c r="A20" s="121"/>
      <c r="B20" s="118"/>
      <c r="C20" s="118"/>
      <c r="D20" s="118"/>
      <c r="E20" s="122"/>
      <c r="F20" s="102" t="s">
        <v>2188</v>
      </c>
      <c r="G20" s="100"/>
      <c r="H20" s="100"/>
      <c r="I20" s="100"/>
      <c r="J20" s="100"/>
      <c r="K20" s="100"/>
      <c r="L20" s="100"/>
      <c r="M20" s="101"/>
      <c r="N20" s="130"/>
    </row>
    <row r="21" spans="1:14">
      <c r="A21" s="121"/>
      <c r="B21" s="118"/>
      <c r="C21" s="118"/>
      <c r="D21" s="118"/>
      <c r="E21" s="122"/>
      <c r="F21" s="102" t="s">
        <v>2189</v>
      </c>
      <c r="G21" s="100"/>
      <c r="H21" s="100"/>
      <c r="I21" s="100"/>
      <c r="J21" s="100"/>
      <c r="K21" s="100"/>
      <c r="L21" s="100"/>
      <c r="M21" s="101"/>
      <c r="N21" s="130"/>
    </row>
    <row r="22" spans="1:14">
      <c r="A22" s="121"/>
      <c r="B22" s="118"/>
      <c r="C22" s="118"/>
      <c r="D22" s="118"/>
      <c r="E22" s="122"/>
      <c r="F22" s="102" t="s">
        <v>2190</v>
      </c>
      <c r="G22" s="100"/>
      <c r="H22" s="100"/>
      <c r="I22" s="100"/>
      <c r="J22" s="100"/>
      <c r="K22" s="100"/>
      <c r="L22" s="100"/>
      <c r="M22" s="101"/>
      <c r="N22" s="130"/>
    </row>
    <row r="23" spans="1:14">
      <c r="A23" s="121"/>
      <c r="B23" s="118"/>
      <c r="C23" s="118"/>
      <c r="D23" s="118"/>
      <c r="E23" s="122"/>
      <c r="F23" s="102" t="s">
        <v>2191</v>
      </c>
      <c r="G23" s="100"/>
      <c r="H23" s="100"/>
      <c r="I23" s="100"/>
      <c r="J23" s="100"/>
      <c r="K23" s="100"/>
      <c r="L23" s="100"/>
      <c r="M23" s="101"/>
      <c r="N23" s="130"/>
    </row>
    <row r="24" spans="1:14">
      <c r="A24" s="121"/>
      <c r="B24" s="118"/>
      <c r="C24" s="118"/>
      <c r="D24" s="118"/>
      <c r="E24" s="122"/>
      <c r="F24" s="102"/>
      <c r="G24" s="100"/>
      <c r="H24" s="100"/>
      <c r="I24" s="100"/>
      <c r="J24" s="100"/>
      <c r="K24" s="100"/>
      <c r="L24" s="100"/>
      <c r="M24" s="101"/>
      <c r="N24" s="130"/>
    </row>
    <row r="25" spans="1:14">
      <c r="A25" s="121"/>
      <c r="B25" s="118"/>
      <c r="C25" s="118"/>
      <c r="D25" s="118"/>
      <c r="E25" s="122"/>
      <c r="F25" s="67" t="s">
        <v>2194</v>
      </c>
      <c r="G25" s="100"/>
      <c r="H25" s="100"/>
      <c r="I25" s="100"/>
      <c r="J25" s="100"/>
      <c r="K25" s="100"/>
      <c r="L25" s="100"/>
      <c r="M25" s="101"/>
      <c r="N25" s="130"/>
    </row>
    <row r="26" spans="1:14">
      <c r="A26" s="121"/>
      <c r="B26" s="118"/>
      <c r="C26" s="118"/>
      <c r="D26" s="118"/>
      <c r="E26" s="122"/>
      <c r="F26" s="102"/>
      <c r="G26" s="100"/>
      <c r="H26" s="100"/>
      <c r="I26" s="100"/>
      <c r="J26" s="100"/>
      <c r="K26" s="100"/>
      <c r="L26" s="100"/>
      <c r="M26" s="101"/>
      <c r="N26" s="130"/>
    </row>
    <row r="27" spans="1:14" ht="15" thickBot="1">
      <c r="A27" s="123"/>
      <c r="B27" s="124"/>
      <c r="C27" s="124"/>
      <c r="D27" s="124"/>
      <c r="E27" s="125"/>
      <c r="F27" s="103"/>
      <c r="G27" s="104"/>
      <c r="H27" s="104"/>
      <c r="I27" s="104"/>
      <c r="J27" s="104"/>
      <c r="K27" s="104"/>
      <c r="L27" s="104"/>
      <c r="M27" s="105"/>
      <c r="N27" s="132"/>
    </row>
  </sheetData>
  <mergeCells count="2">
    <mergeCell ref="A14:E27"/>
    <mergeCell ref="A1:N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6DC6-EA46-4E6C-9DF2-AA34BF831514}">
  <dimension ref="A1:AD501"/>
  <sheetViews>
    <sheetView workbookViewId="0">
      <selection activeCell="AC1" sqref="AC1"/>
    </sheetView>
  </sheetViews>
  <sheetFormatPr defaultRowHeight="14.4"/>
  <cols>
    <col min="1" max="1" width="9.6640625" bestFit="1" customWidth="1"/>
    <col min="2" max="2" width="11.88671875" bestFit="1" customWidth="1"/>
    <col min="3" max="3" width="10.44140625" bestFit="1" customWidth="1"/>
    <col min="4" max="4" width="10.6640625" hidden="1" customWidth="1"/>
    <col min="5" max="5" width="12.6640625" hidden="1" customWidth="1"/>
    <col min="6" max="6" width="15.21875" bestFit="1" customWidth="1"/>
    <col min="7" max="7" width="7.109375" hidden="1" customWidth="1"/>
    <col min="8" max="8" width="10.5546875" hidden="1" customWidth="1"/>
    <col min="9" max="9" width="9.77734375" bestFit="1" customWidth="1"/>
    <col min="10" max="10" width="6.77734375" hidden="1" customWidth="1"/>
    <col min="11" max="11" width="5.33203125" hidden="1" customWidth="1"/>
    <col min="12" max="12" width="15.109375" hidden="1" customWidth="1"/>
    <col min="13" max="13" width="18.77734375" hidden="1" customWidth="1"/>
    <col min="14" max="14" width="8.33203125" hidden="1" customWidth="1"/>
    <col min="15" max="15" width="9.6640625" hidden="1" customWidth="1"/>
    <col min="16" max="16" width="10.77734375" style="96" hidden="1" customWidth="1"/>
    <col min="17" max="17" width="19.44140625" hidden="1" customWidth="1"/>
    <col min="18" max="18" width="6.33203125" hidden="1" customWidth="1"/>
    <col min="19" max="19" width="14.6640625" hidden="1" customWidth="1"/>
    <col min="20" max="20" width="11" hidden="1" customWidth="1"/>
    <col min="21" max="21" width="25.109375" bestFit="1" customWidth="1"/>
    <col min="22" max="22" width="11" hidden="1" customWidth="1"/>
    <col min="23" max="23" width="12.6640625" hidden="1" customWidth="1"/>
    <col min="24" max="24" width="16.5546875" hidden="1" customWidth="1"/>
    <col min="25" max="25" width="11.6640625" hidden="1" customWidth="1"/>
    <col min="26" max="26" width="20.33203125" hidden="1" customWidth="1"/>
    <col min="27" max="27" width="14.44140625" hidden="1" customWidth="1"/>
    <col min="28" max="28" width="20.21875" style="1" hidden="1" customWidth="1"/>
    <col min="29" max="29" width="14" bestFit="1" customWidth="1"/>
    <col min="30" max="30" width="25.109375" bestFit="1" customWidth="1"/>
  </cols>
  <sheetData>
    <row r="1" spans="1:30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2107</v>
      </c>
      <c r="L1" s="41" t="s">
        <v>10</v>
      </c>
      <c r="M1" s="41" t="s">
        <v>2143</v>
      </c>
      <c r="N1" s="41" t="s">
        <v>12</v>
      </c>
      <c r="O1" s="41" t="s">
        <v>13</v>
      </c>
      <c r="P1" s="231" t="s">
        <v>14</v>
      </c>
      <c r="Q1" s="41" t="s">
        <v>2144</v>
      </c>
      <c r="R1" s="41" t="s">
        <v>16</v>
      </c>
      <c r="S1" s="41" t="s">
        <v>17</v>
      </c>
      <c r="T1" s="41" t="s">
        <v>18</v>
      </c>
      <c r="U1" s="41" t="s">
        <v>19</v>
      </c>
      <c r="V1" s="42" t="s">
        <v>20</v>
      </c>
      <c r="W1" s="43" t="s">
        <v>2097</v>
      </c>
      <c r="X1" s="43" t="s">
        <v>2099</v>
      </c>
      <c r="Y1" s="53" t="s">
        <v>2106</v>
      </c>
      <c r="Z1" s="41" t="s">
        <v>2146</v>
      </c>
      <c r="AA1" s="135" t="s">
        <v>2147</v>
      </c>
      <c r="AB1" s="135" t="s">
        <v>2178</v>
      </c>
      <c r="AC1" s="135" t="s">
        <v>2199</v>
      </c>
      <c r="AD1" s="137" t="s">
        <v>2200</v>
      </c>
    </row>
    <row r="2" spans="1:30">
      <c r="A2" s="24" t="s">
        <v>22</v>
      </c>
      <c r="B2" s="24" t="s">
        <v>23</v>
      </c>
      <c r="C2" s="24" t="s">
        <v>24</v>
      </c>
      <c r="D2" s="30">
        <v>45918</v>
      </c>
      <c r="E2" s="24" t="s">
        <v>26</v>
      </c>
      <c r="F2" s="136" t="str">
        <f>PROPER(TRIM(Sales_data!F2))</f>
        <v>Kavya Nair</v>
      </c>
      <c r="G2" s="30" t="s">
        <v>28</v>
      </c>
      <c r="H2" s="24" t="s">
        <v>29</v>
      </c>
      <c r="I2" s="24" t="s">
        <v>30</v>
      </c>
      <c r="J2" s="24" t="s">
        <v>31</v>
      </c>
      <c r="K2" s="24" t="s">
        <v>2111</v>
      </c>
      <c r="L2" s="24" t="s">
        <v>32</v>
      </c>
      <c r="M2" s="34" t="s">
        <v>33</v>
      </c>
      <c r="N2" s="37">
        <v>4</v>
      </c>
      <c r="O2" s="44">
        <v>1650</v>
      </c>
      <c r="P2" s="35">
        <v>0.1</v>
      </c>
      <c r="Q2" s="34">
        <v>5940</v>
      </c>
      <c r="R2" s="24">
        <v>4</v>
      </c>
      <c r="S2" s="24" t="s">
        <v>34</v>
      </c>
      <c r="T2" s="24" t="s">
        <v>35</v>
      </c>
      <c r="U2" s="34" t="str">
        <f>Sales_data!T2</f>
        <v>KAvya.nair@company.com</v>
      </c>
      <c r="V2" s="24">
        <v>9431429797</v>
      </c>
      <c r="W2" s="34" t="s">
        <v>2101</v>
      </c>
      <c r="X2" s="24">
        <v>24</v>
      </c>
      <c r="Y2" s="54" t="s">
        <v>2108</v>
      </c>
      <c r="Z2" s="29">
        <v>46652</v>
      </c>
      <c r="AA2" s="24" t="s">
        <v>2171</v>
      </c>
      <c r="AB2" s="24" t="s">
        <v>2108</v>
      </c>
      <c r="AC2" s="136" t="str">
        <f>PROPER(LEFT(TRIM(F2), 3)) &amp; RIGHT(TRIM(B2), 3) &amp; PROPER(LEFT(TRIM(I2), 2))</f>
        <v>Kav008Hy</v>
      </c>
      <c r="AD2" s="136" t="str">
        <f>IF(ISNUMBER(SEARCH("@", U2)), LOWER(TRIM(U2)), "Invalid Email")</f>
        <v>kavya.nair@company.com</v>
      </c>
    </row>
    <row r="3" spans="1:30">
      <c r="A3" s="24" t="s">
        <v>39</v>
      </c>
      <c r="B3" s="24" t="s">
        <v>23</v>
      </c>
      <c r="C3" s="24" t="s">
        <v>40</v>
      </c>
      <c r="D3" s="30">
        <v>45774</v>
      </c>
      <c r="E3" s="24" t="s">
        <v>42</v>
      </c>
      <c r="F3" s="136" t="str">
        <f>PROPER(TRIM(Sales_data!F3))</f>
        <v>Kavya Nair</v>
      </c>
      <c r="G3" s="30" t="s">
        <v>28</v>
      </c>
      <c r="H3" s="24" t="s">
        <v>29</v>
      </c>
      <c r="I3" s="24" t="s">
        <v>30</v>
      </c>
      <c r="J3" s="24" t="s">
        <v>31</v>
      </c>
      <c r="K3" s="24" t="s">
        <v>2111</v>
      </c>
      <c r="L3" s="24" t="s">
        <v>46</v>
      </c>
      <c r="M3" s="34" t="s">
        <v>47</v>
      </c>
      <c r="N3" s="37">
        <v>17</v>
      </c>
      <c r="O3" s="44">
        <v>9000</v>
      </c>
      <c r="P3" s="35">
        <v>0.1</v>
      </c>
      <c r="Q3" s="34">
        <v>137700</v>
      </c>
      <c r="R3" s="24">
        <v>1</v>
      </c>
      <c r="S3" s="24" t="s">
        <v>2148</v>
      </c>
      <c r="T3" s="24" t="s">
        <v>49</v>
      </c>
      <c r="U3" s="34" t="str">
        <f>Sales_data!T3</f>
        <v>kavya.nair@company.com</v>
      </c>
      <c r="V3" s="24">
        <v>9129865339</v>
      </c>
      <c r="W3" s="34" t="s">
        <v>2101</v>
      </c>
      <c r="X3" s="24">
        <v>24</v>
      </c>
      <c r="Y3" s="30" t="s">
        <v>2108</v>
      </c>
      <c r="Z3" s="29">
        <v>46511</v>
      </c>
      <c r="AA3" s="24" t="s">
        <v>2171</v>
      </c>
      <c r="AB3" s="24" t="s">
        <v>2160</v>
      </c>
      <c r="AC3" s="136" t="str">
        <f t="shared" ref="AC3:AC66" si="0">PROPER(LEFT(TRIM(F3), 3)) &amp; RIGHT(TRIM(B3), 3) &amp; PROPER(LEFT(TRIM(I3), 2))</f>
        <v>Kav008Hy</v>
      </c>
      <c r="AD3" s="136" t="str">
        <f t="shared" ref="AD3:AD66" si="1">IF(ISNUMBER(SEARCH("@", U3)), LOWER(TRIM(U3)), "Invalid Email")</f>
        <v>kavya.nair@company.com</v>
      </c>
    </row>
    <row r="4" spans="1:30">
      <c r="A4" s="24" t="s">
        <v>52</v>
      </c>
      <c r="B4" s="24" t="s">
        <v>53</v>
      </c>
      <c r="C4" s="24" t="s">
        <v>54</v>
      </c>
      <c r="D4" s="30">
        <v>45903</v>
      </c>
      <c r="E4" s="24" t="s">
        <v>56</v>
      </c>
      <c r="F4" s="136" t="str">
        <f>PROPER(TRIM(Sales_data!F4))</f>
        <v>Pooja Shah</v>
      </c>
      <c r="G4" s="30" t="s">
        <v>28</v>
      </c>
      <c r="H4" s="24" t="s">
        <v>58</v>
      </c>
      <c r="I4" s="24" t="s">
        <v>59</v>
      </c>
      <c r="J4" s="24" t="s">
        <v>31</v>
      </c>
      <c r="K4" s="24" t="s">
        <v>2111</v>
      </c>
      <c r="L4" s="24" t="s">
        <v>46</v>
      </c>
      <c r="M4" s="34" t="s">
        <v>60</v>
      </c>
      <c r="N4" s="37">
        <v>5</v>
      </c>
      <c r="O4" s="44">
        <v>41250</v>
      </c>
      <c r="P4" s="35">
        <v>0.05</v>
      </c>
      <c r="Q4" s="34">
        <v>195937.5</v>
      </c>
      <c r="R4" s="24">
        <v>3</v>
      </c>
      <c r="S4" s="24" t="s">
        <v>2148</v>
      </c>
      <c r="T4" s="24" t="s">
        <v>61</v>
      </c>
      <c r="U4" s="34" t="str">
        <f>Sales_data!T4</f>
        <v>pooja.shah@company.com</v>
      </c>
      <c r="V4" s="24">
        <v>9380975626</v>
      </c>
      <c r="W4" s="34" t="s">
        <v>2100</v>
      </c>
      <c r="X4" s="24">
        <v>12</v>
      </c>
      <c r="Y4" s="30" t="s">
        <v>2108</v>
      </c>
      <c r="Z4" s="29">
        <v>46279</v>
      </c>
      <c r="AA4" s="24" t="s">
        <v>2172</v>
      </c>
      <c r="AB4" s="24" t="s">
        <v>2112</v>
      </c>
      <c r="AC4" s="136" t="str">
        <f t="shared" si="0"/>
        <v>Poo010Be</v>
      </c>
      <c r="AD4" s="136" t="str">
        <f t="shared" si="1"/>
        <v>pooja.shah@company.com</v>
      </c>
    </row>
    <row r="5" spans="1:30">
      <c r="A5" s="24" t="s">
        <v>2129</v>
      </c>
      <c r="B5" s="24" t="s">
        <v>23</v>
      </c>
      <c r="C5" s="24" t="s">
        <v>24</v>
      </c>
      <c r="D5" s="30">
        <v>46102</v>
      </c>
      <c r="E5" s="24" t="s">
        <v>66</v>
      </c>
      <c r="F5" s="136" t="str">
        <f>PROPER(TRIM(Sales_data!F5))</f>
        <v>Kavya Nair</v>
      </c>
      <c r="G5" s="30" t="s">
        <v>28</v>
      </c>
      <c r="H5" s="24" t="s">
        <v>29</v>
      </c>
      <c r="I5" s="24" t="s">
        <v>30</v>
      </c>
      <c r="J5" s="24" t="s">
        <v>31</v>
      </c>
      <c r="K5" s="24" t="s">
        <v>2111</v>
      </c>
      <c r="L5" s="24" t="s">
        <v>32</v>
      </c>
      <c r="M5" s="34" t="s">
        <v>33</v>
      </c>
      <c r="N5" s="37">
        <v>5</v>
      </c>
      <c r="O5" s="44">
        <v>1650</v>
      </c>
      <c r="P5" s="35">
        <v>0.05</v>
      </c>
      <c r="Q5" s="34">
        <v>7837.5</v>
      </c>
      <c r="R5" s="24">
        <v>5</v>
      </c>
      <c r="S5" s="24" t="s">
        <v>2148</v>
      </c>
      <c r="T5" s="24" t="s">
        <v>61</v>
      </c>
      <c r="U5" s="34" t="str">
        <f>Sales_data!T5</f>
        <v>kavya.nair@company.com</v>
      </c>
      <c r="V5" s="24">
        <v>9600261125</v>
      </c>
      <c r="W5" s="34" t="s">
        <v>2101</v>
      </c>
      <c r="X5" s="24">
        <v>24</v>
      </c>
      <c r="Y5" s="30" t="s">
        <v>2108</v>
      </c>
      <c r="Z5" s="29">
        <v>46845</v>
      </c>
      <c r="AA5" s="24" t="s">
        <v>2171</v>
      </c>
      <c r="AB5" s="24" t="s">
        <v>2108</v>
      </c>
      <c r="AC5" s="136" t="str">
        <f t="shared" si="0"/>
        <v>Kav008Hy</v>
      </c>
      <c r="AD5" s="136" t="str">
        <f t="shared" si="1"/>
        <v>kavya.nair@company.com</v>
      </c>
    </row>
    <row r="6" spans="1:30">
      <c r="A6" s="24" t="s">
        <v>70</v>
      </c>
      <c r="B6" s="24" t="s">
        <v>71</v>
      </c>
      <c r="C6" s="24" t="s">
        <v>72</v>
      </c>
      <c r="D6" s="30">
        <v>45927</v>
      </c>
      <c r="E6" s="24" t="s">
        <v>74</v>
      </c>
      <c r="F6" s="136" t="str">
        <f>PROPER(TRIM(Sales_data!F6))</f>
        <v>Mohit Verma</v>
      </c>
      <c r="G6" s="30" t="s">
        <v>76</v>
      </c>
      <c r="H6" s="24" t="s">
        <v>77</v>
      </c>
      <c r="I6" s="24" t="s">
        <v>44</v>
      </c>
      <c r="J6" s="24" t="s">
        <v>45</v>
      </c>
      <c r="K6" s="24" t="s">
        <v>2114</v>
      </c>
      <c r="L6" s="24" t="s">
        <v>46</v>
      </c>
      <c r="M6" s="34" t="s">
        <v>78</v>
      </c>
      <c r="N6" s="37">
        <v>8</v>
      </c>
      <c r="O6" s="44">
        <v>900</v>
      </c>
      <c r="P6" s="35">
        <v>0.05</v>
      </c>
      <c r="Q6" s="34">
        <v>6840</v>
      </c>
      <c r="R6" s="24">
        <v>2</v>
      </c>
      <c r="S6" s="24" t="s">
        <v>79</v>
      </c>
      <c r="T6" s="24" t="s">
        <v>61</v>
      </c>
      <c r="U6" s="34" t="str">
        <f>Sales_data!T6</f>
        <v>mohit.verma@company.com</v>
      </c>
      <c r="V6" s="24">
        <v>9724635978</v>
      </c>
      <c r="W6" s="34" t="s">
        <v>2100</v>
      </c>
      <c r="X6" s="24">
        <v>6</v>
      </c>
      <c r="Y6" s="30" t="s">
        <v>2110</v>
      </c>
      <c r="Z6" s="29">
        <v>46119</v>
      </c>
      <c r="AA6" s="24" t="s">
        <v>2173</v>
      </c>
      <c r="AB6" s="24" t="s">
        <v>2160</v>
      </c>
      <c r="AC6" s="136" t="str">
        <f t="shared" si="0"/>
        <v>Moh009De</v>
      </c>
      <c r="AD6" s="136" t="str">
        <f t="shared" si="1"/>
        <v>mohit.verma@company.com</v>
      </c>
    </row>
    <row r="7" spans="1:30">
      <c r="A7" s="24" t="s">
        <v>82</v>
      </c>
      <c r="B7" s="24" t="s">
        <v>83</v>
      </c>
      <c r="C7" s="24" t="s">
        <v>24</v>
      </c>
      <c r="D7" s="30">
        <v>46026</v>
      </c>
      <c r="E7" s="24" t="s">
        <v>85</v>
      </c>
      <c r="F7" s="136" t="str">
        <f>PROPER(TRIM(Sales_data!F7))</f>
        <v>Arjun Rao</v>
      </c>
      <c r="G7" s="30" t="s">
        <v>76</v>
      </c>
      <c r="H7" s="24" t="s">
        <v>87</v>
      </c>
      <c r="I7" s="24" t="s">
        <v>30</v>
      </c>
      <c r="J7" s="24" t="s">
        <v>31</v>
      </c>
      <c r="K7" s="24" t="s">
        <v>2109</v>
      </c>
      <c r="L7" s="24" t="s">
        <v>32</v>
      </c>
      <c r="M7" s="34" t="s">
        <v>33</v>
      </c>
      <c r="N7" s="37">
        <v>4</v>
      </c>
      <c r="O7" s="44">
        <v>1650</v>
      </c>
      <c r="P7" s="35">
        <v>0</v>
      </c>
      <c r="Q7" s="34">
        <v>6600</v>
      </c>
      <c r="R7" s="24">
        <v>1</v>
      </c>
      <c r="S7" s="24" t="s">
        <v>2149</v>
      </c>
      <c r="T7" s="24" t="s">
        <v>35</v>
      </c>
      <c r="U7" s="34" t="str">
        <f>Sales_data!T7</f>
        <v>arjun.rao@company.com</v>
      </c>
      <c r="V7" s="24">
        <v>9780584905</v>
      </c>
      <c r="W7" s="34" t="s">
        <v>2101</v>
      </c>
      <c r="X7" s="24">
        <v>24</v>
      </c>
      <c r="Y7" s="30" t="s">
        <v>2108</v>
      </c>
      <c r="Z7" s="29">
        <v>46764</v>
      </c>
      <c r="AA7" s="24" t="s">
        <v>2174</v>
      </c>
      <c r="AB7" s="24" t="s">
        <v>2160</v>
      </c>
      <c r="AC7" s="136" t="str">
        <f t="shared" si="0"/>
        <v>Arj007Hy</v>
      </c>
      <c r="AD7" s="136" t="str">
        <f t="shared" si="1"/>
        <v>arjun.rao@company.com</v>
      </c>
    </row>
    <row r="8" spans="1:30">
      <c r="A8" s="24" t="s">
        <v>91</v>
      </c>
      <c r="B8" s="24" t="s">
        <v>23</v>
      </c>
      <c r="C8" s="24" t="s">
        <v>92</v>
      </c>
      <c r="D8" s="30" t="s">
        <v>93</v>
      </c>
      <c r="E8" s="24" t="s">
        <v>94</v>
      </c>
      <c r="F8" s="136" t="str">
        <f>PROPER(TRIM(Sales_data!F8))</f>
        <v>Kavya Nair</v>
      </c>
      <c r="G8" s="30" t="s">
        <v>28</v>
      </c>
      <c r="H8" s="24" t="s">
        <v>29</v>
      </c>
      <c r="I8" s="24" t="s">
        <v>30</v>
      </c>
      <c r="J8" s="24" t="s">
        <v>31</v>
      </c>
      <c r="K8" s="24" t="s">
        <v>2111</v>
      </c>
      <c r="L8" s="24" t="s">
        <v>32</v>
      </c>
      <c r="M8" s="34" t="s">
        <v>97</v>
      </c>
      <c r="N8" s="37">
        <v>2</v>
      </c>
      <c r="O8" s="44">
        <v>2625</v>
      </c>
      <c r="P8" s="35">
        <v>0.05</v>
      </c>
      <c r="Q8" s="34">
        <v>4987.5</v>
      </c>
      <c r="R8" s="24">
        <v>1</v>
      </c>
      <c r="S8" s="24" t="s">
        <v>2149</v>
      </c>
      <c r="T8" s="24" t="s">
        <v>35</v>
      </c>
      <c r="U8" s="34" t="str">
        <f>Sales_data!T8</f>
        <v>kavya.nair@company.com</v>
      </c>
      <c r="V8" s="24">
        <v>9958252176</v>
      </c>
      <c r="W8" s="34" t="s">
        <v>2101</v>
      </c>
      <c r="X8" s="24">
        <v>6</v>
      </c>
      <c r="Y8" s="30" t="s">
        <v>2108</v>
      </c>
      <c r="Z8" s="29">
        <v>46259</v>
      </c>
      <c r="AA8" s="24" t="s">
        <v>2171</v>
      </c>
      <c r="AB8" s="24" t="s">
        <v>2160</v>
      </c>
      <c r="AC8" s="136" t="str">
        <f t="shared" si="0"/>
        <v>Kav008Hy</v>
      </c>
      <c r="AD8" s="136" t="str">
        <f t="shared" si="1"/>
        <v>kavya.nair@company.com</v>
      </c>
    </row>
    <row r="9" spans="1:30">
      <c r="A9" s="24" t="s">
        <v>99</v>
      </c>
      <c r="B9" s="24" t="s">
        <v>100</v>
      </c>
      <c r="C9" s="24" t="s">
        <v>40</v>
      </c>
      <c r="D9" s="30">
        <v>45760</v>
      </c>
      <c r="E9" s="24" t="s">
        <v>102</v>
      </c>
      <c r="F9" s="136" t="str">
        <f>PROPER(TRIM(Sales_data!F9))</f>
        <v>Priya Patel</v>
      </c>
      <c r="G9" s="30" t="s">
        <v>28</v>
      </c>
      <c r="H9" s="24" t="s">
        <v>104</v>
      </c>
      <c r="I9" s="24" t="s">
        <v>105</v>
      </c>
      <c r="J9" s="24" t="s">
        <v>106</v>
      </c>
      <c r="K9" s="24" t="s">
        <v>2111</v>
      </c>
      <c r="L9" s="24" t="s">
        <v>46</v>
      </c>
      <c r="M9" s="34" t="s">
        <v>47</v>
      </c>
      <c r="N9" s="37">
        <v>14</v>
      </c>
      <c r="O9" s="44">
        <v>9000</v>
      </c>
      <c r="P9" s="35">
        <v>0.15</v>
      </c>
      <c r="Q9" s="34">
        <v>107100</v>
      </c>
      <c r="R9" s="24">
        <v>4</v>
      </c>
      <c r="S9" s="24" t="s">
        <v>2148</v>
      </c>
      <c r="T9" s="24" t="s">
        <v>35</v>
      </c>
      <c r="U9" s="34" t="str">
        <f>Sales_data!T9</f>
        <v>priYa.patel@company.com</v>
      </c>
      <c r="V9" s="24">
        <v>9705521654</v>
      </c>
      <c r="W9" s="34" t="s">
        <v>2101</v>
      </c>
      <c r="X9" s="24">
        <v>24</v>
      </c>
      <c r="Y9" s="30" t="s">
        <v>2110</v>
      </c>
      <c r="Z9" s="29">
        <v>46496</v>
      </c>
      <c r="AA9" s="24" t="s">
        <v>2175</v>
      </c>
      <c r="AB9" s="24" t="s">
        <v>2112</v>
      </c>
      <c r="AC9" s="136" t="str">
        <f t="shared" si="0"/>
        <v>Pri002Mu</v>
      </c>
      <c r="AD9" s="136" t="str">
        <f t="shared" si="1"/>
        <v>priya.patel@company.com</v>
      </c>
    </row>
    <row r="10" spans="1:30">
      <c r="A10" s="24" t="s">
        <v>109</v>
      </c>
      <c r="B10" s="24" t="s">
        <v>23</v>
      </c>
      <c r="C10" s="24" t="s">
        <v>40</v>
      </c>
      <c r="D10" s="30">
        <v>46053</v>
      </c>
      <c r="E10" s="24" t="s">
        <v>111</v>
      </c>
      <c r="F10" s="136" t="str">
        <f>PROPER(TRIM(Sales_data!F10))</f>
        <v>Kavya Nair</v>
      </c>
      <c r="G10" s="30" t="s">
        <v>28</v>
      </c>
      <c r="H10" s="24" t="s">
        <v>29</v>
      </c>
      <c r="I10" s="24" t="s">
        <v>30</v>
      </c>
      <c r="J10" s="24" t="s">
        <v>31</v>
      </c>
      <c r="K10" s="24" t="s">
        <v>2111</v>
      </c>
      <c r="L10" s="24" t="s">
        <v>46</v>
      </c>
      <c r="M10" s="34" t="s">
        <v>47</v>
      </c>
      <c r="N10" s="37">
        <v>4</v>
      </c>
      <c r="O10" s="44">
        <v>9000</v>
      </c>
      <c r="P10" s="35">
        <v>0.15</v>
      </c>
      <c r="Q10" s="34">
        <v>30600</v>
      </c>
      <c r="R10" s="24">
        <v>4</v>
      </c>
      <c r="S10" s="24" t="s">
        <v>2149</v>
      </c>
      <c r="T10" s="24" t="s">
        <v>115</v>
      </c>
      <c r="U10" s="34" t="str">
        <f>Sales_data!T10</f>
        <v>kavya.nair@company.com</v>
      </c>
      <c r="V10" s="24">
        <v>9588041011</v>
      </c>
      <c r="W10" s="34" t="s">
        <v>2101</v>
      </c>
      <c r="X10" s="24">
        <v>24</v>
      </c>
      <c r="Y10" s="30" t="s">
        <v>2108</v>
      </c>
      <c r="Z10" s="29">
        <v>46785</v>
      </c>
      <c r="AA10" s="24" t="s">
        <v>2171</v>
      </c>
      <c r="AB10" s="24" t="s">
        <v>2108</v>
      </c>
      <c r="AC10" s="136" t="str">
        <f t="shared" si="0"/>
        <v>Kav008Hy</v>
      </c>
      <c r="AD10" s="136" t="str">
        <f t="shared" si="1"/>
        <v>kavya.nair@company.com</v>
      </c>
    </row>
    <row r="11" spans="1:30">
      <c r="A11" s="24" t="s">
        <v>117</v>
      </c>
      <c r="B11" s="24" t="s">
        <v>100</v>
      </c>
      <c r="C11" s="24" t="s">
        <v>118</v>
      </c>
      <c r="D11" s="30">
        <v>45741</v>
      </c>
      <c r="E11" s="24" t="s">
        <v>120</v>
      </c>
      <c r="F11" s="136" t="str">
        <f>PROPER(TRIM(Sales_data!F11))</f>
        <v>Priya Patel</v>
      </c>
      <c r="G11" s="30" t="s">
        <v>28</v>
      </c>
      <c r="H11" s="24" t="s">
        <v>104</v>
      </c>
      <c r="I11" s="24" t="s">
        <v>105</v>
      </c>
      <c r="J11" s="24" t="s">
        <v>106</v>
      </c>
      <c r="K11" s="24" t="s">
        <v>2111</v>
      </c>
      <c r="L11" s="24" t="s">
        <v>122</v>
      </c>
      <c r="M11" s="34" t="s">
        <v>123</v>
      </c>
      <c r="N11" s="37">
        <v>6</v>
      </c>
      <c r="O11" s="44">
        <v>45</v>
      </c>
      <c r="P11" s="35">
        <v>0</v>
      </c>
      <c r="Q11" s="34">
        <v>270</v>
      </c>
      <c r="R11" s="24">
        <v>4</v>
      </c>
      <c r="S11" s="24" t="s">
        <v>79</v>
      </c>
      <c r="T11" s="24" t="s">
        <v>115</v>
      </c>
      <c r="U11" s="34" t="str">
        <f>Sales_data!T11</f>
        <v>PRiya.patel@company.com</v>
      </c>
      <c r="V11" s="24">
        <v>9340540608</v>
      </c>
      <c r="W11" s="34" t="s">
        <v>2102</v>
      </c>
      <c r="X11" s="24">
        <v>12</v>
      </c>
      <c r="Y11" s="30" t="s">
        <v>2110</v>
      </c>
      <c r="Z11" s="29">
        <v>46108</v>
      </c>
      <c r="AA11" s="24" t="s">
        <v>2175</v>
      </c>
      <c r="AB11" s="24" t="s">
        <v>2108</v>
      </c>
      <c r="AC11" s="136" t="str">
        <f t="shared" si="0"/>
        <v>Pri002Mu</v>
      </c>
      <c r="AD11" s="136" t="str">
        <f t="shared" si="1"/>
        <v>priya.patel@company.com</v>
      </c>
    </row>
    <row r="12" spans="1:30">
      <c r="A12" s="24" t="s">
        <v>126</v>
      </c>
      <c r="B12" s="24" t="s">
        <v>127</v>
      </c>
      <c r="C12" s="24" t="s">
        <v>24</v>
      </c>
      <c r="D12" s="30">
        <v>45919</v>
      </c>
      <c r="E12" s="24" t="s">
        <v>129</v>
      </c>
      <c r="F12" s="136" t="str">
        <f>PROPER(TRIM(Sales_data!F12))</f>
        <v>Rohit Singh</v>
      </c>
      <c r="G12" s="30" t="s">
        <v>76</v>
      </c>
      <c r="H12" s="24" t="s">
        <v>131</v>
      </c>
      <c r="I12" s="24" t="s">
        <v>44</v>
      </c>
      <c r="J12" s="24" t="s">
        <v>45</v>
      </c>
      <c r="K12" s="24" t="s">
        <v>2113</v>
      </c>
      <c r="L12" s="24" t="s">
        <v>32</v>
      </c>
      <c r="M12" s="34" t="s">
        <v>33</v>
      </c>
      <c r="N12" s="37">
        <v>3</v>
      </c>
      <c r="O12" s="44">
        <v>1650</v>
      </c>
      <c r="P12" s="35">
        <v>0</v>
      </c>
      <c r="Q12" s="34">
        <v>4950</v>
      </c>
      <c r="R12" s="24">
        <v>2</v>
      </c>
      <c r="S12" s="24" t="s">
        <v>79</v>
      </c>
      <c r="T12" s="24" t="s">
        <v>49</v>
      </c>
      <c r="U12" s="34" t="str">
        <f>Sales_data!T12</f>
        <v>rohit.singh@company.com</v>
      </c>
      <c r="V12" s="24">
        <v>9521710321</v>
      </c>
      <c r="W12" s="34" t="s">
        <v>2101</v>
      </c>
      <c r="X12" s="24">
        <v>24</v>
      </c>
      <c r="Y12" s="30" t="s">
        <v>2112</v>
      </c>
      <c r="Z12" s="29">
        <v>46653</v>
      </c>
      <c r="AA12" s="24" t="s">
        <v>2176</v>
      </c>
      <c r="AB12" s="24" t="s">
        <v>2160</v>
      </c>
      <c r="AC12" s="136" t="str">
        <f t="shared" si="0"/>
        <v>Roh003De</v>
      </c>
      <c r="AD12" s="136" t="str">
        <f t="shared" si="1"/>
        <v>rohit.singh@company.com</v>
      </c>
    </row>
    <row r="13" spans="1:30">
      <c r="A13" s="24" t="s">
        <v>134</v>
      </c>
      <c r="B13" s="24" t="s">
        <v>23</v>
      </c>
      <c r="C13" s="24" t="s">
        <v>92</v>
      </c>
      <c r="D13" s="30">
        <v>45724</v>
      </c>
      <c r="E13" s="24" t="s">
        <v>136</v>
      </c>
      <c r="F13" s="136" t="str">
        <f>PROPER(TRIM(Sales_data!F13))</f>
        <v>Kavya Nair</v>
      </c>
      <c r="G13" s="30" t="s">
        <v>28</v>
      </c>
      <c r="H13" s="24" t="s">
        <v>29</v>
      </c>
      <c r="I13" s="24" t="s">
        <v>30</v>
      </c>
      <c r="J13" s="24" t="s">
        <v>31</v>
      </c>
      <c r="K13" s="24" t="s">
        <v>2111</v>
      </c>
      <c r="L13" s="24" t="s">
        <v>32</v>
      </c>
      <c r="M13" s="34" t="s">
        <v>97</v>
      </c>
      <c r="N13" s="37">
        <v>10</v>
      </c>
      <c r="O13" s="44">
        <v>2625</v>
      </c>
      <c r="P13" s="35">
        <v>0.05</v>
      </c>
      <c r="Q13" s="34">
        <v>24937.5</v>
      </c>
      <c r="R13" s="24">
        <v>5</v>
      </c>
      <c r="S13" s="24" t="s">
        <v>79</v>
      </c>
      <c r="T13" s="24" t="s">
        <v>61</v>
      </c>
      <c r="U13" s="34" t="str">
        <f>Sales_data!T13</f>
        <v>kavya.nair@company.com</v>
      </c>
      <c r="V13" s="24">
        <v>9123535241</v>
      </c>
      <c r="W13" s="34" t="s">
        <v>2101</v>
      </c>
      <c r="X13" s="24">
        <v>6</v>
      </c>
      <c r="Y13" s="30" t="s">
        <v>2108</v>
      </c>
      <c r="Z13" s="29">
        <v>45915</v>
      </c>
      <c r="AA13" s="24" t="s">
        <v>2171</v>
      </c>
      <c r="AB13" s="24" t="s">
        <v>2108</v>
      </c>
      <c r="AC13" s="136" t="str">
        <f t="shared" si="0"/>
        <v>Kav008Hy</v>
      </c>
      <c r="AD13" s="136" t="str">
        <f t="shared" si="1"/>
        <v>kavya.nair@company.com</v>
      </c>
    </row>
    <row r="14" spans="1:30">
      <c r="A14" s="24" t="s">
        <v>140</v>
      </c>
      <c r="B14" s="24" t="s">
        <v>100</v>
      </c>
      <c r="C14" s="24" t="s">
        <v>24</v>
      </c>
      <c r="D14" s="30">
        <v>45667</v>
      </c>
      <c r="E14" s="24" t="s">
        <v>142</v>
      </c>
      <c r="F14" s="136" t="str">
        <f>PROPER(TRIM(Sales_data!F14))</f>
        <v>Priya Patel</v>
      </c>
      <c r="G14" s="30" t="s">
        <v>28</v>
      </c>
      <c r="H14" s="24" t="s">
        <v>104</v>
      </c>
      <c r="I14" s="24" t="s">
        <v>105</v>
      </c>
      <c r="J14" s="24" t="s">
        <v>106</v>
      </c>
      <c r="K14" s="24" t="s">
        <v>2111</v>
      </c>
      <c r="L14" s="24" t="s">
        <v>32</v>
      </c>
      <c r="M14" s="34" t="s">
        <v>33</v>
      </c>
      <c r="N14" s="37">
        <v>15</v>
      </c>
      <c r="O14" s="44">
        <v>1650</v>
      </c>
      <c r="P14" s="35">
        <v>0.1</v>
      </c>
      <c r="Q14" s="34">
        <v>22275</v>
      </c>
      <c r="R14" s="24">
        <v>1</v>
      </c>
      <c r="S14" s="24" t="s">
        <v>2149</v>
      </c>
      <c r="T14" s="24" t="s">
        <v>115</v>
      </c>
      <c r="U14" s="34" t="str">
        <f>Sales_data!T14</f>
        <v>priya.patel@company.com</v>
      </c>
      <c r="V14" s="24">
        <v>9367316892</v>
      </c>
      <c r="W14" s="34" t="s">
        <v>2101</v>
      </c>
      <c r="X14" s="24">
        <v>24</v>
      </c>
      <c r="Y14" s="30" t="s">
        <v>2110</v>
      </c>
      <c r="Z14" s="29">
        <v>46402</v>
      </c>
      <c r="AA14" s="24" t="s">
        <v>2175</v>
      </c>
      <c r="AB14" s="24" t="s">
        <v>2160</v>
      </c>
      <c r="AC14" s="136" t="str">
        <f t="shared" si="0"/>
        <v>Pri002Mu</v>
      </c>
      <c r="AD14" s="136" t="str">
        <f t="shared" si="1"/>
        <v>priya.patel@company.com</v>
      </c>
    </row>
    <row r="15" spans="1:30">
      <c r="A15" s="24" t="s">
        <v>146</v>
      </c>
      <c r="B15" s="24" t="s">
        <v>127</v>
      </c>
      <c r="C15" s="24" t="s">
        <v>24</v>
      </c>
      <c r="D15" s="30">
        <v>45725</v>
      </c>
      <c r="E15" s="24" t="s">
        <v>148</v>
      </c>
      <c r="F15" s="136" t="str">
        <f>PROPER(TRIM(Sales_data!F15))</f>
        <v>Rohit Singh</v>
      </c>
      <c r="G15" s="30" t="s">
        <v>76</v>
      </c>
      <c r="H15" s="24" t="s">
        <v>131</v>
      </c>
      <c r="I15" s="24" t="s">
        <v>44</v>
      </c>
      <c r="J15" s="24" t="s">
        <v>45</v>
      </c>
      <c r="K15" s="24" t="s">
        <v>2113</v>
      </c>
      <c r="L15" s="24" t="s">
        <v>32</v>
      </c>
      <c r="M15" s="34" t="s">
        <v>33</v>
      </c>
      <c r="N15" s="37">
        <v>17</v>
      </c>
      <c r="O15" s="44">
        <v>1650</v>
      </c>
      <c r="P15" s="35">
        <v>0.05</v>
      </c>
      <c r="Q15" s="34">
        <v>26647.5</v>
      </c>
      <c r="R15" s="24">
        <v>1</v>
      </c>
      <c r="S15" s="24" t="s">
        <v>34</v>
      </c>
      <c r="T15" s="24" t="s">
        <v>151</v>
      </c>
      <c r="U15" s="34" t="str">
        <f>Sales_data!T15</f>
        <v>rOhit.singh@company.com</v>
      </c>
      <c r="V15" s="24">
        <v>9778489803</v>
      </c>
      <c r="W15" s="34" t="s">
        <v>2101</v>
      </c>
      <c r="X15" s="24">
        <v>24</v>
      </c>
      <c r="Y15" s="30" t="s">
        <v>2112</v>
      </c>
      <c r="Z15" s="29">
        <v>46459</v>
      </c>
      <c r="AA15" s="24" t="s">
        <v>2176</v>
      </c>
      <c r="AB15" s="24" t="s">
        <v>2160</v>
      </c>
      <c r="AC15" s="136" t="str">
        <f t="shared" si="0"/>
        <v>Roh003De</v>
      </c>
      <c r="AD15" s="136" t="str">
        <f t="shared" si="1"/>
        <v>rohit.singh@company.com</v>
      </c>
    </row>
    <row r="16" spans="1:30">
      <c r="A16" s="24" t="s">
        <v>154</v>
      </c>
      <c r="B16" s="24" t="s">
        <v>23</v>
      </c>
      <c r="C16" s="24" t="s">
        <v>92</v>
      </c>
      <c r="D16" s="30">
        <v>45864</v>
      </c>
      <c r="E16" s="24" t="s">
        <v>156</v>
      </c>
      <c r="F16" s="136" t="str">
        <f>PROPER(TRIM(Sales_data!F16))</f>
        <v>Kavya Nair</v>
      </c>
      <c r="G16" s="30" t="s">
        <v>28</v>
      </c>
      <c r="H16" s="24" t="s">
        <v>29</v>
      </c>
      <c r="I16" s="24" t="s">
        <v>30</v>
      </c>
      <c r="J16" s="24" t="s">
        <v>31</v>
      </c>
      <c r="K16" s="24" t="s">
        <v>2111</v>
      </c>
      <c r="L16" s="24" t="s">
        <v>32</v>
      </c>
      <c r="M16" s="34" t="s">
        <v>97</v>
      </c>
      <c r="N16" s="37">
        <v>15</v>
      </c>
      <c r="O16" s="44">
        <v>2625</v>
      </c>
      <c r="P16" s="35">
        <v>0.15</v>
      </c>
      <c r="Q16" s="34">
        <v>33468.75</v>
      </c>
      <c r="R16" s="24">
        <v>2</v>
      </c>
      <c r="S16" s="24" t="s">
        <v>34</v>
      </c>
      <c r="T16" s="24" t="s">
        <v>115</v>
      </c>
      <c r="U16" s="34" t="str">
        <f>Sales_data!T16</f>
        <v>kavya.nair@company.com</v>
      </c>
      <c r="V16" s="24">
        <v>9582960180</v>
      </c>
      <c r="W16" s="34" t="s">
        <v>2101</v>
      </c>
      <c r="X16" s="24">
        <v>6</v>
      </c>
      <c r="Y16" s="30" t="s">
        <v>2108</v>
      </c>
      <c r="Z16" s="29">
        <v>46060</v>
      </c>
      <c r="AA16" s="24" t="s">
        <v>2171</v>
      </c>
      <c r="AB16" s="24" t="s">
        <v>2160</v>
      </c>
      <c r="AC16" s="136" t="str">
        <f t="shared" si="0"/>
        <v>Kav008Hy</v>
      </c>
      <c r="AD16" s="136" t="str">
        <f t="shared" si="1"/>
        <v>kavya.nair@company.com</v>
      </c>
    </row>
    <row r="17" spans="1:30">
      <c r="A17" s="24" t="s">
        <v>160</v>
      </c>
      <c r="B17" s="24" t="s">
        <v>53</v>
      </c>
      <c r="C17" s="24" t="s">
        <v>72</v>
      </c>
      <c r="D17" s="30">
        <v>46120</v>
      </c>
      <c r="E17" s="24" t="s">
        <v>162</v>
      </c>
      <c r="F17" s="136" t="str">
        <f>PROPER(TRIM(Sales_data!F17))</f>
        <v>Pooja Shah</v>
      </c>
      <c r="G17" s="30" t="s">
        <v>28</v>
      </c>
      <c r="H17" s="24" t="s">
        <v>58</v>
      </c>
      <c r="I17" s="24" t="s">
        <v>59</v>
      </c>
      <c r="J17" s="24" t="s">
        <v>31</v>
      </c>
      <c r="K17" s="24" t="s">
        <v>2111</v>
      </c>
      <c r="L17" s="24" t="s">
        <v>46</v>
      </c>
      <c r="M17" s="34" t="s">
        <v>78</v>
      </c>
      <c r="N17" s="37">
        <v>3</v>
      </c>
      <c r="O17" s="44">
        <v>900</v>
      </c>
      <c r="P17" s="35">
        <v>0.05</v>
      </c>
      <c r="Q17" s="34">
        <v>2565</v>
      </c>
      <c r="R17" s="24">
        <v>5</v>
      </c>
      <c r="S17" s="24" t="s">
        <v>2149</v>
      </c>
      <c r="T17" s="24" t="s">
        <v>35</v>
      </c>
      <c r="U17" s="34" t="str">
        <f>Sales_data!T17</f>
        <v>pooja.shahcompany.com</v>
      </c>
      <c r="V17" s="24">
        <v>9611394005</v>
      </c>
      <c r="W17" s="34" t="s">
        <v>2100</v>
      </c>
      <c r="X17" s="24">
        <v>6</v>
      </c>
      <c r="Y17" s="30" t="s">
        <v>2108</v>
      </c>
      <c r="Z17" s="29">
        <v>46306</v>
      </c>
      <c r="AA17" s="24" t="s">
        <v>2172</v>
      </c>
      <c r="AB17" s="24" t="s">
        <v>2108</v>
      </c>
      <c r="AC17" s="136" t="str">
        <f t="shared" si="0"/>
        <v>Poo010Be</v>
      </c>
      <c r="AD17" s="136" t="str">
        <f t="shared" si="1"/>
        <v>Invalid Email</v>
      </c>
    </row>
    <row r="18" spans="1:30">
      <c r="A18" s="24" t="s">
        <v>167</v>
      </c>
      <c r="B18" s="24" t="s">
        <v>168</v>
      </c>
      <c r="C18" s="24" t="s">
        <v>169</v>
      </c>
      <c r="D18" s="30">
        <v>46075</v>
      </c>
      <c r="E18" s="24" t="s">
        <v>171</v>
      </c>
      <c r="F18" s="136" t="str">
        <f>PROPER(TRIM(Sales_data!F18))</f>
        <v>Amit Sharma</v>
      </c>
      <c r="G18" s="30" t="s">
        <v>28</v>
      </c>
      <c r="H18" s="24" t="s">
        <v>173</v>
      </c>
      <c r="I18" s="24" t="s">
        <v>114</v>
      </c>
      <c r="J18" s="24" t="s">
        <v>106</v>
      </c>
      <c r="K18" s="24" t="s">
        <v>2111</v>
      </c>
      <c r="L18" s="24" t="s">
        <v>32</v>
      </c>
      <c r="M18" s="34" t="s">
        <v>174</v>
      </c>
      <c r="N18" s="37">
        <v>13</v>
      </c>
      <c r="O18" s="44">
        <v>6375</v>
      </c>
      <c r="P18" s="35">
        <v>0.2</v>
      </c>
      <c r="Q18" s="34">
        <v>66300</v>
      </c>
      <c r="R18" s="24">
        <v>4</v>
      </c>
      <c r="S18" s="24" t="s">
        <v>79</v>
      </c>
      <c r="T18" s="24" t="s">
        <v>49</v>
      </c>
      <c r="U18" s="34" t="str">
        <f>Sales_data!T18</f>
        <v>anita.gupta@company.com</v>
      </c>
      <c r="V18" s="24">
        <v>9692599404</v>
      </c>
      <c r="W18" s="34" t="s">
        <v>2100</v>
      </c>
      <c r="X18" s="24">
        <v>24</v>
      </c>
      <c r="Y18" s="30" t="s">
        <v>2112</v>
      </c>
      <c r="Z18" s="29">
        <v>46815</v>
      </c>
      <c r="AA18" s="24" t="s">
        <v>2177</v>
      </c>
      <c r="AB18" s="24" t="s">
        <v>2112</v>
      </c>
      <c r="AC18" s="136" t="str">
        <f t="shared" si="0"/>
        <v>Ami004Pu</v>
      </c>
      <c r="AD18" s="136" t="str">
        <f t="shared" si="1"/>
        <v>anita.gupta@company.com</v>
      </c>
    </row>
    <row r="19" spans="1:30">
      <c r="A19" s="24" t="s">
        <v>177</v>
      </c>
      <c r="B19" s="24" t="s">
        <v>83</v>
      </c>
      <c r="C19" s="24" t="s">
        <v>169</v>
      </c>
      <c r="D19" s="30">
        <v>46081</v>
      </c>
      <c r="E19" s="24" t="s">
        <v>179</v>
      </c>
      <c r="F19" s="136" t="str">
        <f>PROPER(TRIM(Sales_data!F19))</f>
        <v>Arjun Rao</v>
      </c>
      <c r="G19" s="30" t="s">
        <v>76</v>
      </c>
      <c r="H19" s="24" t="s">
        <v>87</v>
      </c>
      <c r="I19" s="24" t="s">
        <v>30</v>
      </c>
      <c r="J19" s="24" t="s">
        <v>31</v>
      </c>
      <c r="K19" s="24" t="s">
        <v>2109</v>
      </c>
      <c r="L19" s="24" t="s">
        <v>32</v>
      </c>
      <c r="M19" s="34" t="s">
        <v>174</v>
      </c>
      <c r="N19" s="37">
        <v>4</v>
      </c>
      <c r="O19" s="44">
        <v>6375</v>
      </c>
      <c r="P19" s="35">
        <v>0.2</v>
      </c>
      <c r="Q19" s="34">
        <v>20400</v>
      </c>
      <c r="R19" s="24">
        <v>5</v>
      </c>
      <c r="S19" s="24" t="s">
        <v>79</v>
      </c>
      <c r="T19" s="24" t="s">
        <v>61</v>
      </c>
      <c r="U19" s="34" t="str">
        <f>Sales_data!T19</f>
        <v>arjun.rao@company.com</v>
      </c>
      <c r="V19" s="24">
        <v>9426119622</v>
      </c>
      <c r="W19" s="34" t="s">
        <v>2100</v>
      </c>
      <c r="X19" s="24">
        <v>24</v>
      </c>
      <c r="Y19" s="30" t="s">
        <v>2108</v>
      </c>
      <c r="Z19" s="29">
        <v>46817</v>
      </c>
      <c r="AA19" s="24" t="s">
        <v>2174</v>
      </c>
      <c r="AB19" s="24" t="s">
        <v>2108</v>
      </c>
      <c r="AC19" s="136" t="str">
        <f t="shared" si="0"/>
        <v>Arj007Hy</v>
      </c>
      <c r="AD19" s="136" t="str">
        <f t="shared" si="1"/>
        <v>arjun.rao@company.com</v>
      </c>
    </row>
    <row r="20" spans="1:30">
      <c r="A20" s="24" t="s">
        <v>183</v>
      </c>
      <c r="B20" s="24" t="s">
        <v>83</v>
      </c>
      <c r="C20" s="24" t="s">
        <v>184</v>
      </c>
      <c r="D20" s="30">
        <v>45992</v>
      </c>
      <c r="E20" s="24" t="s">
        <v>186</v>
      </c>
      <c r="F20" s="136" t="str">
        <f>PROPER(TRIM(Sales_data!F20))</f>
        <v>Arjun Rao</v>
      </c>
      <c r="G20" s="30" t="s">
        <v>76</v>
      </c>
      <c r="H20" s="24" t="s">
        <v>87</v>
      </c>
      <c r="I20" s="24" t="s">
        <v>30</v>
      </c>
      <c r="J20" s="24" t="s">
        <v>31</v>
      </c>
      <c r="K20" s="24" t="s">
        <v>2109</v>
      </c>
      <c r="L20" s="24" t="s">
        <v>46</v>
      </c>
      <c r="M20" s="34" t="s">
        <v>189</v>
      </c>
      <c r="N20" s="37">
        <v>9</v>
      </c>
      <c r="O20" s="44">
        <v>525</v>
      </c>
      <c r="P20" s="35">
        <v>0.05</v>
      </c>
      <c r="Q20" s="34">
        <v>4488.75</v>
      </c>
      <c r="R20" s="24">
        <v>3</v>
      </c>
      <c r="S20" s="24" t="s">
        <v>2149</v>
      </c>
      <c r="T20" s="24" t="s">
        <v>35</v>
      </c>
      <c r="U20" s="34" t="str">
        <f>Sales_data!T20</f>
        <v>arjun.Rao@company.com</v>
      </c>
      <c r="V20" s="24">
        <v>9184436009</v>
      </c>
      <c r="W20" s="34" t="s">
        <v>2100</v>
      </c>
      <c r="X20" s="24">
        <v>24</v>
      </c>
      <c r="Y20" s="30" t="s">
        <v>2108</v>
      </c>
      <c r="Z20" s="29">
        <v>46725</v>
      </c>
      <c r="AA20" s="24" t="s">
        <v>2174</v>
      </c>
      <c r="AB20" s="24" t="s">
        <v>2108</v>
      </c>
      <c r="AC20" s="136" t="str">
        <f t="shared" si="0"/>
        <v>Arj007Hy</v>
      </c>
      <c r="AD20" s="136" t="str">
        <f t="shared" si="1"/>
        <v>arjun.rao@company.com</v>
      </c>
    </row>
    <row r="21" spans="1:30">
      <c r="A21" s="24" t="s">
        <v>192</v>
      </c>
      <c r="B21" s="24" t="s">
        <v>23</v>
      </c>
      <c r="C21" s="24" t="s">
        <v>54</v>
      </c>
      <c r="D21" s="30">
        <v>45833</v>
      </c>
      <c r="E21" s="24" t="s">
        <v>194</v>
      </c>
      <c r="F21" s="136" t="str">
        <f>PROPER(TRIM(Sales_data!F21))</f>
        <v>Kavya Nair</v>
      </c>
      <c r="G21" s="30" t="s">
        <v>28</v>
      </c>
      <c r="H21" s="24" t="s">
        <v>29</v>
      </c>
      <c r="I21" s="24" t="s">
        <v>30</v>
      </c>
      <c r="J21" s="24" t="s">
        <v>31</v>
      </c>
      <c r="K21" s="24" t="s">
        <v>2111</v>
      </c>
      <c r="L21" s="24" t="s">
        <v>46</v>
      </c>
      <c r="M21" s="34" t="s">
        <v>60</v>
      </c>
      <c r="N21" s="37">
        <v>8</v>
      </c>
      <c r="O21" s="44">
        <v>41250</v>
      </c>
      <c r="P21" s="35">
        <v>0.2</v>
      </c>
      <c r="Q21" s="34">
        <v>264000</v>
      </c>
      <c r="R21" s="24">
        <v>1</v>
      </c>
      <c r="S21" s="24" t="s">
        <v>34</v>
      </c>
      <c r="T21" s="24" t="s">
        <v>151</v>
      </c>
      <c r="U21" s="34" t="str">
        <f>Sales_data!T21</f>
        <v>kavya.nair@company.com</v>
      </c>
      <c r="V21" s="24">
        <v>9263774934</v>
      </c>
      <c r="W21" s="34" t="s">
        <v>2100</v>
      </c>
      <c r="X21" s="24">
        <v>12</v>
      </c>
      <c r="Y21" s="30" t="s">
        <v>2108</v>
      </c>
      <c r="Z21" s="29">
        <v>46206</v>
      </c>
      <c r="AA21" s="24" t="s">
        <v>2171</v>
      </c>
      <c r="AB21" s="24" t="s">
        <v>2160</v>
      </c>
      <c r="AC21" s="136" t="str">
        <f t="shared" si="0"/>
        <v>Kav008Hy</v>
      </c>
      <c r="AD21" s="136" t="str">
        <f t="shared" si="1"/>
        <v>kavya.nair@company.com</v>
      </c>
    </row>
    <row r="22" spans="1:30">
      <c r="A22" s="24" t="s">
        <v>197</v>
      </c>
      <c r="B22" s="24" t="s">
        <v>127</v>
      </c>
      <c r="C22" s="24" t="s">
        <v>184</v>
      </c>
      <c r="D22" s="30">
        <v>45773</v>
      </c>
      <c r="E22" s="24" t="s">
        <v>199</v>
      </c>
      <c r="F22" s="136" t="str">
        <f>PROPER(TRIM(Sales_data!F22))</f>
        <v>Rohit Singh</v>
      </c>
      <c r="G22" s="30" t="s">
        <v>76</v>
      </c>
      <c r="H22" s="24" t="s">
        <v>131</v>
      </c>
      <c r="I22" s="24" t="s">
        <v>44</v>
      </c>
      <c r="J22" s="24" t="s">
        <v>45</v>
      </c>
      <c r="K22" s="24" t="s">
        <v>2113</v>
      </c>
      <c r="L22" s="24" t="s">
        <v>46</v>
      </c>
      <c r="M22" s="34" t="s">
        <v>189</v>
      </c>
      <c r="N22" s="37">
        <v>10</v>
      </c>
      <c r="O22" s="44">
        <v>525</v>
      </c>
      <c r="P22" s="35">
        <v>0.2</v>
      </c>
      <c r="Q22" s="34">
        <v>4200</v>
      </c>
      <c r="R22" s="24">
        <v>4</v>
      </c>
      <c r="S22" s="24" t="s">
        <v>79</v>
      </c>
      <c r="T22" s="24" t="s">
        <v>61</v>
      </c>
      <c r="U22" s="34" t="str">
        <f>Sales_data!T22</f>
        <v>rohit.singh@company.com</v>
      </c>
      <c r="V22" s="24">
        <v>9473159572</v>
      </c>
      <c r="W22" s="34" t="s">
        <v>2100</v>
      </c>
      <c r="X22" s="24">
        <v>24</v>
      </c>
      <c r="Y22" s="30" t="s">
        <v>2112</v>
      </c>
      <c r="Z22" s="29">
        <v>46512</v>
      </c>
      <c r="AA22" s="24" t="s">
        <v>2176</v>
      </c>
      <c r="AB22" s="24" t="s">
        <v>2108</v>
      </c>
      <c r="AC22" s="136" t="str">
        <f t="shared" si="0"/>
        <v>Roh003De</v>
      </c>
      <c r="AD22" s="136" t="str">
        <f t="shared" si="1"/>
        <v>rohit.singh@company.com</v>
      </c>
    </row>
    <row r="23" spans="1:30">
      <c r="A23" s="24" t="s">
        <v>204</v>
      </c>
      <c r="B23" s="24" t="s">
        <v>23</v>
      </c>
      <c r="C23" s="24" t="s">
        <v>92</v>
      </c>
      <c r="D23" s="30">
        <v>45660</v>
      </c>
      <c r="E23" s="24" t="s">
        <v>206</v>
      </c>
      <c r="F23" s="136" t="str">
        <f>PROPER(TRIM(Sales_data!F23))</f>
        <v>Kavya Nair</v>
      </c>
      <c r="G23" s="30" t="s">
        <v>28</v>
      </c>
      <c r="H23" s="24" t="s">
        <v>29</v>
      </c>
      <c r="I23" s="24" t="s">
        <v>30</v>
      </c>
      <c r="J23" s="24" t="s">
        <v>31</v>
      </c>
      <c r="K23" s="24" t="s">
        <v>2111</v>
      </c>
      <c r="L23" s="24" t="s">
        <v>32</v>
      </c>
      <c r="M23" s="34" t="s">
        <v>97</v>
      </c>
      <c r="N23" s="37">
        <v>1</v>
      </c>
      <c r="O23" s="44">
        <v>2625</v>
      </c>
      <c r="P23" s="35">
        <v>0.05</v>
      </c>
      <c r="Q23" s="34">
        <v>2493.75</v>
      </c>
      <c r="R23" s="24">
        <v>3</v>
      </c>
      <c r="S23" s="24" t="s">
        <v>2149</v>
      </c>
      <c r="T23" s="24" t="s">
        <v>115</v>
      </c>
      <c r="U23" s="34" t="str">
        <f>Sales_data!T23</f>
        <v>kavya.nair@company.com</v>
      </c>
      <c r="V23" s="24">
        <v>9660493688</v>
      </c>
      <c r="W23" s="34" t="s">
        <v>2101</v>
      </c>
      <c r="X23" s="24">
        <v>6</v>
      </c>
      <c r="Y23" s="30" t="s">
        <v>2108</v>
      </c>
      <c r="Z23" s="29">
        <v>45846</v>
      </c>
      <c r="AA23" s="24" t="s">
        <v>2171</v>
      </c>
      <c r="AB23" s="24" t="s">
        <v>2108</v>
      </c>
      <c r="AC23" s="136" t="str">
        <f t="shared" si="0"/>
        <v>Kav008Hy</v>
      </c>
      <c r="AD23" s="136" t="str">
        <f t="shared" si="1"/>
        <v>kavya.nair@company.com</v>
      </c>
    </row>
    <row r="24" spans="1:30">
      <c r="A24" s="24" t="s">
        <v>209</v>
      </c>
      <c r="B24" s="24" t="s">
        <v>100</v>
      </c>
      <c r="C24" s="24" t="s">
        <v>184</v>
      </c>
      <c r="D24" s="30">
        <v>45766</v>
      </c>
      <c r="E24" s="24" t="s">
        <v>210</v>
      </c>
      <c r="F24" s="136" t="str">
        <f>PROPER(TRIM(Sales_data!F24))</f>
        <v>Priya Patel</v>
      </c>
      <c r="G24" s="30" t="s">
        <v>28</v>
      </c>
      <c r="H24" s="24" t="s">
        <v>104</v>
      </c>
      <c r="I24" s="24" t="s">
        <v>105</v>
      </c>
      <c r="J24" s="24" t="s">
        <v>106</v>
      </c>
      <c r="K24" s="24" t="s">
        <v>2111</v>
      </c>
      <c r="L24" s="24" t="s">
        <v>46</v>
      </c>
      <c r="M24" s="34" t="s">
        <v>189</v>
      </c>
      <c r="N24" s="37">
        <v>19</v>
      </c>
      <c r="O24" s="44">
        <v>525</v>
      </c>
      <c r="P24" s="35">
        <v>0.15</v>
      </c>
      <c r="Q24" s="34">
        <v>8478.75</v>
      </c>
      <c r="R24" s="24">
        <v>3</v>
      </c>
      <c r="S24" s="24" t="s">
        <v>2148</v>
      </c>
      <c r="T24" s="24" t="s">
        <v>151</v>
      </c>
      <c r="U24" s="34" t="str">
        <f>Sales_data!T24</f>
        <v>priya.patel@company.com</v>
      </c>
      <c r="V24" s="24">
        <v>9513325819</v>
      </c>
      <c r="W24" s="34" t="s">
        <v>2100</v>
      </c>
      <c r="X24" s="24">
        <v>24</v>
      </c>
      <c r="Y24" s="30" t="s">
        <v>2110</v>
      </c>
      <c r="Z24" s="29">
        <v>46507</v>
      </c>
      <c r="AA24" s="24" t="s">
        <v>2175</v>
      </c>
      <c r="AB24" s="24" t="s">
        <v>2108</v>
      </c>
      <c r="AC24" s="136" t="str">
        <f t="shared" si="0"/>
        <v>Pri002Mu</v>
      </c>
      <c r="AD24" s="136" t="str">
        <f t="shared" si="1"/>
        <v>priya.patel@company.com</v>
      </c>
    </row>
    <row r="25" spans="1:30">
      <c r="A25" s="24" t="s">
        <v>214</v>
      </c>
      <c r="B25" s="24" t="s">
        <v>71</v>
      </c>
      <c r="C25" s="24" t="s">
        <v>54</v>
      </c>
      <c r="D25" s="30">
        <v>46013</v>
      </c>
      <c r="E25" s="24" t="s">
        <v>216</v>
      </c>
      <c r="F25" s="136" t="str">
        <f>PROPER(TRIM(Sales_data!F25))</f>
        <v>Mohit Verma</v>
      </c>
      <c r="G25" s="30" t="s">
        <v>76</v>
      </c>
      <c r="H25" s="24" t="s">
        <v>77</v>
      </c>
      <c r="I25" s="24" t="s">
        <v>44</v>
      </c>
      <c r="J25" s="24" t="s">
        <v>45</v>
      </c>
      <c r="K25" s="24" t="s">
        <v>2114</v>
      </c>
      <c r="L25" s="24" t="s">
        <v>46</v>
      </c>
      <c r="M25" s="34" t="s">
        <v>60</v>
      </c>
      <c r="N25" s="37">
        <v>12</v>
      </c>
      <c r="O25" s="44">
        <v>41250</v>
      </c>
      <c r="P25" s="35">
        <v>0</v>
      </c>
      <c r="Q25" s="34">
        <v>495000</v>
      </c>
      <c r="R25" s="24">
        <v>1</v>
      </c>
      <c r="S25" s="24" t="s">
        <v>79</v>
      </c>
      <c r="T25" s="24" t="s">
        <v>49</v>
      </c>
      <c r="U25" s="34" t="str">
        <f>Sales_data!T25</f>
        <v>mohit.verma@company.com</v>
      </c>
      <c r="V25" s="24">
        <v>9641063242</v>
      </c>
      <c r="W25" s="34" t="s">
        <v>2100</v>
      </c>
      <c r="X25" s="24">
        <v>12</v>
      </c>
      <c r="Y25" s="30" t="s">
        <v>2110</v>
      </c>
      <c r="Z25" s="29">
        <v>46388</v>
      </c>
      <c r="AA25" s="24" t="s">
        <v>2173</v>
      </c>
      <c r="AB25" s="24" t="s">
        <v>2160</v>
      </c>
      <c r="AC25" s="136" t="str">
        <f t="shared" si="0"/>
        <v>Moh009De</v>
      </c>
      <c r="AD25" s="136" t="str">
        <f t="shared" si="1"/>
        <v>mohit.verma@company.com</v>
      </c>
    </row>
    <row r="26" spans="1:30">
      <c r="A26" s="24" t="s">
        <v>220</v>
      </c>
      <c r="B26" s="24" t="s">
        <v>221</v>
      </c>
      <c r="C26" s="24" t="s">
        <v>222</v>
      </c>
      <c r="D26" s="30">
        <v>46121</v>
      </c>
      <c r="E26" s="24" t="s">
        <v>224</v>
      </c>
      <c r="F26" s="136" t="str">
        <f>PROPER(TRIM(Sales_data!F26))</f>
        <v>Vikas Mehta</v>
      </c>
      <c r="G26" s="30" t="s">
        <v>76</v>
      </c>
      <c r="H26" s="24" t="s">
        <v>226</v>
      </c>
      <c r="I26" s="24" t="s">
        <v>105</v>
      </c>
      <c r="J26" s="24" t="s">
        <v>106</v>
      </c>
      <c r="K26" s="24" t="s">
        <v>2113</v>
      </c>
      <c r="L26" s="24" t="s">
        <v>122</v>
      </c>
      <c r="M26" s="34" t="s">
        <v>227</v>
      </c>
      <c r="N26" s="37">
        <v>1</v>
      </c>
      <c r="O26" s="44">
        <v>15</v>
      </c>
      <c r="P26" s="35">
        <v>0.05</v>
      </c>
      <c r="Q26" s="34">
        <v>14.25</v>
      </c>
      <c r="R26" s="24">
        <v>5</v>
      </c>
      <c r="S26" s="24" t="s">
        <v>79</v>
      </c>
      <c r="T26" s="24" t="s">
        <v>35</v>
      </c>
      <c r="U26" s="34" t="str">
        <f>Sales_data!T26</f>
        <v>vikas.mehta@company.com</v>
      </c>
      <c r="V26" s="24">
        <v>9277372518</v>
      </c>
      <c r="W26" s="34" t="s">
        <v>2103</v>
      </c>
      <c r="X26" s="24">
        <v>12</v>
      </c>
      <c r="Y26" s="30" t="s">
        <v>2112</v>
      </c>
      <c r="Z26" s="29">
        <v>46497</v>
      </c>
      <c r="AA26" s="24" t="s">
        <v>2171</v>
      </c>
      <c r="AB26" s="24" t="s">
        <v>2108</v>
      </c>
      <c r="AC26" s="136" t="str">
        <f t="shared" si="0"/>
        <v>Vik005Mu</v>
      </c>
      <c r="AD26" s="136" t="str">
        <f t="shared" si="1"/>
        <v>vikas.mehta@company.com</v>
      </c>
    </row>
    <row r="27" spans="1:30">
      <c r="A27" s="24" t="s">
        <v>230</v>
      </c>
      <c r="B27" s="24" t="s">
        <v>83</v>
      </c>
      <c r="C27" s="24" t="s">
        <v>222</v>
      </c>
      <c r="D27" s="30">
        <v>45832</v>
      </c>
      <c r="E27" s="24" t="s">
        <v>232</v>
      </c>
      <c r="F27" s="136" t="str">
        <f>PROPER(TRIM(Sales_data!F27))</f>
        <v>Arjun Rao</v>
      </c>
      <c r="G27" s="30" t="s">
        <v>76</v>
      </c>
      <c r="H27" s="24" t="s">
        <v>87</v>
      </c>
      <c r="I27" s="24" t="s">
        <v>30</v>
      </c>
      <c r="J27" s="24" t="s">
        <v>31</v>
      </c>
      <c r="K27" s="24" t="s">
        <v>2109</v>
      </c>
      <c r="L27" s="24" t="s">
        <v>122</v>
      </c>
      <c r="M27" s="34" t="s">
        <v>227</v>
      </c>
      <c r="N27" s="37">
        <v>2</v>
      </c>
      <c r="O27" s="44">
        <v>15</v>
      </c>
      <c r="P27" s="35">
        <v>0.15</v>
      </c>
      <c r="Q27" s="34">
        <v>25.5</v>
      </c>
      <c r="R27" s="24">
        <v>1</v>
      </c>
      <c r="S27" s="24" t="s">
        <v>2149</v>
      </c>
      <c r="T27" s="24" t="s">
        <v>35</v>
      </c>
      <c r="U27" s="34" t="str">
        <f>Sales_data!T27</f>
        <v>arjun.rao@company.com</v>
      </c>
      <c r="V27" s="24">
        <v>9193154372</v>
      </c>
      <c r="W27" s="34" t="s">
        <v>2103</v>
      </c>
      <c r="X27" s="24">
        <v>12</v>
      </c>
      <c r="Y27" s="30" t="s">
        <v>2108</v>
      </c>
      <c r="Z27" s="29">
        <v>46205</v>
      </c>
      <c r="AA27" s="24" t="s">
        <v>2174</v>
      </c>
      <c r="AB27" s="24" t="s">
        <v>2160</v>
      </c>
      <c r="AC27" s="136" t="str">
        <f t="shared" si="0"/>
        <v>Arj007Hy</v>
      </c>
      <c r="AD27" s="136" t="str">
        <f t="shared" si="1"/>
        <v>arjun.rao@company.com</v>
      </c>
    </row>
    <row r="28" spans="1:30">
      <c r="A28" s="24" t="s">
        <v>235</v>
      </c>
      <c r="B28" s="24" t="s">
        <v>71</v>
      </c>
      <c r="C28" s="24" t="s">
        <v>92</v>
      </c>
      <c r="D28" s="30">
        <v>45799</v>
      </c>
      <c r="E28" s="24" t="s">
        <v>237</v>
      </c>
      <c r="F28" s="136" t="str">
        <f>PROPER(TRIM(Sales_data!F28))</f>
        <v>Mohit Verma</v>
      </c>
      <c r="G28" s="30" t="s">
        <v>76</v>
      </c>
      <c r="H28" s="24" t="s">
        <v>77</v>
      </c>
      <c r="I28" s="24" t="s">
        <v>44</v>
      </c>
      <c r="J28" s="24" t="s">
        <v>45</v>
      </c>
      <c r="K28" s="24" t="s">
        <v>2114</v>
      </c>
      <c r="L28" s="24" t="s">
        <v>32</v>
      </c>
      <c r="M28" s="34" t="s">
        <v>97</v>
      </c>
      <c r="N28" s="37">
        <v>12</v>
      </c>
      <c r="O28" s="44">
        <v>2625</v>
      </c>
      <c r="P28" s="35">
        <v>0.15</v>
      </c>
      <c r="Q28" s="34">
        <v>26775</v>
      </c>
      <c r="R28" s="24">
        <v>4</v>
      </c>
      <c r="S28" s="24" t="s">
        <v>34</v>
      </c>
      <c r="T28" s="24" t="s">
        <v>49</v>
      </c>
      <c r="U28" s="34" t="str">
        <f>Sales_data!T28</f>
        <v>mohit.verma@company.com</v>
      </c>
      <c r="V28" s="24">
        <v>9400073244</v>
      </c>
      <c r="W28" s="34" t="s">
        <v>2101</v>
      </c>
      <c r="X28" s="24">
        <v>6</v>
      </c>
      <c r="Y28" s="30" t="s">
        <v>2110</v>
      </c>
      <c r="Z28" s="29">
        <v>45986</v>
      </c>
      <c r="AA28" s="24" t="s">
        <v>2173</v>
      </c>
      <c r="AB28" s="24" t="s">
        <v>2108</v>
      </c>
      <c r="AC28" s="136" t="str">
        <f t="shared" si="0"/>
        <v>Moh009De</v>
      </c>
      <c r="AD28" s="136" t="str">
        <f t="shared" si="1"/>
        <v>mohit.verma@company.com</v>
      </c>
    </row>
    <row r="29" spans="1:30">
      <c r="A29" s="24" t="s">
        <v>240</v>
      </c>
      <c r="B29" s="24" t="s">
        <v>23</v>
      </c>
      <c r="C29" s="24" t="s">
        <v>72</v>
      </c>
      <c r="D29" s="30">
        <v>46094</v>
      </c>
      <c r="E29" s="24" t="s">
        <v>242</v>
      </c>
      <c r="F29" s="136" t="str">
        <f>PROPER(TRIM(Sales_data!F29))</f>
        <v>Kavya Nair</v>
      </c>
      <c r="G29" s="30" t="s">
        <v>28</v>
      </c>
      <c r="H29" s="24" t="s">
        <v>29</v>
      </c>
      <c r="I29" s="24" t="s">
        <v>30</v>
      </c>
      <c r="J29" s="24" t="s">
        <v>31</v>
      </c>
      <c r="K29" s="24" t="s">
        <v>2111</v>
      </c>
      <c r="L29" s="24" t="s">
        <v>46</v>
      </c>
      <c r="M29" s="34" t="s">
        <v>78</v>
      </c>
      <c r="N29" s="37">
        <v>11</v>
      </c>
      <c r="O29" s="44">
        <v>900</v>
      </c>
      <c r="P29" s="35">
        <v>0</v>
      </c>
      <c r="Q29" s="34">
        <v>9900</v>
      </c>
      <c r="R29" s="24">
        <v>2</v>
      </c>
      <c r="S29" s="24" t="s">
        <v>2149</v>
      </c>
      <c r="T29" s="24" t="s">
        <v>151</v>
      </c>
      <c r="U29" s="34" t="str">
        <f>Sales_data!T29</f>
        <v>kavya.nair@company.com</v>
      </c>
      <c r="V29" s="24">
        <v>9771556720</v>
      </c>
      <c r="W29" s="34" t="s">
        <v>2100</v>
      </c>
      <c r="X29" s="24">
        <v>6</v>
      </c>
      <c r="Y29" s="30" t="s">
        <v>2108</v>
      </c>
      <c r="Z29" s="29">
        <v>46285</v>
      </c>
      <c r="AA29" s="24" t="s">
        <v>2171</v>
      </c>
      <c r="AB29" s="24" t="s">
        <v>2160</v>
      </c>
      <c r="AC29" s="136" t="str">
        <f t="shared" si="0"/>
        <v>Kav008Hy</v>
      </c>
      <c r="AD29" s="136" t="str">
        <f t="shared" si="1"/>
        <v>kavya.nair@company.com</v>
      </c>
    </row>
    <row r="30" spans="1:30">
      <c r="A30" s="24" t="s">
        <v>245</v>
      </c>
      <c r="B30" s="24" t="s">
        <v>127</v>
      </c>
      <c r="C30" s="24" t="s">
        <v>169</v>
      </c>
      <c r="D30" s="30">
        <v>45908</v>
      </c>
      <c r="E30" s="24" t="s">
        <v>247</v>
      </c>
      <c r="F30" s="136" t="str">
        <f>PROPER(TRIM(Sales_data!F30))</f>
        <v>Rohit Singh</v>
      </c>
      <c r="G30" s="30" t="s">
        <v>76</v>
      </c>
      <c r="H30" s="24" t="s">
        <v>131</v>
      </c>
      <c r="I30" s="24" t="s">
        <v>44</v>
      </c>
      <c r="J30" s="24" t="s">
        <v>45</v>
      </c>
      <c r="K30" s="24" t="s">
        <v>2113</v>
      </c>
      <c r="L30" s="24" t="s">
        <v>32</v>
      </c>
      <c r="M30" s="34" t="s">
        <v>174</v>
      </c>
      <c r="N30" s="37">
        <v>6</v>
      </c>
      <c r="O30" s="44">
        <v>6375</v>
      </c>
      <c r="P30" s="35">
        <v>0.65</v>
      </c>
      <c r="Q30" s="34">
        <v>13387.5</v>
      </c>
      <c r="R30" s="24">
        <v>1</v>
      </c>
      <c r="S30" s="24" t="s">
        <v>79</v>
      </c>
      <c r="T30" s="24" t="s">
        <v>61</v>
      </c>
      <c r="U30" s="34" t="str">
        <f>Sales_data!T30</f>
        <v>rohit.singh@company.com</v>
      </c>
      <c r="V30" s="24">
        <v>9127480734</v>
      </c>
      <c r="W30" s="34" t="s">
        <v>2100</v>
      </c>
      <c r="X30" s="24">
        <v>24</v>
      </c>
      <c r="Y30" s="30" t="s">
        <v>2112</v>
      </c>
      <c r="Z30" s="29">
        <v>46650</v>
      </c>
      <c r="AA30" s="24" t="s">
        <v>2176</v>
      </c>
      <c r="AB30" s="24" t="s">
        <v>2160</v>
      </c>
      <c r="AC30" s="136" t="str">
        <f t="shared" si="0"/>
        <v>Roh003De</v>
      </c>
      <c r="AD30" s="136" t="str">
        <f t="shared" si="1"/>
        <v>rohit.singh@company.com</v>
      </c>
    </row>
    <row r="31" spans="1:30">
      <c r="A31" s="24" t="s">
        <v>250</v>
      </c>
      <c r="B31" s="24" t="s">
        <v>251</v>
      </c>
      <c r="C31" s="24" t="s">
        <v>118</v>
      </c>
      <c r="D31" s="30">
        <v>46033</v>
      </c>
      <c r="E31" s="24" t="s">
        <v>253</v>
      </c>
      <c r="F31" s="136" t="str">
        <f>PROPER(TRIM(Sales_data!F31))</f>
        <v>Sneha Joshi</v>
      </c>
      <c r="G31" s="30" t="s">
        <v>28</v>
      </c>
      <c r="H31" s="24" t="s">
        <v>255</v>
      </c>
      <c r="I31" s="24" t="s">
        <v>114</v>
      </c>
      <c r="J31" s="24" t="s">
        <v>106</v>
      </c>
      <c r="K31" s="24" t="s">
        <v>2111</v>
      </c>
      <c r="L31" s="24" t="s">
        <v>122</v>
      </c>
      <c r="M31" s="34" t="s">
        <v>123</v>
      </c>
      <c r="N31" s="37">
        <v>2</v>
      </c>
      <c r="O31" s="44">
        <v>45</v>
      </c>
      <c r="P31" s="35">
        <v>0.05</v>
      </c>
      <c r="Q31" s="34">
        <v>85.5</v>
      </c>
      <c r="R31" s="24">
        <v>3</v>
      </c>
      <c r="S31" s="24" t="s">
        <v>34</v>
      </c>
      <c r="T31" s="24" t="s">
        <v>151</v>
      </c>
      <c r="U31" s="34" t="str">
        <f>Sales_data!T31</f>
        <v>sneha.joshi@company.com</v>
      </c>
      <c r="V31" s="24">
        <v>9512997042</v>
      </c>
      <c r="W31" s="34" t="s">
        <v>2102</v>
      </c>
      <c r="X31" s="24">
        <v>12</v>
      </c>
      <c r="Y31" s="30" t="s">
        <v>2112</v>
      </c>
      <c r="Z31" s="29">
        <v>46403</v>
      </c>
      <c r="AA31" s="24" t="s">
        <v>2173</v>
      </c>
      <c r="AB31" s="24" t="s">
        <v>2108</v>
      </c>
      <c r="AC31" s="136" t="str">
        <f t="shared" si="0"/>
        <v>Sne006Pu</v>
      </c>
      <c r="AD31" s="136" t="str">
        <f t="shared" si="1"/>
        <v>sneha.joshi@company.com</v>
      </c>
    </row>
    <row r="32" spans="1:30">
      <c r="A32" s="24" t="s">
        <v>258</v>
      </c>
      <c r="B32" s="24" t="s">
        <v>23</v>
      </c>
      <c r="C32" s="24" t="s">
        <v>259</v>
      </c>
      <c r="D32" s="30">
        <v>45824</v>
      </c>
      <c r="E32" s="24" t="s">
        <v>261</v>
      </c>
      <c r="F32" s="136" t="str">
        <f>PROPER(TRIM(Sales_data!F32))</f>
        <v>Kavya Nair</v>
      </c>
      <c r="G32" s="30" t="s">
        <v>28</v>
      </c>
      <c r="H32" s="24" t="s">
        <v>29</v>
      </c>
      <c r="I32" s="24" t="s">
        <v>30</v>
      </c>
      <c r="J32" s="24" t="s">
        <v>31</v>
      </c>
      <c r="K32" s="24" t="s">
        <v>2111</v>
      </c>
      <c r="L32" s="24" t="s">
        <v>122</v>
      </c>
      <c r="M32" s="34" t="s">
        <v>263</v>
      </c>
      <c r="N32" s="37">
        <v>19</v>
      </c>
      <c r="O32" s="44">
        <v>33.75</v>
      </c>
      <c r="P32" s="35">
        <v>0.2</v>
      </c>
      <c r="Q32" s="34">
        <v>513</v>
      </c>
      <c r="R32" s="24">
        <v>4</v>
      </c>
      <c r="S32" s="24" t="s">
        <v>2148</v>
      </c>
      <c r="T32" s="24" t="s">
        <v>61</v>
      </c>
      <c r="U32" s="34" t="str">
        <f>Sales_data!T32</f>
        <v>kavya.nair@company.com</v>
      </c>
      <c r="V32" s="24">
        <v>9372748661</v>
      </c>
      <c r="W32" s="34" t="s">
        <v>2100</v>
      </c>
      <c r="X32" s="24">
        <v>12</v>
      </c>
      <c r="Y32" s="30" t="s">
        <v>2108</v>
      </c>
      <c r="Z32" s="29">
        <v>46199</v>
      </c>
      <c r="AA32" s="24" t="s">
        <v>2171</v>
      </c>
      <c r="AB32" s="24" t="s">
        <v>2108</v>
      </c>
      <c r="AC32" s="136" t="str">
        <f t="shared" si="0"/>
        <v>Kav008Hy</v>
      </c>
      <c r="AD32" s="136" t="str">
        <f t="shared" si="1"/>
        <v>kavya.nair@company.com</v>
      </c>
    </row>
    <row r="33" spans="1:30">
      <c r="A33" s="24" t="s">
        <v>265</v>
      </c>
      <c r="B33" s="24" t="s">
        <v>100</v>
      </c>
      <c r="C33" s="24" t="s">
        <v>40</v>
      </c>
      <c r="D33" s="30">
        <v>45839</v>
      </c>
      <c r="E33" s="24" t="s">
        <v>267</v>
      </c>
      <c r="F33" s="136" t="str">
        <f>PROPER(TRIM(Sales_data!F33))</f>
        <v>Priya Patel</v>
      </c>
      <c r="G33" s="30" t="s">
        <v>28</v>
      </c>
      <c r="H33" s="24" t="s">
        <v>104</v>
      </c>
      <c r="I33" s="24" t="s">
        <v>105</v>
      </c>
      <c r="J33" s="24" t="s">
        <v>106</v>
      </c>
      <c r="K33" s="24" t="s">
        <v>2111</v>
      </c>
      <c r="L33" s="24" t="s">
        <v>46</v>
      </c>
      <c r="M33" s="34" t="s">
        <v>47</v>
      </c>
      <c r="N33" s="37">
        <v>11</v>
      </c>
      <c r="O33" s="44">
        <v>9000</v>
      </c>
      <c r="P33" s="35">
        <v>0</v>
      </c>
      <c r="Q33" s="34">
        <v>99000</v>
      </c>
      <c r="R33" s="24">
        <v>3</v>
      </c>
      <c r="S33" s="24" t="s">
        <v>2149</v>
      </c>
      <c r="T33" s="24" t="s">
        <v>35</v>
      </c>
      <c r="U33" s="34" t="str">
        <f>Sales_data!T33</f>
        <v>priya.patel@company.com</v>
      </c>
      <c r="V33" s="24">
        <v>9570437805</v>
      </c>
      <c r="W33" s="34" t="s">
        <v>2101</v>
      </c>
      <c r="X33" s="24">
        <v>24</v>
      </c>
      <c r="Y33" s="30" t="s">
        <v>2110</v>
      </c>
      <c r="Z33" s="29">
        <v>46581</v>
      </c>
      <c r="AA33" s="24" t="s">
        <v>2175</v>
      </c>
      <c r="AB33" s="24" t="s">
        <v>2112</v>
      </c>
      <c r="AC33" s="136" t="str">
        <f t="shared" si="0"/>
        <v>Pri002Mu</v>
      </c>
      <c r="AD33" s="136" t="str">
        <f t="shared" si="1"/>
        <v>priya.patel@company.com</v>
      </c>
    </row>
    <row r="34" spans="1:30">
      <c r="A34" s="24" t="s">
        <v>271</v>
      </c>
      <c r="B34" s="24" t="s">
        <v>251</v>
      </c>
      <c r="C34" s="24" t="s">
        <v>24</v>
      </c>
      <c r="D34" s="30">
        <v>45723</v>
      </c>
      <c r="E34" s="24" t="s">
        <v>136</v>
      </c>
      <c r="F34" s="136" t="str">
        <f>PROPER(TRIM(Sales_data!F34))</f>
        <v>Sneha Joshi</v>
      </c>
      <c r="G34" s="30" t="s">
        <v>28</v>
      </c>
      <c r="H34" s="24" t="s">
        <v>255</v>
      </c>
      <c r="I34" s="24" t="s">
        <v>114</v>
      </c>
      <c r="J34" s="24" t="s">
        <v>106</v>
      </c>
      <c r="K34" s="24" t="s">
        <v>2111</v>
      </c>
      <c r="L34" s="24" t="s">
        <v>32</v>
      </c>
      <c r="M34" s="34" t="s">
        <v>33</v>
      </c>
      <c r="N34" s="37">
        <v>20</v>
      </c>
      <c r="O34" s="44">
        <v>1650</v>
      </c>
      <c r="P34" s="35">
        <v>0.05</v>
      </c>
      <c r="Q34" s="34">
        <v>31350</v>
      </c>
      <c r="R34" s="24">
        <v>1</v>
      </c>
      <c r="S34" s="24" t="s">
        <v>34</v>
      </c>
      <c r="T34" s="24" t="s">
        <v>49</v>
      </c>
      <c r="U34" s="34" t="str">
        <f>Sales_data!T34</f>
        <v>sneha.joshi@company.com</v>
      </c>
      <c r="V34" s="24">
        <v>9310669113</v>
      </c>
      <c r="W34" s="34" t="s">
        <v>2101</v>
      </c>
      <c r="X34" s="24">
        <v>24</v>
      </c>
      <c r="Y34" s="30" t="s">
        <v>2112</v>
      </c>
      <c r="Z34" s="29">
        <v>46461</v>
      </c>
      <c r="AA34" s="24" t="s">
        <v>2173</v>
      </c>
      <c r="AB34" s="24" t="s">
        <v>2160</v>
      </c>
      <c r="AC34" s="136" t="str">
        <f t="shared" si="0"/>
        <v>Sne006Pu</v>
      </c>
      <c r="AD34" s="136" t="str">
        <f t="shared" si="1"/>
        <v>sneha.joshi@company.com</v>
      </c>
    </row>
    <row r="35" spans="1:30">
      <c r="A35" s="24" t="s">
        <v>275</v>
      </c>
      <c r="B35" s="24" t="s">
        <v>83</v>
      </c>
      <c r="C35" s="24" t="s">
        <v>222</v>
      </c>
      <c r="D35" s="30">
        <v>45832</v>
      </c>
      <c r="E35" s="24" t="s">
        <v>276</v>
      </c>
      <c r="F35" s="136" t="str">
        <f>PROPER(TRIM(Sales_data!F35))</f>
        <v>Arjun Rao</v>
      </c>
      <c r="G35" s="30" t="s">
        <v>76</v>
      </c>
      <c r="H35" s="24" t="s">
        <v>87</v>
      </c>
      <c r="I35" s="24" t="s">
        <v>30</v>
      </c>
      <c r="J35" s="24" t="s">
        <v>31</v>
      </c>
      <c r="K35" s="24" t="s">
        <v>2109</v>
      </c>
      <c r="L35" s="24" t="s">
        <v>122</v>
      </c>
      <c r="M35" s="34" t="s">
        <v>227</v>
      </c>
      <c r="N35" s="37">
        <v>3</v>
      </c>
      <c r="O35" s="44">
        <v>15</v>
      </c>
      <c r="P35" s="35">
        <v>0</v>
      </c>
      <c r="Q35" s="34">
        <v>45</v>
      </c>
      <c r="R35" s="24">
        <v>2</v>
      </c>
      <c r="S35" s="24" t="s">
        <v>79</v>
      </c>
      <c r="T35" s="24" t="s">
        <v>35</v>
      </c>
      <c r="U35" s="34" t="str">
        <f>Sales_data!T35</f>
        <v>wrongmail</v>
      </c>
      <c r="V35" s="24">
        <v>9437132894</v>
      </c>
      <c r="W35" s="34" t="s">
        <v>2103</v>
      </c>
      <c r="X35" s="24">
        <v>12</v>
      </c>
      <c r="Y35" s="30" t="s">
        <v>2108</v>
      </c>
      <c r="Z35" s="29">
        <v>46207</v>
      </c>
      <c r="AA35" s="24" t="s">
        <v>2174</v>
      </c>
      <c r="AB35" s="24" t="s">
        <v>2160</v>
      </c>
      <c r="AC35" s="136" t="str">
        <f t="shared" si="0"/>
        <v>Arj007Hy</v>
      </c>
      <c r="AD35" s="136" t="str">
        <f t="shared" si="1"/>
        <v>Invalid Email</v>
      </c>
    </row>
    <row r="36" spans="1:30">
      <c r="A36" s="24" t="s">
        <v>280</v>
      </c>
      <c r="B36" s="24" t="s">
        <v>127</v>
      </c>
      <c r="C36" s="24" t="s">
        <v>259</v>
      </c>
      <c r="D36" s="30">
        <v>45939</v>
      </c>
      <c r="E36" s="24" t="s">
        <v>282</v>
      </c>
      <c r="F36" s="136" t="str">
        <f>PROPER(TRIM(Sales_data!F36))</f>
        <v>Rohit Singh</v>
      </c>
      <c r="G36" s="30" t="s">
        <v>76</v>
      </c>
      <c r="H36" s="24" t="s">
        <v>131</v>
      </c>
      <c r="I36" s="24" t="s">
        <v>44</v>
      </c>
      <c r="J36" s="24" t="s">
        <v>45</v>
      </c>
      <c r="K36" s="24" t="s">
        <v>2113</v>
      </c>
      <c r="L36" s="24" t="s">
        <v>122</v>
      </c>
      <c r="M36" s="34" t="s">
        <v>263</v>
      </c>
      <c r="N36" s="37">
        <v>18</v>
      </c>
      <c r="O36" s="44">
        <v>33.75</v>
      </c>
      <c r="P36" s="35">
        <v>0.2</v>
      </c>
      <c r="Q36" s="34">
        <v>486</v>
      </c>
      <c r="R36" s="24">
        <v>4</v>
      </c>
      <c r="S36" s="24" t="s">
        <v>2148</v>
      </c>
      <c r="T36" s="24" t="s">
        <v>35</v>
      </c>
      <c r="U36" s="34" t="str">
        <f>Sales_data!T36</f>
        <v>rohit.singh@company.com</v>
      </c>
      <c r="V36" s="24">
        <v>9762437243</v>
      </c>
      <c r="W36" s="34" t="s">
        <v>2100</v>
      </c>
      <c r="X36" s="24">
        <v>12</v>
      </c>
      <c r="Y36" s="30" t="s">
        <v>2112</v>
      </c>
      <c r="Z36" s="29">
        <v>46314</v>
      </c>
      <c r="AA36" s="24" t="s">
        <v>2176</v>
      </c>
      <c r="AB36" s="24" t="s">
        <v>2108</v>
      </c>
      <c r="AC36" s="136" t="str">
        <f t="shared" si="0"/>
        <v>Roh003De</v>
      </c>
      <c r="AD36" s="136" t="str">
        <f t="shared" si="1"/>
        <v>rohit.singh@company.com</v>
      </c>
    </row>
    <row r="37" spans="1:30">
      <c r="A37" s="24" t="s">
        <v>285</v>
      </c>
      <c r="B37" s="24" t="s">
        <v>127</v>
      </c>
      <c r="C37" s="24" t="s">
        <v>72</v>
      </c>
      <c r="D37" s="30">
        <v>45980</v>
      </c>
      <c r="E37" s="24" t="s">
        <v>287</v>
      </c>
      <c r="F37" s="136" t="str">
        <f>PROPER(TRIM(Sales_data!F37))</f>
        <v>Rohit Singh</v>
      </c>
      <c r="G37" s="30" t="s">
        <v>76</v>
      </c>
      <c r="H37" s="24" t="s">
        <v>131</v>
      </c>
      <c r="I37" s="24" t="s">
        <v>44</v>
      </c>
      <c r="J37" s="24" t="s">
        <v>45</v>
      </c>
      <c r="K37" s="24" t="s">
        <v>2113</v>
      </c>
      <c r="L37" s="24" t="s">
        <v>46</v>
      </c>
      <c r="M37" s="34" t="s">
        <v>78</v>
      </c>
      <c r="N37" s="37">
        <v>4</v>
      </c>
      <c r="O37" s="44">
        <v>900</v>
      </c>
      <c r="P37" s="35">
        <v>0.2</v>
      </c>
      <c r="Q37" s="34">
        <v>2880</v>
      </c>
      <c r="R37" s="24">
        <v>3</v>
      </c>
      <c r="S37" s="24" t="s">
        <v>2148</v>
      </c>
      <c r="T37" s="24" t="s">
        <v>61</v>
      </c>
      <c r="U37" s="34" t="str">
        <f>Sales_data!T37</f>
        <v>rohit.singh@company.com</v>
      </c>
      <c r="V37" s="24">
        <v>9149046970</v>
      </c>
      <c r="W37" s="34" t="s">
        <v>2100</v>
      </c>
      <c r="X37" s="24">
        <v>6</v>
      </c>
      <c r="Y37" s="30" t="s">
        <v>2112</v>
      </c>
      <c r="Z37" s="29">
        <v>46168</v>
      </c>
      <c r="AA37" s="24" t="s">
        <v>2176</v>
      </c>
      <c r="AB37" s="24" t="s">
        <v>2108</v>
      </c>
      <c r="AC37" s="136" t="str">
        <f t="shared" si="0"/>
        <v>Roh003De</v>
      </c>
      <c r="AD37" s="136" t="str">
        <f t="shared" si="1"/>
        <v>rohit.singh@company.com</v>
      </c>
    </row>
    <row r="38" spans="1:30">
      <c r="A38" s="24" t="s">
        <v>290</v>
      </c>
      <c r="B38" s="24" t="s">
        <v>71</v>
      </c>
      <c r="C38" s="24" t="s">
        <v>54</v>
      </c>
      <c r="D38" s="30">
        <v>45966</v>
      </c>
      <c r="E38" s="24" t="s">
        <v>292</v>
      </c>
      <c r="F38" s="136" t="str">
        <f>PROPER(TRIM(Sales_data!F38))</f>
        <v>Mohit Verma</v>
      </c>
      <c r="G38" s="30" t="s">
        <v>76</v>
      </c>
      <c r="H38" s="24" t="s">
        <v>77</v>
      </c>
      <c r="I38" s="24" t="s">
        <v>44</v>
      </c>
      <c r="J38" s="24" t="s">
        <v>45</v>
      </c>
      <c r="K38" s="24" t="s">
        <v>2114</v>
      </c>
      <c r="L38" s="24" t="s">
        <v>46</v>
      </c>
      <c r="M38" s="34" t="s">
        <v>60</v>
      </c>
      <c r="N38" s="37">
        <v>10</v>
      </c>
      <c r="O38" s="44">
        <v>41250</v>
      </c>
      <c r="P38" s="35">
        <v>0</v>
      </c>
      <c r="Q38" s="34">
        <v>412500</v>
      </c>
      <c r="R38" s="24">
        <v>1</v>
      </c>
      <c r="S38" s="24" t="s">
        <v>2149</v>
      </c>
      <c r="T38" s="24" t="s">
        <v>49</v>
      </c>
      <c r="U38" s="34" t="str">
        <f>Sales_data!T38</f>
        <v>mohit.verma@company.com</v>
      </c>
      <c r="V38" s="24">
        <v>9869182901</v>
      </c>
      <c r="W38" s="34" t="s">
        <v>2100</v>
      </c>
      <c r="X38" s="24">
        <v>12</v>
      </c>
      <c r="Y38" s="30" t="s">
        <v>2110</v>
      </c>
      <c r="Z38" s="29">
        <v>46340</v>
      </c>
      <c r="AA38" s="24" t="s">
        <v>2173</v>
      </c>
      <c r="AB38" s="24" t="s">
        <v>2160</v>
      </c>
      <c r="AC38" s="136" t="str">
        <f t="shared" si="0"/>
        <v>Moh009De</v>
      </c>
      <c r="AD38" s="136" t="str">
        <f t="shared" si="1"/>
        <v>mohit.verma@company.com</v>
      </c>
    </row>
    <row r="39" spans="1:30">
      <c r="A39" s="24" t="s">
        <v>297</v>
      </c>
      <c r="B39" s="24" t="s">
        <v>251</v>
      </c>
      <c r="C39" s="24" t="s">
        <v>92</v>
      </c>
      <c r="D39" s="30">
        <v>46089</v>
      </c>
      <c r="E39" s="24" t="s">
        <v>242</v>
      </c>
      <c r="F39" s="136" t="str">
        <f>PROPER(TRIM(Sales_data!F39))</f>
        <v>Sneha Joshi</v>
      </c>
      <c r="G39" s="30" t="s">
        <v>28</v>
      </c>
      <c r="H39" s="24" t="s">
        <v>255</v>
      </c>
      <c r="I39" s="24" t="s">
        <v>114</v>
      </c>
      <c r="J39" s="24" t="s">
        <v>106</v>
      </c>
      <c r="K39" s="24" t="s">
        <v>2111</v>
      </c>
      <c r="L39" s="24" t="s">
        <v>32</v>
      </c>
      <c r="M39" s="34" t="s">
        <v>97</v>
      </c>
      <c r="N39" s="37">
        <v>20</v>
      </c>
      <c r="O39" s="44">
        <v>2625</v>
      </c>
      <c r="P39" s="35">
        <v>0.1</v>
      </c>
      <c r="Q39" s="34">
        <v>47250</v>
      </c>
      <c r="R39" s="24">
        <v>3</v>
      </c>
      <c r="S39" s="24" t="s">
        <v>79</v>
      </c>
      <c r="T39" s="24" t="s">
        <v>49</v>
      </c>
      <c r="U39" s="34" t="str">
        <f>Sales_data!T39</f>
        <v>sneha.joshi@company.com</v>
      </c>
      <c r="V39" s="24">
        <v>9283578533</v>
      </c>
      <c r="W39" s="34" t="s">
        <v>2101</v>
      </c>
      <c r="X39" s="24">
        <v>6</v>
      </c>
      <c r="Y39" s="30" t="s">
        <v>2112</v>
      </c>
      <c r="Z39" s="29">
        <v>46285</v>
      </c>
      <c r="AA39" s="24" t="s">
        <v>2173</v>
      </c>
      <c r="AB39" s="24" t="s">
        <v>2108</v>
      </c>
      <c r="AC39" s="136" t="str">
        <f t="shared" si="0"/>
        <v>Sne006Pu</v>
      </c>
      <c r="AD39" s="136" t="str">
        <f t="shared" si="1"/>
        <v>sneha.joshi@company.com</v>
      </c>
    </row>
    <row r="40" spans="1:30">
      <c r="A40" s="24" t="s">
        <v>301</v>
      </c>
      <c r="B40" s="24" t="s">
        <v>23</v>
      </c>
      <c r="C40" s="24" t="s">
        <v>222</v>
      </c>
      <c r="D40" s="30">
        <v>45701</v>
      </c>
      <c r="E40" s="24" t="s">
        <v>303</v>
      </c>
      <c r="F40" s="136" t="str">
        <f>PROPER(TRIM(Sales_data!F40))</f>
        <v>Kavya Nair</v>
      </c>
      <c r="G40" s="30" t="s">
        <v>28</v>
      </c>
      <c r="H40" s="24" t="s">
        <v>29</v>
      </c>
      <c r="I40" s="24" t="s">
        <v>30</v>
      </c>
      <c r="J40" s="24" t="s">
        <v>31</v>
      </c>
      <c r="K40" s="24" t="s">
        <v>2111</v>
      </c>
      <c r="L40" s="24" t="s">
        <v>122</v>
      </c>
      <c r="M40" s="34" t="s">
        <v>227</v>
      </c>
      <c r="N40" s="37">
        <v>5</v>
      </c>
      <c r="O40" s="44">
        <v>15</v>
      </c>
      <c r="P40" s="35">
        <v>0</v>
      </c>
      <c r="Q40" s="34">
        <v>75</v>
      </c>
      <c r="R40" s="24">
        <v>1</v>
      </c>
      <c r="S40" s="24" t="s">
        <v>34</v>
      </c>
      <c r="T40" s="24" t="s">
        <v>49</v>
      </c>
      <c r="U40" s="34" t="str">
        <f>Sales_data!T40</f>
        <v>kavya.nair@company.com</v>
      </c>
      <c r="V40" s="24">
        <v>9963005771</v>
      </c>
      <c r="W40" s="34" t="s">
        <v>2103</v>
      </c>
      <c r="X40" s="24">
        <v>12</v>
      </c>
      <c r="Y40" s="30" t="s">
        <v>2108</v>
      </c>
      <c r="Z40" s="29">
        <v>46072</v>
      </c>
      <c r="AA40" s="24" t="s">
        <v>2171</v>
      </c>
      <c r="AB40" s="24" t="s">
        <v>2160</v>
      </c>
      <c r="AC40" s="136" t="str">
        <f t="shared" si="0"/>
        <v>Kav008Hy</v>
      </c>
      <c r="AD40" s="136" t="str">
        <f t="shared" si="1"/>
        <v>kavya.nair@company.com</v>
      </c>
    </row>
    <row r="41" spans="1:30">
      <c r="A41" s="24" t="s">
        <v>307</v>
      </c>
      <c r="B41" s="24" t="s">
        <v>53</v>
      </c>
      <c r="C41" s="24" t="s">
        <v>169</v>
      </c>
      <c r="D41" s="30">
        <v>45935</v>
      </c>
      <c r="E41" s="24" t="s">
        <v>309</v>
      </c>
      <c r="F41" s="136" t="str">
        <f>PROPER(TRIM(Sales_data!F41))</f>
        <v>Pooja Shah</v>
      </c>
      <c r="G41" s="30" t="s">
        <v>28</v>
      </c>
      <c r="H41" s="24" t="s">
        <v>58</v>
      </c>
      <c r="I41" s="24" t="s">
        <v>59</v>
      </c>
      <c r="J41" s="24" t="s">
        <v>31</v>
      </c>
      <c r="K41" s="24" t="s">
        <v>2111</v>
      </c>
      <c r="L41" s="24" t="s">
        <v>32</v>
      </c>
      <c r="M41" s="34" t="s">
        <v>174</v>
      </c>
      <c r="N41" s="37">
        <v>20</v>
      </c>
      <c r="O41" s="44">
        <v>6375</v>
      </c>
      <c r="P41" s="35">
        <v>0</v>
      </c>
      <c r="Q41" s="34">
        <v>127500</v>
      </c>
      <c r="R41" s="24">
        <v>1</v>
      </c>
      <c r="S41" s="24" t="s">
        <v>2149</v>
      </c>
      <c r="T41" s="24" t="s">
        <v>115</v>
      </c>
      <c r="U41" s="34" t="str">
        <f>Sales_data!T41</f>
        <v>pooja.shah@company.com</v>
      </c>
      <c r="V41" s="24">
        <v>9484632635</v>
      </c>
      <c r="W41" s="34" t="s">
        <v>2100</v>
      </c>
      <c r="X41" s="24">
        <v>24</v>
      </c>
      <c r="Y41" s="30" t="s">
        <v>2108</v>
      </c>
      <c r="Z41" s="29">
        <v>46675</v>
      </c>
      <c r="AA41" s="24" t="s">
        <v>2172</v>
      </c>
      <c r="AB41" s="24" t="s">
        <v>2160</v>
      </c>
      <c r="AC41" s="136" t="str">
        <f t="shared" si="0"/>
        <v>Poo010Be</v>
      </c>
      <c r="AD41" s="136" t="str">
        <f t="shared" si="1"/>
        <v>pooja.shah@company.com</v>
      </c>
    </row>
    <row r="42" spans="1:30">
      <c r="A42" s="24" t="s">
        <v>312</v>
      </c>
      <c r="B42" s="24" t="s">
        <v>83</v>
      </c>
      <c r="C42" s="24" t="s">
        <v>118</v>
      </c>
      <c r="D42" s="30">
        <v>46063</v>
      </c>
      <c r="E42" s="24" t="s">
        <v>314</v>
      </c>
      <c r="F42" s="136" t="str">
        <f>PROPER(TRIM(Sales_data!F42))</f>
        <v>Arjun Rao</v>
      </c>
      <c r="G42" s="30" t="s">
        <v>76</v>
      </c>
      <c r="H42" s="24" t="s">
        <v>87</v>
      </c>
      <c r="I42" s="24" t="s">
        <v>30</v>
      </c>
      <c r="J42" s="24" t="s">
        <v>31</v>
      </c>
      <c r="K42" s="24" t="s">
        <v>2109</v>
      </c>
      <c r="L42" s="24" t="s">
        <v>122</v>
      </c>
      <c r="M42" s="34" t="s">
        <v>123</v>
      </c>
      <c r="N42" s="37">
        <v>8</v>
      </c>
      <c r="O42" s="44">
        <v>45</v>
      </c>
      <c r="P42" s="35">
        <v>0.15</v>
      </c>
      <c r="Q42" s="34">
        <v>306</v>
      </c>
      <c r="R42" s="24">
        <v>5</v>
      </c>
      <c r="S42" s="24" t="s">
        <v>2149</v>
      </c>
      <c r="T42" s="24" t="s">
        <v>49</v>
      </c>
      <c r="U42" s="34" t="str">
        <f>Sales_data!T42</f>
        <v>arjun.rao@company.com</v>
      </c>
      <c r="V42" s="24">
        <v>9276319484</v>
      </c>
      <c r="W42" s="34" t="s">
        <v>2102</v>
      </c>
      <c r="X42" s="24">
        <v>12</v>
      </c>
      <c r="Y42" s="30" t="s">
        <v>2108</v>
      </c>
      <c r="Z42" s="29">
        <v>46430</v>
      </c>
      <c r="AA42" s="24" t="s">
        <v>2174</v>
      </c>
      <c r="AB42" s="24" t="s">
        <v>2108</v>
      </c>
      <c r="AC42" s="136" t="str">
        <f t="shared" si="0"/>
        <v>Arj007Hy</v>
      </c>
      <c r="AD42" s="136" t="str">
        <f t="shared" si="1"/>
        <v>arjun.rao@company.com</v>
      </c>
    </row>
    <row r="43" spans="1:30">
      <c r="A43" s="24" t="s">
        <v>317</v>
      </c>
      <c r="B43" s="24" t="s">
        <v>53</v>
      </c>
      <c r="C43" s="24" t="s">
        <v>92</v>
      </c>
      <c r="D43" s="30">
        <v>45812</v>
      </c>
      <c r="E43" s="24" t="s">
        <v>260</v>
      </c>
      <c r="F43" s="136" t="str">
        <f>PROPER(TRIM(Sales_data!F43))</f>
        <v>Pooja Shah</v>
      </c>
      <c r="G43" s="30" t="s">
        <v>28</v>
      </c>
      <c r="H43" s="24" t="s">
        <v>58</v>
      </c>
      <c r="I43" s="24" t="s">
        <v>59</v>
      </c>
      <c r="J43" s="24" t="s">
        <v>31</v>
      </c>
      <c r="K43" s="24" t="s">
        <v>2111</v>
      </c>
      <c r="L43" s="24" t="s">
        <v>32</v>
      </c>
      <c r="M43" s="34" t="s">
        <v>97</v>
      </c>
      <c r="N43" s="37">
        <v>8</v>
      </c>
      <c r="O43" s="44">
        <v>2625</v>
      </c>
      <c r="P43" s="35">
        <v>0.05</v>
      </c>
      <c r="Q43" s="34">
        <v>19950</v>
      </c>
      <c r="R43" s="24">
        <v>1</v>
      </c>
      <c r="S43" s="24" t="s">
        <v>79</v>
      </c>
      <c r="T43" s="24" t="s">
        <v>115</v>
      </c>
      <c r="U43" s="34" t="str">
        <f>Sales_data!T43</f>
        <v>pooja.shah@company.com</v>
      </c>
      <c r="V43" s="24">
        <v>9619034852</v>
      </c>
      <c r="W43" s="34" t="s">
        <v>2101</v>
      </c>
      <c r="X43" s="24">
        <v>6</v>
      </c>
      <c r="Y43" s="30" t="s">
        <v>2108</v>
      </c>
      <c r="Z43" s="29">
        <v>46007</v>
      </c>
      <c r="AA43" s="24" t="s">
        <v>2172</v>
      </c>
      <c r="AB43" s="24" t="s">
        <v>2160</v>
      </c>
      <c r="AC43" s="136" t="str">
        <f t="shared" si="0"/>
        <v>Poo010Be</v>
      </c>
      <c r="AD43" s="136" t="str">
        <f t="shared" si="1"/>
        <v>pooja.shah@company.com</v>
      </c>
    </row>
    <row r="44" spans="1:30">
      <c r="A44" s="24" t="s">
        <v>321</v>
      </c>
      <c r="B44" s="24" t="s">
        <v>71</v>
      </c>
      <c r="C44" s="24" t="s">
        <v>169</v>
      </c>
      <c r="D44" s="30">
        <v>46061</v>
      </c>
      <c r="E44" s="24" t="s">
        <v>323</v>
      </c>
      <c r="F44" s="136" t="str">
        <f>PROPER(TRIM(Sales_data!F44))</f>
        <v>Mohit Verma</v>
      </c>
      <c r="G44" s="30" t="s">
        <v>76</v>
      </c>
      <c r="H44" s="24" t="s">
        <v>77</v>
      </c>
      <c r="I44" s="24" t="s">
        <v>44</v>
      </c>
      <c r="J44" s="24" t="s">
        <v>45</v>
      </c>
      <c r="K44" s="24" t="s">
        <v>2114</v>
      </c>
      <c r="L44" s="24" t="s">
        <v>32</v>
      </c>
      <c r="M44" s="34" t="s">
        <v>174</v>
      </c>
      <c r="N44" s="37">
        <v>1</v>
      </c>
      <c r="O44" s="44">
        <v>6375</v>
      </c>
      <c r="P44" s="35">
        <v>0</v>
      </c>
      <c r="Q44" s="34">
        <v>6375</v>
      </c>
      <c r="R44" s="24">
        <v>2</v>
      </c>
      <c r="S44" s="24" t="s">
        <v>79</v>
      </c>
      <c r="T44" s="24" t="s">
        <v>115</v>
      </c>
      <c r="U44" s="34" t="str">
        <f>Sales_data!T44</f>
        <v>mohit.verma@company.com</v>
      </c>
      <c r="V44" s="24">
        <v>9636416962</v>
      </c>
      <c r="W44" s="34" t="s">
        <v>2100</v>
      </c>
      <c r="X44" s="24">
        <v>24</v>
      </c>
      <c r="Y44" s="30" t="s">
        <v>2110</v>
      </c>
      <c r="Z44" s="29">
        <v>46797</v>
      </c>
      <c r="AA44" s="24" t="s">
        <v>2173</v>
      </c>
      <c r="AB44" s="24" t="s">
        <v>2160</v>
      </c>
      <c r="AC44" s="136" t="str">
        <f t="shared" si="0"/>
        <v>Moh009De</v>
      </c>
      <c r="AD44" s="136" t="str">
        <f t="shared" si="1"/>
        <v>mohit.verma@company.com</v>
      </c>
    </row>
    <row r="45" spans="1:30">
      <c r="A45" s="24" t="s">
        <v>326</v>
      </c>
      <c r="B45" s="24" t="s">
        <v>327</v>
      </c>
      <c r="C45" s="24" t="s">
        <v>259</v>
      </c>
      <c r="D45" s="30">
        <v>45746</v>
      </c>
      <c r="E45" s="24" t="s">
        <v>329</v>
      </c>
      <c r="F45" s="136" t="str">
        <f>PROPER(TRIM(Sales_data!F45))</f>
        <v>Amit Sharma</v>
      </c>
      <c r="G45" s="30" t="s">
        <v>76</v>
      </c>
      <c r="H45" s="24" t="s">
        <v>331</v>
      </c>
      <c r="I45" s="24" t="s">
        <v>114</v>
      </c>
      <c r="J45" s="24" t="s">
        <v>106</v>
      </c>
      <c r="K45" s="24" t="s">
        <v>2109</v>
      </c>
      <c r="L45" s="24" t="s">
        <v>122</v>
      </c>
      <c r="M45" s="34" t="s">
        <v>263</v>
      </c>
      <c r="N45" s="37">
        <v>8</v>
      </c>
      <c r="O45" s="44">
        <v>33.75</v>
      </c>
      <c r="P45" s="35">
        <v>0.15</v>
      </c>
      <c r="Q45" s="34">
        <v>229.5</v>
      </c>
      <c r="R45" s="24">
        <v>2</v>
      </c>
      <c r="S45" s="24" t="s">
        <v>79</v>
      </c>
      <c r="T45" s="24" t="s">
        <v>61</v>
      </c>
      <c r="U45" s="34" t="str">
        <f>Sales_data!T45</f>
        <v>amit.sharma@company.com</v>
      </c>
      <c r="V45" s="24">
        <v>9357133880</v>
      </c>
      <c r="W45" s="34" t="s">
        <v>2100</v>
      </c>
      <c r="X45" s="24">
        <v>12</v>
      </c>
      <c r="Y45" s="30" t="s">
        <v>2108</v>
      </c>
      <c r="Z45" s="29">
        <v>46112</v>
      </c>
      <c r="AA45" s="24" t="s">
        <v>2171</v>
      </c>
      <c r="AB45" s="24" t="s">
        <v>2160</v>
      </c>
      <c r="AC45" s="136" t="str">
        <f t="shared" si="0"/>
        <v>Ami001Pu</v>
      </c>
      <c r="AD45" s="136" t="str">
        <f t="shared" si="1"/>
        <v>amit.sharma@company.com</v>
      </c>
    </row>
    <row r="46" spans="1:30">
      <c r="A46" s="24" t="s">
        <v>334</v>
      </c>
      <c r="B46" s="24" t="s">
        <v>251</v>
      </c>
      <c r="C46" s="24" t="s">
        <v>24</v>
      </c>
      <c r="D46" s="30">
        <v>45772</v>
      </c>
      <c r="E46" s="24" t="s">
        <v>336</v>
      </c>
      <c r="F46" s="136" t="str">
        <f>PROPER(TRIM(Sales_data!F46))</f>
        <v>Sneha Joshi</v>
      </c>
      <c r="G46" s="30" t="s">
        <v>28</v>
      </c>
      <c r="H46" s="24" t="s">
        <v>255</v>
      </c>
      <c r="I46" s="24" t="s">
        <v>114</v>
      </c>
      <c r="J46" s="24" t="s">
        <v>106</v>
      </c>
      <c r="K46" s="24" t="s">
        <v>2111</v>
      </c>
      <c r="L46" s="24" t="s">
        <v>32</v>
      </c>
      <c r="M46" s="34" t="s">
        <v>33</v>
      </c>
      <c r="N46" s="37">
        <v>16</v>
      </c>
      <c r="O46" s="44">
        <v>1650</v>
      </c>
      <c r="P46" s="35">
        <v>0.05</v>
      </c>
      <c r="Q46" s="34">
        <v>25080</v>
      </c>
      <c r="R46" s="24">
        <v>5</v>
      </c>
      <c r="S46" s="24" t="s">
        <v>79</v>
      </c>
      <c r="T46" s="24" t="s">
        <v>61</v>
      </c>
      <c r="U46" s="34" t="str">
        <f>Sales_data!T46</f>
        <v>sneha.joshi@company.com</v>
      </c>
      <c r="V46" s="24">
        <v>9575210324</v>
      </c>
      <c r="W46" s="34" t="s">
        <v>2101</v>
      </c>
      <c r="X46" s="24">
        <v>24</v>
      </c>
      <c r="Y46" s="30" t="s">
        <v>2112</v>
      </c>
      <c r="Z46" s="29">
        <v>46505</v>
      </c>
      <c r="AA46" s="24" t="s">
        <v>2173</v>
      </c>
      <c r="AB46" s="24" t="s">
        <v>2108</v>
      </c>
      <c r="AC46" s="136" t="str">
        <f t="shared" si="0"/>
        <v>Sne006Pu</v>
      </c>
      <c r="AD46" s="136" t="str">
        <f t="shared" si="1"/>
        <v>sneha.joshi@company.com</v>
      </c>
    </row>
    <row r="47" spans="1:30">
      <c r="A47" s="24" t="s">
        <v>339</v>
      </c>
      <c r="B47" s="24" t="s">
        <v>71</v>
      </c>
      <c r="C47" s="24" t="s">
        <v>92</v>
      </c>
      <c r="D47" s="30">
        <v>45943</v>
      </c>
      <c r="E47" s="24" t="s">
        <v>341</v>
      </c>
      <c r="F47" s="136" t="str">
        <f>PROPER(TRIM(Sales_data!F47))</f>
        <v>Mohit Verma</v>
      </c>
      <c r="G47" s="30" t="s">
        <v>76</v>
      </c>
      <c r="H47" s="24" t="s">
        <v>77</v>
      </c>
      <c r="I47" s="24" t="s">
        <v>44</v>
      </c>
      <c r="J47" s="24" t="s">
        <v>45</v>
      </c>
      <c r="K47" s="24" t="s">
        <v>2114</v>
      </c>
      <c r="L47" s="24" t="s">
        <v>32</v>
      </c>
      <c r="M47" s="34" t="s">
        <v>97</v>
      </c>
      <c r="N47" s="37">
        <v>19</v>
      </c>
      <c r="O47" s="44">
        <v>2625</v>
      </c>
      <c r="P47" s="35">
        <v>0.2</v>
      </c>
      <c r="Q47" s="34">
        <v>39900</v>
      </c>
      <c r="R47" s="24">
        <v>3</v>
      </c>
      <c r="S47" s="24" t="s">
        <v>34</v>
      </c>
      <c r="T47" s="24" t="s">
        <v>151</v>
      </c>
      <c r="U47" s="34" t="str">
        <f>Sales_data!T47</f>
        <v>mohit.verma@company.com</v>
      </c>
      <c r="V47" s="24">
        <v>9276080204</v>
      </c>
      <c r="W47" s="34" t="s">
        <v>2101</v>
      </c>
      <c r="X47" s="24">
        <v>6</v>
      </c>
      <c r="Y47" s="30" t="s">
        <v>2110</v>
      </c>
      <c r="Z47" s="29">
        <v>46135</v>
      </c>
      <c r="AA47" s="24" t="s">
        <v>2173</v>
      </c>
      <c r="AB47" s="24" t="s">
        <v>2108</v>
      </c>
      <c r="AC47" s="136" t="str">
        <f t="shared" si="0"/>
        <v>Moh009De</v>
      </c>
      <c r="AD47" s="136" t="str">
        <f t="shared" si="1"/>
        <v>mohit.verma@company.com</v>
      </c>
    </row>
    <row r="48" spans="1:30">
      <c r="A48" s="24" t="s">
        <v>344</v>
      </c>
      <c r="B48" s="24" t="s">
        <v>251</v>
      </c>
      <c r="C48" s="24" t="s">
        <v>184</v>
      </c>
      <c r="D48" s="30">
        <v>45941</v>
      </c>
      <c r="E48" s="24" t="s">
        <v>346</v>
      </c>
      <c r="F48" s="136" t="str">
        <f>PROPER(TRIM(Sales_data!F48))</f>
        <v>Sneha Joshi</v>
      </c>
      <c r="G48" s="30" t="s">
        <v>28</v>
      </c>
      <c r="H48" s="24" t="s">
        <v>255</v>
      </c>
      <c r="I48" s="24" t="s">
        <v>114</v>
      </c>
      <c r="J48" s="24" t="s">
        <v>106</v>
      </c>
      <c r="K48" s="24" t="s">
        <v>2111</v>
      </c>
      <c r="L48" s="24" t="s">
        <v>46</v>
      </c>
      <c r="M48" s="34" t="s">
        <v>189</v>
      </c>
      <c r="N48" s="37">
        <v>15</v>
      </c>
      <c r="O48" s="44">
        <v>525</v>
      </c>
      <c r="P48" s="35">
        <v>0.15</v>
      </c>
      <c r="Q48" s="34">
        <v>6693.75</v>
      </c>
      <c r="R48" s="24">
        <v>4</v>
      </c>
      <c r="S48" s="24" t="s">
        <v>2149</v>
      </c>
      <c r="T48" s="24" t="s">
        <v>115</v>
      </c>
      <c r="U48" s="34" t="str">
        <f>Sales_data!T48</f>
        <v>sneha.joshicompany.com</v>
      </c>
      <c r="V48" s="24">
        <v>9856624471</v>
      </c>
      <c r="W48" s="34" t="s">
        <v>2100</v>
      </c>
      <c r="X48" s="24">
        <v>24</v>
      </c>
      <c r="Y48" s="30" t="s">
        <v>2112</v>
      </c>
      <c r="Z48" s="29">
        <v>46674</v>
      </c>
      <c r="AA48" s="24" t="s">
        <v>2173</v>
      </c>
      <c r="AB48" s="24" t="s">
        <v>2108</v>
      </c>
      <c r="AC48" s="136" t="str">
        <f t="shared" si="0"/>
        <v>Sne006Pu</v>
      </c>
      <c r="AD48" s="136" t="str">
        <f t="shared" si="1"/>
        <v>Invalid Email</v>
      </c>
    </row>
    <row r="49" spans="1:30">
      <c r="A49" s="24" t="s">
        <v>350</v>
      </c>
      <c r="B49" s="24" t="s">
        <v>251</v>
      </c>
      <c r="C49" s="24" t="s">
        <v>184</v>
      </c>
      <c r="D49" s="30">
        <v>45988</v>
      </c>
      <c r="E49" s="24" t="s">
        <v>352</v>
      </c>
      <c r="F49" s="136" t="str">
        <f>PROPER(TRIM(Sales_data!F49))</f>
        <v>Sneha Joshi</v>
      </c>
      <c r="G49" s="30" t="s">
        <v>28</v>
      </c>
      <c r="H49" s="24" t="s">
        <v>255</v>
      </c>
      <c r="I49" s="24" t="s">
        <v>114</v>
      </c>
      <c r="J49" s="24" t="s">
        <v>106</v>
      </c>
      <c r="K49" s="24" t="s">
        <v>2111</v>
      </c>
      <c r="L49" s="24" t="s">
        <v>46</v>
      </c>
      <c r="M49" s="34" t="s">
        <v>189</v>
      </c>
      <c r="N49" s="37">
        <v>19</v>
      </c>
      <c r="O49" s="44">
        <v>525</v>
      </c>
      <c r="P49" s="35">
        <v>0.2</v>
      </c>
      <c r="Q49" s="34">
        <v>7980</v>
      </c>
      <c r="R49" s="24">
        <v>1</v>
      </c>
      <c r="S49" s="24" t="s">
        <v>34</v>
      </c>
      <c r="T49" s="24" t="s">
        <v>115</v>
      </c>
      <c r="U49" s="34" t="str">
        <f>Sales_data!T49</f>
        <v>sneha.joshi@company.com</v>
      </c>
      <c r="V49" s="24">
        <v>9238141322</v>
      </c>
      <c r="W49" s="34" t="s">
        <v>2100</v>
      </c>
      <c r="X49" s="24">
        <v>24</v>
      </c>
      <c r="Y49" s="30" t="s">
        <v>2112</v>
      </c>
      <c r="Z49" s="29">
        <v>46724</v>
      </c>
      <c r="AA49" s="24" t="s">
        <v>2173</v>
      </c>
      <c r="AB49" s="24" t="s">
        <v>2160</v>
      </c>
      <c r="AC49" s="136" t="str">
        <f t="shared" si="0"/>
        <v>Sne006Pu</v>
      </c>
      <c r="AD49" s="136" t="str">
        <f t="shared" si="1"/>
        <v>sneha.joshi@company.com</v>
      </c>
    </row>
    <row r="50" spans="1:30">
      <c r="A50" s="24" t="s">
        <v>355</v>
      </c>
      <c r="B50" s="24" t="s">
        <v>71</v>
      </c>
      <c r="C50" s="24" t="s">
        <v>40</v>
      </c>
      <c r="D50" s="30">
        <v>46131</v>
      </c>
      <c r="E50" s="24"/>
      <c r="F50" s="136" t="str">
        <f>PROPER(TRIM(Sales_data!F50))</f>
        <v>Mohit Verma</v>
      </c>
      <c r="G50" s="30" t="s">
        <v>76</v>
      </c>
      <c r="H50" s="24" t="s">
        <v>77</v>
      </c>
      <c r="I50" s="24" t="s">
        <v>44</v>
      </c>
      <c r="J50" s="24" t="s">
        <v>45</v>
      </c>
      <c r="K50" s="24" t="s">
        <v>2114</v>
      </c>
      <c r="L50" s="24" t="s">
        <v>46</v>
      </c>
      <c r="M50" s="34" t="s">
        <v>47</v>
      </c>
      <c r="N50" s="37">
        <v>19</v>
      </c>
      <c r="O50" s="44">
        <v>9000</v>
      </c>
      <c r="P50" s="35">
        <v>0</v>
      </c>
      <c r="Q50" s="34">
        <v>171000</v>
      </c>
      <c r="R50" s="24">
        <v>1</v>
      </c>
      <c r="S50" s="24" t="s">
        <v>2148</v>
      </c>
      <c r="T50" s="24" t="s">
        <v>61</v>
      </c>
      <c r="U50" s="34" t="str">
        <f>Sales_data!T50</f>
        <v>mohit.verma@company.com</v>
      </c>
      <c r="V50" s="24">
        <v>9890380030</v>
      </c>
      <c r="W50" s="34" t="s">
        <v>2101</v>
      </c>
      <c r="X50" s="24">
        <v>24</v>
      </c>
      <c r="Y50" s="30" t="s">
        <v>2110</v>
      </c>
      <c r="Z50" s="29">
        <v>731</v>
      </c>
      <c r="AA50" s="24" t="s">
        <v>2173</v>
      </c>
      <c r="AB50" s="24" t="s">
        <v>2160</v>
      </c>
      <c r="AC50" s="136" t="str">
        <f t="shared" si="0"/>
        <v>Moh009De</v>
      </c>
      <c r="AD50" s="136" t="str">
        <f t="shared" si="1"/>
        <v>mohit.verma@company.com</v>
      </c>
    </row>
    <row r="51" spans="1:30">
      <c r="A51" s="24" t="s">
        <v>359</v>
      </c>
      <c r="B51" s="24" t="s">
        <v>168</v>
      </c>
      <c r="C51" s="24" t="s">
        <v>72</v>
      </c>
      <c r="D51" s="30">
        <v>46131</v>
      </c>
      <c r="E51" s="24" t="s">
        <v>360</v>
      </c>
      <c r="F51" s="136" t="str">
        <f>PROPER(TRIM(Sales_data!F51))</f>
        <v>Anita Gupta</v>
      </c>
      <c r="G51" s="30" t="s">
        <v>28</v>
      </c>
      <c r="H51" s="24" t="s">
        <v>173</v>
      </c>
      <c r="I51" s="24" t="s">
        <v>114</v>
      </c>
      <c r="J51" s="24" t="s">
        <v>106</v>
      </c>
      <c r="K51" s="24" t="s">
        <v>2111</v>
      </c>
      <c r="L51" s="24" t="s">
        <v>46</v>
      </c>
      <c r="M51" s="34" t="s">
        <v>78</v>
      </c>
      <c r="N51" s="37">
        <v>6</v>
      </c>
      <c r="O51" s="44">
        <v>900</v>
      </c>
      <c r="P51" s="35">
        <v>0.05</v>
      </c>
      <c r="Q51" s="34">
        <v>5130</v>
      </c>
      <c r="R51" s="24">
        <v>2</v>
      </c>
      <c r="S51" s="24" t="s">
        <v>34</v>
      </c>
      <c r="T51" s="24" t="s">
        <v>35</v>
      </c>
      <c r="U51" s="34" t="str">
        <f>Sales_data!T51</f>
        <v>anita.gupta@company.com</v>
      </c>
      <c r="V51" s="24">
        <v>9495893170</v>
      </c>
      <c r="W51" s="34" t="s">
        <v>2100</v>
      </c>
      <c r="X51" s="24">
        <v>6</v>
      </c>
      <c r="Y51" s="30" t="s">
        <v>2112</v>
      </c>
      <c r="Z51" s="29">
        <v>46316</v>
      </c>
      <c r="AA51" s="24" t="s">
        <v>2177</v>
      </c>
      <c r="AB51" s="24" t="s">
        <v>2160</v>
      </c>
      <c r="AC51" s="136" t="str">
        <f t="shared" si="0"/>
        <v>Ani004Pu</v>
      </c>
      <c r="AD51" s="136" t="str">
        <f t="shared" si="1"/>
        <v>anita.gupta@company.com</v>
      </c>
    </row>
    <row r="52" spans="1:30">
      <c r="A52" s="24" t="s">
        <v>364</v>
      </c>
      <c r="B52" s="24" t="s">
        <v>53</v>
      </c>
      <c r="C52" s="24" t="s">
        <v>24</v>
      </c>
      <c r="D52" s="30">
        <v>45744</v>
      </c>
      <c r="E52" s="24" t="s">
        <v>366</v>
      </c>
      <c r="F52" s="136" t="str">
        <f>PROPER(TRIM(Sales_data!F52))</f>
        <v>Pooja Shah</v>
      </c>
      <c r="G52" s="30" t="s">
        <v>28</v>
      </c>
      <c r="H52" s="24" t="s">
        <v>58</v>
      </c>
      <c r="I52" s="24" t="s">
        <v>59</v>
      </c>
      <c r="J52" s="24" t="s">
        <v>31</v>
      </c>
      <c r="K52" s="24" t="s">
        <v>2111</v>
      </c>
      <c r="L52" s="24" t="s">
        <v>32</v>
      </c>
      <c r="M52" s="34" t="s">
        <v>33</v>
      </c>
      <c r="N52" s="37">
        <v>7</v>
      </c>
      <c r="O52" s="44">
        <v>1650</v>
      </c>
      <c r="P52" s="35">
        <v>0.15</v>
      </c>
      <c r="Q52" s="34">
        <v>9817.5</v>
      </c>
      <c r="R52" s="24">
        <v>1</v>
      </c>
      <c r="S52" s="24" t="s">
        <v>2149</v>
      </c>
      <c r="T52" s="24" t="s">
        <v>61</v>
      </c>
      <c r="U52" s="34" t="str">
        <f>Sales_data!T52</f>
        <v>pooja.shah@company.com</v>
      </c>
      <c r="V52" s="24">
        <v>9485166307</v>
      </c>
      <c r="W52" s="34" t="s">
        <v>2101</v>
      </c>
      <c r="X52" s="24">
        <v>24</v>
      </c>
      <c r="Y52" s="30" t="s">
        <v>2108</v>
      </c>
      <c r="Z52" s="29">
        <v>46484</v>
      </c>
      <c r="AA52" s="24" t="s">
        <v>2172</v>
      </c>
      <c r="AB52" s="24" t="s">
        <v>2160</v>
      </c>
      <c r="AC52" s="136" t="str">
        <f t="shared" si="0"/>
        <v>Poo010Be</v>
      </c>
      <c r="AD52" s="136" t="str">
        <f t="shared" si="1"/>
        <v>pooja.shah@company.com</v>
      </c>
    </row>
    <row r="53" spans="1:30">
      <c r="A53" s="24" t="s">
        <v>370</v>
      </c>
      <c r="B53" s="24" t="s">
        <v>100</v>
      </c>
      <c r="C53" s="24" t="s">
        <v>118</v>
      </c>
      <c r="D53" s="30">
        <v>45894</v>
      </c>
      <c r="E53" s="24" t="s">
        <v>372</v>
      </c>
      <c r="F53" s="136" t="str">
        <f>PROPER(TRIM(Sales_data!F53))</f>
        <v>Priya Patel</v>
      </c>
      <c r="G53" s="30" t="s">
        <v>28</v>
      </c>
      <c r="H53" s="24" t="s">
        <v>104</v>
      </c>
      <c r="I53" s="24" t="s">
        <v>105</v>
      </c>
      <c r="J53" s="24" t="s">
        <v>106</v>
      </c>
      <c r="K53" s="24" t="s">
        <v>2111</v>
      </c>
      <c r="L53" s="24" t="s">
        <v>122</v>
      </c>
      <c r="M53" s="34" t="s">
        <v>123</v>
      </c>
      <c r="N53" s="37">
        <v>8</v>
      </c>
      <c r="O53" s="44">
        <v>45</v>
      </c>
      <c r="P53" s="35">
        <v>0.1</v>
      </c>
      <c r="Q53" s="34">
        <v>324</v>
      </c>
      <c r="R53" s="24">
        <v>5</v>
      </c>
      <c r="S53" s="24" t="s">
        <v>79</v>
      </c>
      <c r="T53" s="24" t="s">
        <v>61</v>
      </c>
      <c r="U53" s="34" t="str">
        <f>Sales_data!T53</f>
        <v>priya.patel@company.com</v>
      </c>
      <c r="V53" s="24">
        <v>9924709648</v>
      </c>
      <c r="W53" s="34" t="s">
        <v>2102</v>
      </c>
      <c r="X53" s="24">
        <v>12</v>
      </c>
      <c r="Y53" s="30" t="s">
        <v>2110</v>
      </c>
      <c r="Z53" s="29">
        <v>46262</v>
      </c>
      <c r="AA53" s="24" t="s">
        <v>2175</v>
      </c>
      <c r="AB53" s="24" t="s">
        <v>2108</v>
      </c>
      <c r="AC53" s="136" t="str">
        <f t="shared" si="0"/>
        <v>Pri002Mu</v>
      </c>
      <c r="AD53" s="136" t="str">
        <f t="shared" si="1"/>
        <v>priya.patel@company.com</v>
      </c>
    </row>
    <row r="54" spans="1:30">
      <c r="A54" s="24" t="s">
        <v>375</v>
      </c>
      <c r="B54" s="24" t="s">
        <v>221</v>
      </c>
      <c r="C54" s="24" t="s">
        <v>54</v>
      </c>
      <c r="D54" s="30">
        <v>45888</v>
      </c>
      <c r="E54" s="24" t="s">
        <v>377</v>
      </c>
      <c r="F54" s="136" t="str">
        <f>PROPER(TRIM(Sales_data!F54))</f>
        <v>Vikas Mehta</v>
      </c>
      <c r="G54" s="30" t="s">
        <v>76</v>
      </c>
      <c r="H54" s="24" t="s">
        <v>226</v>
      </c>
      <c r="I54" s="24" t="s">
        <v>105</v>
      </c>
      <c r="J54" s="24" t="s">
        <v>106</v>
      </c>
      <c r="K54" s="24" t="s">
        <v>2113</v>
      </c>
      <c r="L54" s="24" t="s">
        <v>46</v>
      </c>
      <c r="M54" s="34" t="s">
        <v>60</v>
      </c>
      <c r="N54" s="37">
        <v>12</v>
      </c>
      <c r="O54" s="44">
        <v>41250</v>
      </c>
      <c r="P54" s="35">
        <v>0.05</v>
      </c>
      <c r="Q54" s="34">
        <v>470250</v>
      </c>
      <c r="R54" s="24">
        <v>2</v>
      </c>
      <c r="S54" s="24" t="s">
        <v>2149</v>
      </c>
      <c r="T54" s="24" t="s">
        <v>49</v>
      </c>
      <c r="U54" s="34" t="str">
        <f>Sales_data!T54</f>
        <v>vikas.mehta@company.com</v>
      </c>
      <c r="V54" s="24">
        <v>9350554626</v>
      </c>
      <c r="W54" s="34" t="s">
        <v>2100</v>
      </c>
      <c r="X54" s="24">
        <v>12</v>
      </c>
      <c r="Y54" s="30" t="s">
        <v>2112</v>
      </c>
      <c r="Z54" s="29">
        <v>46257</v>
      </c>
      <c r="AA54" s="24" t="s">
        <v>2171</v>
      </c>
      <c r="AB54" s="24" t="s">
        <v>2160</v>
      </c>
      <c r="AC54" s="136" t="str">
        <f t="shared" si="0"/>
        <v>Vik005Mu</v>
      </c>
      <c r="AD54" s="136" t="str">
        <f t="shared" si="1"/>
        <v>vikas.mehta@company.com</v>
      </c>
    </row>
    <row r="55" spans="1:30">
      <c r="A55" s="24" t="s">
        <v>380</v>
      </c>
      <c r="B55" s="24" t="s">
        <v>23</v>
      </c>
      <c r="C55" s="24" t="s">
        <v>184</v>
      </c>
      <c r="D55" s="30">
        <v>45865</v>
      </c>
      <c r="E55" s="24" t="s">
        <v>382</v>
      </c>
      <c r="F55" s="136" t="str">
        <f>PROPER(TRIM(Sales_data!F55))</f>
        <v>Kavya Nair</v>
      </c>
      <c r="G55" s="30" t="s">
        <v>28</v>
      </c>
      <c r="H55" s="24" t="s">
        <v>29</v>
      </c>
      <c r="I55" s="24" t="s">
        <v>30</v>
      </c>
      <c r="J55" s="24" t="s">
        <v>31</v>
      </c>
      <c r="K55" s="24" t="s">
        <v>2111</v>
      </c>
      <c r="L55" s="24" t="s">
        <v>46</v>
      </c>
      <c r="M55" s="34" t="s">
        <v>189</v>
      </c>
      <c r="N55" s="37">
        <v>3</v>
      </c>
      <c r="O55" s="44">
        <v>525</v>
      </c>
      <c r="P55" s="35">
        <v>0</v>
      </c>
      <c r="Q55" s="34">
        <v>1575</v>
      </c>
      <c r="R55" s="24">
        <v>3</v>
      </c>
      <c r="S55" s="24" t="s">
        <v>79</v>
      </c>
      <c r="T55" s="24" t="s">
        <v>151</v>
      </c>
      <c r="U55" s="34" t="str">
        <f>Sales_data!T55</f>
        <v>kavya.nair@company.com</v>
      </c>
      <c r="V55" s="24">
        <v>9743295580</v>
      </c>
      <c r="W55" s="34" t="s">
        <v>2100</v>
      </c>
      <c r="X55" s="24">
        <v>24</v>
      </c>
      <c r="Y55" s="30" t="s">
        <v>2108</v>
      </c>
      <c r="Z55" s="29">
        <v>46604</v>
      </c>
      <c r="AA55" s="24" t="s">
        <v>2171</v>
      </c>
      <c r="AB55" s="24" t="s">
        <v>2108</v>
      </c>
      <c r="AC55" s="136" t="str">
        <f t="shared" si="0"/>
        <v>Kav008Hy</v>
      </c>
      <c r="AD55" s="136" t="str">
        <f t="shared" si="1"/>
        <v>kavya.nair@company.com</v>
      </c>
    </row>
    <row r="56" spans="1:30">
      <c r="A56" s="24" t="s">
        <v>385</v>
      </c>
      <c r="B56" s="24" t="s">
        <v>127</v>
      </c>
      <c r="C56" s="24" t="s">
        <v>118</v>
      </c>
      <c r="D56" s="30">
        <v>45709</v>
      </c>
      <c r="E56" s="24" t="s">
        <v>387</v>
      </c>
      <c r="F56" s="136" t="str">
        <f>PROPER(TRIM(Sales_data!F56))</f>
        <v>Rohit Singh</v>
      </c>
      <c r="G56" s="30" t="s">
        <v>76</v>
      </c>
      <c r="H56" s="24" t="s">
        <v>131</v>
      </c>
      <c r="I56" s="24" t="s">
        <v>44</v>
      </c>
      <c r="J56" s="24" t="s">
        <v>45</v>
      </c>
      <c r="K56" s="24" t="s">
        <v>2113</v>
      </c>
      <c r="L56" s="24" t="s">
        <v>122</v>
      </c>
      <c r="M56" s="34" t="s">
        <v>123</v>
      </c>
      <c r="N56" s="37">
        <v>19</v>
      </c>
      <c r="O56" s="44">
        <v>45</v>
      </c>
      <c r="P56" s="35">
        <v>0.15</v>
      </c>
      <c r="Q56" s="34">
        <v>726.75</v>
      </c>
      <c r="R56" s="24">
        <v>4</v>
      </c>
      <c r="S56" s="24" t="s">
        <v>79</v>
      </c>
      <c r="T56" s="24" t="s">
        <v>49</v>
      </c>
      <c r="U56" s="34" t="str">
        <f>Sales_data!T56</f>
        <v>rohit.singh@company.com</v>
      </c>
      <c r="V56" s="24">
        <v>9822926495</v>
      </c>
      <c r="W56" s="34" t="s">
        <v>2102</v>
      </c>
      <c r="X56" s="24">
        <v>12</v>
      </c>
      <c r="Y56" s="30" t="s">
        <v>2112</v>
      </c>
      <c r="Z56" s="29">
        <v>46079</v>
      </c>
      <c r="AA56" s="24" t="s">
        <v>2176</v>
      </c>
      <c r="AB56" s="24" t="s">
        <v>2108</v>
      </c>
      <c r="AC56" s="136" t="str">
        <f t="shared" si="0"/>
        <v>Roh003De</v>
      </c>
      <c r="AD56" s="136" t="str">
        <f t="shared" si="1"/>
        <v>rohit.singh@company.com</v>
      </c>
    </row>
    <row r="57" spans="1:30">
      <c r="A57" s="24" t="s">
        <v>391</v>
      </c>
      <c r="B57" s="24" t="s">
        <v>327</v>
      </c>
      <c r="C57" s="24" t="s">
        <v>118</v>
      </c>
      <c r="D57" s="30">
        <v>45879</v>
      </c>
      <c r="E57" s="24" t="s">
        <v>393</v>
      </c>
      <c r="F57" s="136" t="str">
        <f>PROPER(TRIM(Sales_data!F57))</f>
        <v>Amit Sharma</v>
      </c>
      <c r="G57" s="30" t="s">
        <v>76</v>
      </c>
      <c r="H57" s="24" t="s">
        <v>331</v>
      </c>
      <c r="I57" s="24" t="s">
        <v>114</v>
      </c>
      <c r="J57" s="24" t="s">
        <v>106</v>
      </c>
      <c r="K57" s="24" t="s">
        <v>2109</v>
      </c>
      <c r="L57" s="24" t="s">
        <v>122</v>
      </c>
      <c r="M57" s="34" t="s">
        <v>123</v>
      </c>
      <c r="N57" s="37">
        <v>9</v>
      </c>
      <c r="O57" s="44">
        <v>45</v>
      </c>
      <c r="P57" s="35">
        <v>0.2</v>
      </c>
      <c r="Q57" s="34">
        <v>324</v>
      </c>
      <c r="R57" s="24">
        <v>1</v>
      </c>
      <c r="S57" s="24" t="s">
        <v>2148</v>
      </c>
      <c r="T57" s="24" t="s">
        <v>115</v>
      </c>
      <c r="U57" s="34" t="str">
        <f>Sales_data!T57</f>
        <v>amit.sharma@company.com</v>
      </c>
      <c r="V57" s="24">
        <v>9518298190</v>
      </c>
      <c r="W57" s="34" t="s">
        <v>2102</v>
      </c>
      <c r="X57" s="24">
        <v>12</v>
      </c>
      <c r="Y57" s="30" t="s">
        <v>2108</v>
      </c>
      <c r="Z57" s="29">
        <v>46245</v>
      </c>
      <c r="AA57" s="24" t="s">
        <v>2171</v>
      </c>
      <c r="AB57" s="24" t="s">
        <v>2160</v>
      </c>
      <c r="AC57" s="136" t="str">
        <f t="shared" si="0"/>
        <v>Ami001Pu</v>
      </c>
      <c r="AD57" s="136" t="str">
        <f t="shared" si="1"/>
        <v>amit.sharma@company.com</v>
      </c>
    </row>
    <row r="58" spans="1:30">
      <c r="A58" s="24" t="s">
        <v>397</v>
      </c>
      <c r="B58" s="24" t="s">
        <v>327</v>
      </c>
      <c r="C58" s="24" t="s">
        <v>184</v>
      </c>
      <c r="D58" s="30">
        <v>46105</v>
      </c>
      <c r="E58" s="24" t="s">
        <v>399</v>
      </c>
      <c r="F58" s="136" t="str">
        <f>PROPER(TRIM(Sales_data!F58))</f>
        <v>Amit Sharma</v>
      </c>
      <c r="G58" s="30" t="s">
        <v>76</v>
      </c>
      <c r="H58" s="24" t="s">
        <v>331</v>
      </c>
      <c r="I58" s="24" t="s">
        <v>114</v>
      </c>
      <c r="J58" s="24" t="s">
        <v>106</v>
      </c>
      <c r="K58" s="24" t="s">
        <v>2109</v>
      </c>
      <c r="L58" s="24" t="s">
        <v>46</v>
      </c>
      <c r="M58" s="34" t="s">
        <v>189</v>
      </c>
      <c r="N58" s="37">
        <v>6</v>
      </c>
      <c r="O58" s="44">
        <v>525</v>
      </c>
      <c r="P58" s="35">
        <v>0</v>
      </c>
      <c r="Q58" s="34">
        <v>3150</v>
      </c>
      <c r="R58" s="24">
        <v>4</v>
      </c>
      <c r="S58" s="24" t="s">
        <v>2149</v>
      </c>
      <c r="T58" s="24" t="s">
        <v>49</v>
      </c>
      <c r="U58" s="34" t="str">
        <f>Sales_data!T58</f>
        <v>amit.sharmcompany.com</v>
      </c>
      <c r="V58" s="24">
        <v>9366223547</v>
      </c>
      <c r="W58" s="34" t="s">
        <v>2100</v>
      </c>
      <c r="X58" s="24">
        <v>24</v>
      </c>
      <c r="Y58" s="30" t="s">
        <v>2108</v>
      </c>
      <c r="Z58" s="29">
        <v>46842</v>
      </c>
      <c r="AA58" s="24" t="s">
        <v>2171</v>
      </c>
      <c r="AB58" s="24" t="s">
        <v>2108</v>
      </c>
      <c r="AC58" s="136" t="str">
        <f t="shared" si="0"/>
        <v>Ami001Pu</v>
      </c>
      <c r="AD58" s="136" t="str">
        <f t="shared" si="1"/>
        <v>Invalid Email</v>
      </c>
    </row>
    <row r="59" spans="1:30">
      <c r="A59" s="24" t="s">
        <v>403</v>
      </c>
      <c r="B59" s="24" t="s">
        <v>127</v>
      </c>
      <c r="C59" s="24" t="s">
        <v>259</v>
      </c>
      <c r="D59" s="30">
        <v>46094</v>
      </c>
      <c r="E59" s="24" t="s">
        <v>404</v>
      </c>
      <c r="F59" s="136" t="str">
        <f>PROPER(TRIM(Sales_data!F59))</f>
        <v>Rohit Singh</v>
      </c>
      <c r="G59" s="30" t="s">
        <v>76</v>
      </c>
      <c r="H59" s="24" t="s">
        <v>131</v>
      </c>
      <c r="I59" s="24" t="s">
        <v>44</v>
      </c>
      <c r="J59" s="24" t="s">
        <v>45</v>
      </c>
      <c r="K59" s="24" t="s">
        <v>2113</v>
      </c>
      <c r="L59" s="24" t="s">
        <v>122</v>
      </c>
      <c r="M59" s="34" t="s">
        <v>263</v>
      </c>
      <c r="N59" s="37">
        <v>18</v>
      </c>
      <c r="O59" s="44">
        <v>33.75</v>
      </c>
      <c r="P59" s="35">
        <v>0.05</v>
      </c>
      <c r="Q59" s="34">
        <v>577.125</v>
      </c>
      <c r="R59" s="24">
        <v>1</v>
      </c>
      <c r="S59" s="24" t="s">
        <v>79</v>
      </c>
      <c r="T59" s="24" t="s">
        <v>61</v>
      </c>
      <c r="U59" s="34" t="str">
        <f>Sales_data!T59</f>
        <v>rohit.singh@company.com</v>
      </c>
      <c r="V59" s="24">
        <v>9701988524</v>
      </c>
      <c r="W59" s="34" t="s">
        <v>2100</v>
      </c>
      <c r="X59" s="24">
        <v>12</v>
      </c>
      <c r="Y59" s="30" t="s">
        <v>2112</v>
      </c>
      <c r="Z59" s="29">
        <v>46465</v>
      </c>
      <c r="AA59" s="24" t="s">
        <v>2176</v>
      </c>
      <c r="AB59" s="24" t="s">
        <v>2160</v>
      </c>
      <c r="AC59" s="136" t="str">
        <f t="shared" si="0"/>
        <v>Roh003De</v>
      </c>
      <c r="AD59" s="136" t="str">
        <f t="shared" si="1"/>
        <v>rohit.singh@company.com</v>
      </c>
    </row>
    <row r="60" spans="1:30">
      <c r="A60" s="24" t="s">
        <v>407</v>
      </c>
      <c r="B60" s="24" t="s">
        <v>83</v>
      </c>
      <c r="C60" s="24" t="s">
        <v>222</v>
      </c>
      <c r="D60" s="30">
        <v>45823</v>
      </c>
      <c r="E60" s="24" t="s">
        <v>261</v>
      </c>
      <c r="F60" s="136" t="str">
        <f>PROPER(TRIM(Sales_data!F60))</f>
        <v>Arjun Rao</v>
      </c>
      <c r="G60" s="30" t="s">
        <v>76</v>
      </c>
      <c r="H60" s="24" t="s">
        <v>87</v>
      </c>
      <c r="I60" s="24" t="s">
        <v>30</v>
      </c>
      <c r="J60" s="24" t="s">
        <v>31</v>
      </c>
      <c r="K60" s="24" t="s">
        <v>2109</v>
      </c>
      <c r="L60" s="24" t="s">
        <v>122</v>
      </c>
      <c r="M60" s="34" t="s">
        <v>227</v>
      </c>
      <c r="N60" s="37">
        <v>8</v>
      </c>
      <c r="O60" s="44">
        <v>15</v>
      </c>
      <c r="P60" s="35">
        <v>0.05</v>
      </c>
      <c r="Q60" s="34">
        <v>114</v>
      </c>
      <c r="R60" s="24">
        <v>1</v>
      </c>
      <c r="S60" s="24" t="s">
        <v>79</v>
      </c>
      <c r="T60" s="24" t="s">
        <v>35</v>
      </c>
      <c r="U60" s="34" t="str">
        <f>Sales_data!T60</f>
        <v>arjun.rao@company.com</v>
      </c>
      <c r="V60" s="24">
        <v>9836327649</v>
      </c>
      <c r="W60" s="34" t="s">
        <v>2103</v>
      </c>
      <c r="X60" s="24">
        <v>12</v>
      </c>
      <c r="Y60" s="30" t="s">
        <v>2108</v>
      </c>
      <c r="Z60" s="29">
        <v>46199</v>
      </c>
      <c r="AA60" s="24" t="s">
        <v>2174</v>
      </c>
      <c r="AB60" s="24" t="s">
        <v>2160</v>
      </c>
      <c r="AC60" s="136" t="str">
        <f t="shared" si="0"/>
        <v>Arj007Hy</v>
      </c>
      <c r="AD60" s="136" t="str">
        <f t="shared" si="1"/>
        <v>arjun.rao@company.com</v>
      </c>
    </row>
    <row r="61" spans="1:30">
      <c r="A61" s="24" t="s">
        <v>412</v>
      </c>
      <c r="B61" s="24" t="s">
        <v>221</v>
      </c>
      <c r="C61" s="24" t="s">
        <v>184</v>
      </c>
      <c r="D61" s="30">
        <v>45721</v>
      </c>
      <c r="E61" s="24" t="s">
        <v>414</v>
      </c>
      <c r="F61" s="136" t="str">
        <f>PROPER(TRIM(Sales_data!F61))</f>
        <v>Vikas Mehta</v>
      </c>
      <c r="G61" s="30" t="s">
        <v>76</v>
      </c>
      <c r="H61" s="24" t="s">
        <v>226</v>
      </c>
      <c r="I61" s="24" t="s">
        <v>105</v>
      </c>
      <c r="J61" s="24" t="s">
        <v>106</v>
      </c>
      <c r="K61" s="24" t="s">
        <v>2113</v>
      </c>
      <c r="L61" s="24" t="s">
        <v>46</v>
      </c>
      <c r="M61" s="34" t="s">
        <v>189</v>
      </c>
      <c r="N61" s="37">
        <v>8</v>
      </c>
      <c r="O61" s="44">
        <v>525</v>
      </c>
      <c r="P61" s="35">
        <v>0.1</v>
      </c>
      <c r="Q61" s="34">
        <v>3780</v>
      </c>
      <c r="R61" s="24">
        <v>1</v>
      </c>
      <c r="S61" s="24" t="s">
        <v>2148</v>
      </c>
      <c r="T61" s="24" t="s">
        <v>61</v>
      </c>
      <c r="U61" s="34" t="str">
        <f>Sales_data!T61</f>
        <v>Vikas.mehta@company.com</v>
      </c>
      <c r="V61" s="24">
        <v>9261800516</v>
      </c>
      <c r="W61" s="34" t="s">
        <v>2100</v>
      </c>
      <c r="X61" s="24">
        <v>24</v>
      </c>
      <c r="Y61" s="30" t="s">
        <v>2112</v>
      </c>
      <c r="Z61" s="29">
        <v>46452</v>
      </c>
      <c r="AA61" s="24" t="s">
        <v>2171</v>
      </c>
      <c r="AB61" s="24" t="s">
        <v>2160</v>
      </c>
      <c r="AC61" s="136" t="str">
        <f t="shared" si="0"/>
        <v>Vik005Mu</v>
      </c>
      <c r="AD61" s="136" t="str">
        <f t="shared" si="1"/>
        <v>vikas.mehta@company.com</v>
      </c>
    </row>
    <row r="62" spans="1:30">
      <c r="A62" s="24" t="s">
        <v>418</v>
      </c>
      <c r="B62" s="24" t="s">
        <v>23</v>
      </c>
      <c r="C62" s="24" t="s">
        <v>222</v>
      </c>
      <c r="D62" s="30">
        <v>46121</v>
      </c>
      <c r="E62" s="24" t="s">
        <v>356</v>
      </c>
      <c r="F62" s="136" t="str">
        <f>PROPER(TRIM(Sales_data!F62))</f>
        <v>Kavya Nair</v>
      </c>
      <c r="G62" s="30" t="s">
        <v>28</v>
      </c>
      <c r="H62" s="24" t="s">
        <v>29</v>
      </c>
      <c r="I62" s="24" t="s">
        <v>30</v>
      </c>
      <c r="J62" s="24" t="s">
        <v>31</v>
      </c>
      <c r="K62" s="24" t="s">
        <v>2111</v>
      </c>
      <c r="L62" s="24" t="s">
        <v>122</v>
      </c>
      <c r="M62" s="34" t="s">
        <v>227</v>
      </c>
      <c r="N62" s="37">
        <v>7</v>
      </c>
      <c r="O62" s="44">
        <v>15</v>
      </c>
      <c r="P62" s="35">
        <v>0.15</v>
      </c>
      <c r="Q62" s="34">
        <v>89.25</v>
      </c>
      <c r="R62" s="24">
        <v>5</v>
      </c>
      <c r="S62" s="24" t="s">
        <v>79</v>
      </c>
      <c r="T62" s="24" t="s">
        <v>49</v>
      </c>
      <c r="U62" s="34" t="str">
        <f>Sales_data!T62</f>
        <v>kavya.nair@company.com</v>
      </c>
      <c r="V62" s="24">
        <v>9950802015</v>
      </c>
      <c r="W62" s="34" t="s">
        <v>2103</v>
      </c>
      <c r="X62" s="24">
        <v>12</v>
      </c>
      <c r="Y62" s="30" t="s">
        <v>2108</v>
      </c>
      <c r="Z62" s="29">
        <v>46496</v>
      </c>
      <c r="AA62" s="24" t="s">
        <v>2171</v>
      </c>
      <c r="AB62" s="24" t="s">
        <v>2108</v>
      </c>
      <c r="AC62" s="136" t="str">
        <f t="shared" si="0"/>
        <v>Kav008Hy</v>
      </c>
      <c r="AD62" s="136" t="str">
        <f t="shared" si="1"/>
        <v>kavya.nair@company.com</v>
      </c>
    </row>
    <row r="63" spans="1:30">
      <c r="A63" s="24" t="s">
        <v>421</v>
      </c>
      <c r="B63" s="24" t="s">
        <v>100</v>
      </c>
      <c r="C63" s="24" t="s">
        <v>222</v>
      </c>
      <c r="D63" s="30">
        <v>45885</v>
      </c>
      <c r="E63" s="24" t="s">
        <v>371</v>
      </c>
      <c r="F63" s="136" t="str">
        <f>PROPER(TRIM(Sales_data!F63))</f>
        <v>Priya Patel</v>
      </c>
      <c r="G63" s="30" t="s">
        <v>28</v>
      </c>
      <c r="H63" s="24" t="s">
        <v>104</v>
      </c>
      <c r="I63" s="24" t="s">
        <v>105</v>
      </c>
      <c r="J63" s="24" t="s">
        <v>106</v>
      </c>
      <c r="K63" s="24" t="s">
        <v>2111</v>
      </c>
      <c r="L63" s="24" t="s">
        <v>122</v>
      </c>
      <c r="M63" s="34" t="s">
        <v>227</v>
      </c>
      <c r="N63" s="37">
        <v>16</v>
      </c>
      <c r="O63" s="44">
        <v>15</v>
      </c>
      <c r="P63" s="35">
        <v>0</v>
      </c>
      <c r="Q63" s="34">
        <v>240</v>
      </c>
      <c r="R63" s="24">
        <v>5</v>
      </c>
      <c r="S63" s="24" t="s">
        <v>2148</v>
      </c>
      <c r="T63" s="24" t="s">
        <v>61</v>
      </c>
      <c r="U63" s="34" t="str">
        <f>Sales_data!T63</f>
        <v>priya.patel@company.com</v>
      </c>
      <c r="V63" s="24">
        <v>9595183767</v>
      </c>
      <c r="W63" s="34" t="s">
        <v>2103</v>
      </c>
      <c r="X63" s="24">
        <v>12</v>
      </c>
      <c r="Y63" s="30" t="s">
        <v>2110</v>
      </c>
      <c r="Z63" s="29">
        <v>46259</v>
      </c>
      <c r="AA63" s="24" t="s">
        <v>2175</v>
      </c>
      <c r="AB63" s="24" t="s">
        <v>2108</v>
      </c>
      <c r="AC63" s="136" t="str">
        <f t="shared" si="0"/>
        <v>Pri002Mu</v>
      </c>
      <c r="AD63" s="136" t="str">
        <f t="shared" si="1"/>
        <v>priya.patel@company.com</v>
      </c>
    </row>
    <row r="64" spans="1:30">
      <c r="A64" s="24" t="s">
        <v>425</v>
      </c>
      <c r="B64" s="24" t="s">
        <v>53</v>
      </c>
      <c r="C64" s="24" t="s">
        <v>259</v>
      </c>
      <c r="D64" s="30">
        <v>46155</v>
      </c>
      <c r="E64" s="24" t="s">
        <v>427</v>
      </c>
      <c r="F64" s="136" t="str">
        <f>PROPER(TRIM(Sales_data!F64))</f>
        <v>Pooja Shah</v>
      </c>
      <c r="G64" s="30" t="s">
        <v>28</v>
      </c>
      <c r="H64" s="24" t="s">
        <v>58</v>
      </c>
      <c r="I64" s="24" t="s">
        <v>59</v>
      </c>
      <c r="J64" s="24" t="s">
        <v>31</v>
      </c>
      <c r="K64" s="24" t="s">
        <v>2111</v>
      </c>
      <c r="L64" s="24" t="s">
        <v>122</v>
      </c>
      <c r="M64" s="34" t="s">
        <v>263</v>
      </c>
      <c r="N64" s="37">
        <v>15</v>
      </c>
      <c r="O64" s="44">
        <v>33.75</v>
      </c>
      <c r="P64" s="35">
        <v>0</v>
      </c>
      <c r="Q64" s="34">
        <v>506.25</v>
      </c>
      <c r="R64" s="24">
        <v>4</v>
      </c>
      <c r="S64" s="24" t="s">
        <v>34</v>
      </c>
      <c r="T64" s="24" t="s">
        <v>61</v>
      </c>
      <c r="U64" s="34" t="str">
        <f>Sales_data!T64</f>
        <v>pooja.shah@company.com</v>
      </c>
      <c r="V64" s="24">
        <v>9560201307</v>
      </c>
      <c r="W64" s="34" t="s">
        <v>2100</v>
      </c>
      <c r="X64" s="24">
        <v>12</v>
      </c>
      <c r="Y64" s="30" t="s">
        <v>2108</v>
      </c>
      <c r="Z64" s="29">
        <v>46527</v>
      </c>
      <c r="AA64" s="24" t="s">
        <v>2172</v>
      </c>
      <c r="AB64" s="24" t="s">
        <v>2108</v>
      </c>
      <c r="AC64" s="136" t="str">
        <f t="shared" si="0"/>
        <v>Poo010Be</v>
      </c>
      <c r="AD64" s="136" t="str">
        <f t="shared" si="1"/>
        <v>pooja.shah@company.com</v>
      </c>
    </row>
    <row r="65" spans="1:30">
      <c r="A65" s="24" t="s">
        <v>430</v>
      </c>
      <c r="B65" s="24" t="s">
        <v>251</v>
      </c>
      <c r="C65" s="24" t="s">
        <v>184</v>
      </c>
      <c r="D65" s="30">
        <v>45717</v>
      </c>
      <c r="E65" s="24" t="s">
        <v>413</v>
      </c>
      <c r="F65" s="136" t="str">
        <f>PROPER(TRIM(Sales_data!F65))</f>
        <v>Sneha Joshi</v>
      </c>
      <c r="G65" s="30" t="s">
        <v>28</v>
      </c>
      <c r="H65" s="24" t="s">
        <v>255</v>
      </c>
      <c r="I65" s="24" t="s">
        <v>114</v>
      </c>
      <c r="J65" s="24" t="s">
        <v>106</v>
      </c>
      <c r="K65" s="24" t="s">
        <v>2111</v>
      </c>
      <c r="L65" s="24" t="s">
        <v>46</v>
      </c>
      <c r="M65" s="34" t="s">
        <v>189</v>
      </c>
      <c r="N65" s="37">
        <v>15</v>
      </c>
      <c r="O65" s="44">
        <v>525</v>
      </c>
      <c r="P65" s="35">
        <v>0.1</v>
      </c>
      <c r="Q65" s="34">
        <v>7087.5</v>
      </c>
      <c r="R65" s="24">
        <v>3</v>
      </c>
      <c r="S65" s="24" t="s">
        <v>2148</v>
      </c>
      <c r="T65" s="24" t="s">
        <v>151</v>
      </c>
      <c r="U65" s="34" t="str">
        <f>Sales_data!T65</f>
        <v>sneha.joshi@company.com</v>
      </c>
      <c r="V65" s="24">
        <v>9826484650</v>
      </c>
      <c r="W65" s="34" t="s">
        <v>2100</v>
      </c>
      <c r="X65" s="24">
        <v>24</v>
      </c>
      <c r="Y65" s="30" t="s">
        <v>2112</v>
      </c>
      <c r="Z65" s="29">
        <v>46451</v>
      </c>
      <c r="AA65" s="24" t="s">
        <v>2173</v>
      </c>
      <c r="AB65" s="24" t="s">
        <v>2108</v>
      </c>
      <c r="AC65" s="136" t="str">
        <f t="shared" si="0"/>
        <v>Sne006Pu</v>
      </c>
      <c r="AD65" s="136" t="str">
        <f t="shared" si="1"/>
        <v>sneha.joshi@company.com</v>
      </c>
    </row>
    <row r="66" spans="1:30">
      <c r="A66" s="24" t="s">
        <v>434</v>
      </c>
      <c r="B66" s="24" t="s">
        <v>53</v>
      </c>
      <c r="C66" s="24" t="s">
        <v>259</v>
      </c>
      <c r="D66" s="30">
        <v>45697</v>
      </c>
      <c r="E66" s="24" t="s">
        <v>436</v>
      </c>
      <c r="F66" s="136" t="str">
        <f>PROPER(TRIM(Sales_data!F66))</f>
        <v>Pooja Shah</v>
      </c>
      <c r="G66" s="30" t="s">
        <v>28</v>
      </c>
      <c r="H66" s="24" t="s">
        <v>58</v>
      </c>
      <c r="I66" s="24" t="s">
        <v>59</v>
      </c>
      <c r="J66" s="24" t="s">
        <v>31</v>
      </c>
      <c r="K66" s="24" t="s">
        <v>2111</v>
      </c>
      <c r="L66" s="24" t="s">
        <v>122</v>
      </c>
      <c r="M66" s="34" t="s">
        <v>263</v>
      </c>
      <c r="N66" s="37">
        <v>3</v>
      </c>
      <c r="O66" s="44">
        <v>33.75</v>
      </c>
      <c r="P66" s="35">
        <v>0.15</v>
      </c>
      <c r="Q66" s="34">
        <v>86.0625</v>
      </c>
      <c r="R66" s="24">
        <v>2</v>
      </c>
      <c r="S66" s="24" t="s">
        <v>2149</v>
      </c>
      <c r="T66" s="24" t="s">
        <v>115</v>
      </c>
      <c r="U66" s="34" t="str">
        <f>Sales_data!T66</f>
        <v>pooja.shah@company.com</v>
      </c>
      <c r="V66" s="24">
        <v>9219978007</v>
      </c>
      <c r="W66" s="34" t="s">
        <v>2100</v>
      </c>
      <c r="X66" s="24">
        <v>12</v>
      </c>
      <c r="Y66" s="30" t="s">
        <v>2108</v>
      </c>
      <c r="Z66" s="29">
        <v>46065</v>
      </c>
      <c r="AA66" s="24" t="s">
        <v>2172</v>
      </c>
      <c r="AB66" s="24" t="s">
        <v>2160</v>
      </c>
      <c r="AC66" s="136" t="str">
        <f t="shared" si="0"/>
        <v>Poo010Be</v>
      </c>
      <c r="AD66" s="136" t="str">
        <f t="shared" si="1"/>
        <v>pooja.shah@company.com</v>
      </c>
    </row>
    <row r="67" spans="1:30">
      <c r="A67" s="24" t="s">
        <v>439</v>
      </c>
      <c r="B67" s="24" t="s">
        <v>100</v>
      </c>
      <c r="C67" s="24" t="s">
        <v>24</v>
      </c>
      <c r="D67" s="30">
        <v>46031</v>
      </c>
      <c r="E67" s="24" t="s">
        <v>441</v>
      </c>
      <c r="F67" s="136" t="str">
        <f>PROPER(TRIM(Sales_data!F67))</f>
        <v>Priya Patel</v>
      </c>
      <c r="G67" s="30" t="s">
        <v>28</v>
      </c>
      <c r="H67" s="24" t="s">
        <v>104</v>
      </c>
      <c r="I67" s="24" t="s">
        <v>105</v>
      </c>
      <c r="J67" s="24" t="s">
        <v>106</v>
      </c>
      <c r="K67" s="24" t="s">
        <v>2111</v>
      </c>
      <c r="L67" s="24" t="s">
        <v>32</v>
      </c>
      <c r="M67" s="34" t="s">
        <v>33</v>
      </c>
      <c r="N67" s="37">
        <v>7</v>
      </c>
      <c r="O67" s="44">
        <v>1650</v>
      </c>
      <c r="P67" s="35">
        <v>0.15</v>
      </c>
      <c r="Q67" s="34">
        <v>9817.5</v>
      </c>
      <c r="R67" s="24">
        <v>5</v>
      </c>
      <c r="S67" s="24" t="s">
        <v>2149</v>
      </c>
      <c r="T67" s="24" t="s">
        <v>115</v>
      </c>
      <c r="U67" s="34" t="str">
        <f>Sales_data!T67</f>
        <v>priya.patel@company.com</v>
      </c>
      <c r="V67" s="24">
        <v>9662063276</v>
      </c>
      <c r="W67" s="34" t="s">
        <v>2101</v>
      </c>
      <c r="X67" s="24">
        <v>24</v>
      </c>
      <c r="Y67" s="30" t="s">
        <v>2110</v>
      </c>
      <c r="Z67" s="29">
        <v>46762</v>
      </c>
      <c r="AA67" s="24" t="s">
        <v>2175</v>
      </c>
      <c r="AB67" s="24" t="s">
        <v>2108</v>
      </c>
      <c r="AC67" s="136" t="str">
        <f t="shared" ref="AC67:AC130" si="2">PROPER(LEFT(TRIM(F67), 3)) &amp; RIGHT(TRIM(B67), 3) &amp; PROPER(LEFT(TRIM(I67), 2))</f>
        <v>Pri002Mu</v>
      </c>
      <c r="AD67" s="136" t="str">
        <f t="shared" ref="AD67:AD130" si="3">IF(ISNUMBER(SEARCH("@", U67)), LOWER(TRIM(U67)), "Invalid Email")</f>
        <v>priya.patel@company.com</v>
      </c>
    </row>
    <row r="68" spans="1:30">
      <c r="A68" s="24" t="s">
        <v>444</v>
      </c>
      <c r="B68" s="24" t="s">
        <v>23</v>
      </c>
      <c r="C68" s="24" t="s">
        <v>259</v>
      </c>
      <c r="D68" s="30">
        <v>45901</v>
      </c>
      <c r="E68" s="24" t="s">
        <v>446</v>
      </c>
      <c r="F68" s="136" t="str">
        <f>PROPER(TRIM(Sales_data!F68))</f>
        <v>Kavya Nair</v>
      </c>
      <c r="G68" s="30" t="s">
        <v>28</v>
      </c>
      <c r="H68" s="24" t="s">
        <v>29</v>
      </c>
      <c r="I68" s="24" t="s">
        <v>30</v>
      </c>
      <c r="J68" s="24" t="s">
        <v>31</v>
      </c>
      <c r="K68" s="24" t="s">
        <v>2111</v>
      </c>
      <c r="L68" s="24" t="s">
        <v>122</v>
      </c>
      <c r="M68" s="34" t="s">
        <v>263</v>
      </c>
      <c r="N68" s="37">
        <v>19</v>
      </c>
      <c r="O68" s="44">
        <v>33.75</v>
      </c>
      <c r="P68" s="35">
        <v>0.1</v>
      </c>
      <c r="Q68" s="34">
        <v>577.125</v>
      </c>
      <c r="R68" s="24">
        <v>5</v>
      </c>
      <c r="S68" s="24" t="s">
        <v>79</v>
      </c>
      <c r="T68" s="24" t="s">
        <v>115</v>
      </c>
      <c r="U68" s="34" t="str">
        <f>Sales_data!T68</f>
        <v>kavya.nair@company.com</v>
      </c>
      <c r="V68" s="24">
        <v>9190393639</v>
      </c>
      <c r="W68" s="34" t="s">
        <v>2100</v>
      </c>
      <c r="X68" s="24">
        <v>12</v>
      </c>
      <c r="Y68" s="30" t="s">
        <v>2108</v>
      </c>
      <c r="Z68" s="29">
        <v>46270</v>
      </c>
      <c r="AA68" s="24" t="s">
        <v>2171</v>
      </c>
      <c r="AB68" s="24" t="s">
        <v>2108</v>
      </c>
      <c r="AC68" s="136" t="str">
        <f t="shared" si="2"/>
        <v>Kav008Hy</v>
      </c>
      <c r="AD68" s="136" t="str">
        <f t="shared" si="3"/>
        <v>kavya.nair@company.com</v>
      </c>
    </row>
    <row r="69" spans="1:30">
      <c r="A69" s="24" t="s">
        <v>449</v>
      </c>
      <c r="B69" s="24" t="s">
        <v>251</v>
      </c>
      <c r="C69" s="24" t="s">
        <v>92</v>
      </c>
      <c r="D69" s="30">
        <v>46062</v>
      </c>
      <c r="E69" s="24" t="s">
        <v>323</v>
      </c>
      <c r="F69" s="136" t="str">
        <f>PROPER(TRIM(Sales_data!F69))</f>
        <v>Sneha Joshi</v>
      </c>
      <c r="G69" s="30" t="s">
        <v>28</v>
      </c>
      <c r="H69" s="24" t="s">
        <v>255</v>
      </c>
      <c r="I69" s="24" t="s">
        <v>114</v>
      </c>
      <c r="J69" s="24" t="s">
        <v>106</v>
      </c>
      <c r="K69" s="24" t="s">
        <v>2111</v>
      </c>
      <c r="L69" s="24" t="s">
        <v>32</v>
      </c>
      <c r="M69" s="34" t="s">
        <v>97</v>
      </c>
      <c r="N69" s="37">
        <v>7</v>
      </c>
      <c r="O69" s="44">
        <v>2625</v>
      </c>
      <c r="P69" s="35">
        <v>0.15</v>
      </c>
      <c r="Q69" s="34">
        <v>15618.75</v>
      </c>
      <c r="R69" s="24">
        <v>1</v>
      </c>
      <c r="S69" s="24" t="s">
        <v>34</v>
      </c>
      <c r="T69" s="24" t="s">
        <v>151</v>
      </c>
      <c r="U69" s="34" t="str">
        <f>Sales_data!T69</f>
        <v>sneha.joshi@company.com</v>
      </c>
      <c r="V69" s="24">
        <v>9106328582</v>
      </c>
      <c r="W69" s="34" t="s">
        <v>2101</v>
      </c>
      <c r="X69" s="24">
        <v>6</v>
      </c>
      <c r="Y69" s="30" t="s">
        <v>2112</v>
      </c>
      <c r="Z69" s="29">
        <v>46248</v>
      </c>
      <c r="AA69" s="24" t="s">
        <v>2173</v>
      </c>
      <c r="AB69" s="24" t="s">
        <v>2160</v>
      </c>
      <c r="AC69" s="136" t="str">
        <f t="shared" si="2"/>
        <v>Sne006Pu</v>
      </c>
      <c r="AD69" s="136" t="str">
        <f t="shared" si="3"/>
        <v>sneha.joshi@company.com</v>
      </c>
    </row>
    <row r="70" spans="1:30">
      <c r="A70" s="24" t="s">
        <v>453</v>
      </c>
      <c r="B70" s="24" t="s">
        <v>53</v>
      </c>
      <c r="C70" s="24" t="s">
        <v>169</v>
      </c>
      <c r="D70" s="30">
        <v>46005</v>
      </c>
      <c r="E70" s="24" t="s">
        <v>455</v>
      </c>
      <c r="F70" s="136" t="str">
        <f>PROPER(TRIM(Sales_data!F70))</f>
        <v>Pooja Shah</v>
      </c>
      <c r="G70" s="30" t="s">
        <v>28</v>
      </c>
      <c r="H70" s="24" t="s">
        <v>58</v>
      </c>
      <c r="I70" s="24" t="s">
        <v>59</v>
      </c>
      <c r="J70" s="24" t="s">
        <v>31</v>
      </c>
      <c r="K70" s="24" t="s">
        <v>2111</v>
      </c>
      <c r="L70" s="24" t="s">
        <v>32</v>
      </c>
      <c r="M70" s="34" t="s">
        <v>174</v>
      </c>
      <c r="N70" s="37">
        <v>7</v>
      </c>
      <c r="O70" s="44">
        <v>6375</v>
      </c>
      <c r="P70" s="35">
        <v>0.2</v>
      </c>
      <c r="Q70" s="34">
        <v>35700</v>
      </c>
      <c r="R70" s="24">
        <v>4</v>
      </c>
      <c r="S70" s="24" t="s">
        <v>2148</v>
      </c>
      <c r="T70" s="24" t="s">
        <v>115</v>
      </c>
      <c r="U70" s="34" t="str">
        <f>Sales_data!T70</f>
        <v>pooja.shah@company.com</v>
      </c>
      <c r="V70" s="24">
        <v>9264401015</v>
      </c>
      <c r="W70" s="34" t="s">
        <v>2100</v>
      </c>
      <c r="X70" s="24">
        <v>24</v>
      </c>
      <c r="Y70" s="30" t="s">
        <v>2108</v>
      </c>
      <c r="Z70" s="29">
        <v>46740</v>
      </c>
      <c r="AA70" s="24" t="s">
        <v>2172</v>
      </c>
      <c r="AB70" s="24" t="s">
        <v>2108</v>
      </c>
      <c r="AC70" s="136" t="str">
        <f t="shared" si="2"/>
        <v>Poo010Be</v>
      </c>
      <c r="AD70" s="136" t="str">
        <f t="shared" si="3"/>
        <v>pooja.shah@company.com</v>
      </c>
    </row>
    <row r="71" spans="1:30">
      <c r="A71" s="24" t="s">
        <v>458</v>
      </c>
      <c r="B71" s="24" t="s">
        <v>23</v>
      </c>
      <c r="C71" s="24" t="s">
        <v>54</v>
      </c>
      <c r="D71" s="30">
        <v>45754</v>
      </c>
      <c r="E71" s="24" t="s">
        <v>459</v>
      </c>
      <c r="F71" s="136" t="str">
        <f>PROPER(TRIM(Sales_data!F71))</f>
        <v>Kavya Nair</v>
      </c>
      <c r="G71" s="30" t="s">
        <v>28</v>
      </c>
      <c r="H71" s="24" t="s">
        <v>29</v>
      </c>
      <c r="I71" s="24" t="s">
        <v>30</v>
      </c>
      <c r="J71" s="24" t="s">
        <v>31</v>
      </c>
      <c r="K71" s="24" t="s">
        <v>2111</v>
      </c>
      <c r="L71" s="24" t="s">
        <v>46</v>
      </c>
      <c r="M71" s="34" t="s">
        <v>60</v>
      </c>
      <c r="N71" s="37">
        <v>16</v>
      </c>
      <c r="O71" s="44">
        <v>41250</v>
      </c>
      <c r="P71" s="35">
        <v>0.1</v>
      </c>
      <c r="Q71" s="34">
        <v>594000</v>
      </c>
      <c r="R71" s="24">
        <v>1</v>
      </c>
      <c r="S71" s="24" t="s">
        <v>79</v>
      </c>
      <c r="T71" s="24" t="s">
        <v>61</v>
      </c>
      <c r="U71" s="34" t="str">
        <f>Sales_data!T71</f>
        <v>kavya.nair@company.com</v>
      </c>
      <c r="V71" s="24">
        <v>9959237375</v>
      </c>
      <c r="W71" s="34" t="s">
        <v>2100</v>
      </c>
      <c r="X71" s="24">
        <v>12</v>
      </c>
      <c r="Y71" s="30" t="s">
        <v>2108</v>
      </c>
      <c r="Z71" s="29">
        <v>46122</v>
      </c>
      <c r="AA71" s="24" t="s">
        <v>2171</v>
      </c>
      <c r="AB71" s="24" t="s">
        <v>2160</v>
      </c>
      <c r="AC71" s="136" t="str">
        <f t="shared" si="2"/>
        <v>Kav008Hy</v>
      </c>
      <c r="AD71" s="136" t="str">
        <f t="shared" si="3"/>
        <v>kavya.nair@company.com</v>
      </c>
    </row>
    <row r="72" spans="1:30">
      <c r="A72" s="24" t="s">
        <v>462</v>
      </c>
      <c r="B72" s="24" t="s">
        <v>168</v>
      </c>
      <c r="C72" s="24" t="s">
        <v>40</v>
      </c>
      <c r="D72" s="30">
        <v>46015</v>
      </c>
      <c r="E72" s="24" t="s">
        <v>464</v>
      </c>
      <c r="F72" s="136" t="str">
        <f>PROPER(TRIM(Sales_data!F72))</f>
        <v>Anita Gupta</v>
      </c>
      <c r="G72" s="30" t="s">
        <v>28</v>
      </c>
      <c r="H72" s="24" t="s">
        <v>173</v>
      </c>
      <c r="I72" s="24" t="s">
        <v>114</v>
      </c>
      <c r="J72" s="24" t="s">
        <v>106</v>
      </c>
      <c r="K72" s="24" t="s">
        <v>2111</v>
      </c>
      <c r="L72" s="24" t="s">
        <v>46</v>
      </c>
      <c r="M72" s="34" t="s">
        <v>47</v>
      </c>
      <c r="N72" s="37">
        <v>2</v>
      </c>
      <c r="O72" s="44">
        <v>9000</v>
      </c>
      <c r="P72" s="35">
        <v>0.2</v>
      </c>
      <c r="Q72" s="34">
        <v>14400</v>
      </c>
      <c r="R72" s="24">
        <v>1</v>
      </c>
      <c r="S72" s="24" t="s">
        <v>34</v>
      </c>
      <c r="T72" s="24" t="s">
        <v>151</v>
      </c>
      <c r="U72" s="34" t="str">
        <f>Sales_data!T72</f>
        <v>Anita.gupta@company.com</v>
      </c>
      <c r="V72" s="24">
        <v>9561836580</v>
      </c>
      <c r="W72" s="34" t="s">
        <v>2101</v>
      </c>
      <c r="X72" s="24">
        <v>24</v>
      </c>
      <c r="Y72" s="30" t="s">
        <v>2112</v>
      </c>
      <c r="Z72" s="29">
        <v>46755</v>
      </c>
      <c r="AA72" s="24" t="s">
        <v>2177</v>
      </c>
      <c r="AB72" s="24" t="s">
        <v>2160</v>
      </c>
      <c r="AC72" s="136" t="str">
        <f t="shared" si="2"/>
        <v>Ani004Pu</v>
      </c>
      <c r="AD72" s="136" t="str">
        <f t="shared" si="3"/>
        <v>anita.gupta@company.com</v>
      </c>
    </row>
    <row r="73" spans="1:30">
      <c r="A73" s="24" t="s">
        <v>468</v>
      </c>
      <c r="B73" s="24" t="s">
        <v>127</v>
      </c>
      <c r="C73" s="24" t="s">
        <v>259</v>
      </c>
      <c r="D73" s="30">
        <v>45899</v>
      </c>
      <c r="E73" s="24" t="s">
        <v>446</v>
      </c>
      <c r="F73" s="136" t="str">
        <f>PROPER(TRIM(Sales_data!F73))</f>
        <v>Rohit Singh</v>
      </c>
      <c r="G73" s="30" t="s">
        <v>76</v>
      </c>
      <c r="H73" s="24" t="s">
        <v>131</v>
      </c>
      <c r="I73" s="24" t="s">
        <v>44</v>
      </c>
      <c r="J73" s="24" t="s">
        <v>45</v>
      </c>
      <c r="K73" s="24" t="s">
        <v>2113</v>
      </c>
      <c r="L73" s="24" t="s">
        <v>122</v>
      </c>
      <c r="M73" s="34" t="s">
        <v>263</v>
      </c>
      <c r="N73" s="37">
        <v>4</v>
      </c>
      <c r="O73" s="44">
        <v>33.75</v>
      </c>
      <c r="P73" s="35">
        <v>0.05</v>
      </c>
      <c r="Q73" s="34">
        <v>128.25</v>
      </c>
      <c r="R73" s="24">
        <v>1</v>
      </c>
      <c r="S73" s="24" t="s">
        <v>79</v>
      </c>
      <c r="T73" s="24" t="s">
        <v>49</v>
      </c>
      <c r="U73" s="34" t="str">
        <f>Sales_data!T73</f>
        <v>rohit.singh@company.com</v>
      </c>
      <c r="V73" s="24">
        <v>9512666401</v>
      </c>
      <c r="W73" s="34" t="s">
        <v>2100</v>
      </c>
      <c r="X73" s="24">
        <v>12</v>
      </c>
      <c r="Y73" s="30" t="s">
        <v>2112</v>
      </c>
      <c r="Z73" s="29">
        <v>46270</v>
      </c>
      <c r="AA73" s="24" t="s">
        <v>2176</v>
      </c>
      <c r="AB73" s="24" t="s">
        <v>2160</v>
      </c>
      <c r="AC73" s="136" t="str">
        <f t="shared" si="2"/>
        <v>Roh003De</v>
      </c>
      <c r="AD73" s="136" t="str">
        <f t="shared" si="3"/>
        <v>rohit.singh@company.com</v>
      </c>
    </row>
    <row r="74" spans="1:30">
      <c r="A74" s="24" t="s">
        <v>472</v>
      </c>
      <c r="B74" s="24" t="s">
        <v>23</v>
      </c>
      <c r="C74" s="24" t="s">
        <v>72</v>
      </c>
      <c r="D74" s="30">
        <v>46004</v>
      </c>
      <c r="E74" s="24" t="s">
        <v>474</v>
      </c>
      <c r="F74" s="136" t="str">
        <f>PROPER(TRIM(Sales_data!F74))</f>
        <v>Kavya Nair</v>
      </c>
      <c r="G74" s="30" t="s">
        <v>28</v>
      </c>
      <c r="H74" s="24" t="s">
        <v>29</v>
      </c>
      <c r="I74" s="24" t="s">
        <v>30</v>
      </c>
      <c r="J74" s="24" t="s">
        <v>31</v>
      </c>
      <c r="K74" s="24" t="s">
        <v>2111</v>
      </c>
      <c r="L74" s="24" t="s">
        <v>46</v>
      </c>
      <c r="M74" s="34" t="s">
        <v>78</v>
      </c>
      <c r="N74" s="37">
        <v>1</v>
      </c>
      <c r="O74" s="44">
        <v>900</v>
      </c>
      <c r="P74" s="35">
        <v>0.05</v>
      </c>
      <c r="Q74" s="34">
        <v>855</v>
      </c>
      <c r="R74" s="24">
        <v>3</v>
      </c>
      <c r="S74" s="24" t="s">
        <v>2149</v>
      </c>
      <c r="T74" s="24" t="s">
        <v>61</v>
      </c>
      <c r="U74" s="34" t="str">
        <f>Sales_data!T74</f>
        <v>kavya.nair@company.com</v>
      </c>
      <c r="V74" s="24">
        <v>9808988530</v>
      </c>
      <c r="W74" s="34" t="s">
        <v>2100</v>
      </c>
      <c r="X74" s="24">
        <v>6</v>
      </c>
      <c r="Y74" s="30" t="s">
        <v>2108</v>
      </c>
      <c r="Z74" s="29">
        <v>46196</v>
      </c>
      <c r="AA74" s="24" t="s">
        <v>2171</v>
      </c>
      <c r="AB74" s="24" t="s">
        <v>2108</v>
      </c>
      <c r="AC74" s="136" t="str">
        <f t="shared" si="2"/>
        <v>Kav008Hy</v>
      </c>
      <c r="AD74" s="136" t="str">
        <f t="shared" si="3"/>
        <v>kavya.nair@company.com</v>
      </c>
    </row>
    <row r="75" spans="1:30">
      <c r="A75" s="24" t="s">
        <v>477</v>
      </c>
      <c r="B75" s="24" t="s">
        <v>53</v>
      </c>
      <c r="C75" s="24" t="s">
        <v>24</v>
      </c>
      <c r="D75" s="30">
        <v>46057</v>
      </c>
      <c r="E75" s="24" t="s">
        <v>479</v>
      </c>
      <c r="F75" s="136" t="str">
        <f>PROPER(TRIM(Sales_data!F75))</f>
        <v>Pooja Shah</v>
      </c>
      <c r="G75" s="30" t="s">
        <v>28</v>
      </c>
      <c r="H75" s="24" t="s">
        <v>58</v>
      </c>
      <c r="I75" s="24" t="s">
        <v>59</v>
      </c>
      <c r="J75" s="24" t="s">
        <v>31</v>
      </c>
      <c r="K75" s="24" t="s">
        <v>2111</v>
      </c>
      <c r="L75" s="24" t="s">
        <v>32</v>
      </c>
      <c r="M75" s="34" t="s">
        <v>33</v>
      </c>
      <c r="N75" s="37">
        <v>1</v>
      </c>
      <c r="O75" s="44">
        <v>1650</v>
      </c>
      <c r="P75" s="35">
        <v>0.15</v>
      </c>
      <c r="Q75" s="34">
        <v>1402.5</v>
      </c>
      <c r="R75" s="24">
        <v>4</v>
      </c>
      <c r="S75" s="24" t="s">
        <v>79</v>
      </c>
      <c r="T75" s="24" t="s">
        <v>61</v>
      </c>
      <c r="U75" s="34" t="str">
        <f>Sales_data!T75</f>
        <v>pooja.shah@company.com</v>
      </c>
      <c r="V75" s="24">
        <v>9286410494</v>
      </c>
      <c r="W75" s="34" t="s">
        <v>2101</v>
      </c>
      <c r="X75" s="24">
        <v>24</v>
      </c>
      <c r="Y75" s="30" t="s">
        <v>2108</v>
      </c>
      <c r="Z75" s="29">
        <v>46799</v>
      </c>
      <c r="AA75" s="24" t="s">
        <v>2172</v>
      </c>
      <c r="AB75" s="24" t="s">
        <v>2108</v>
      </c>
      <c r="AC75" s="136" t="str">
        <f t="shared" si="2"/>
        <v>Poo010Be</v>
      </c>
      <c r="AD75" s="136" t="str">
        <f t="shared" si="3"/>
        <v>pooja.shah@company.com</v>
      </c>
    </row>
    <row r="76" spans="1:30">
      <c r="A76" s="24" t="s">
        <v>482</v>
      </c>
      <c r="B76" s="24" t="s">
        <v>127</v>
      </c>
      <c r="C76" s="24" t="s">
        <v>72</v>
      </c>
      <c r="D76" s="30">
        <v>46048</v>
      </c>
      <c r="E76" s="24" t="s">
        <v>484</v>
      </c>
      <c r="F76" s="136" t="str">
        <f>PROPER(TRIM(Sales_data!F76))</f>
        <v>Rohit Singh</v>
      </c>
      <c r="G76" s="30" t="s">
        <v>76</v>
      </c>
      <c r="H76" s="24" t="s">
        <v>131</v>
      </c>
      <c r="I76" s="24" t="s">
        <v>44</v>
      </c>
      <c r="J76" s="24" t="s">
        <v>45</v>
      </c>
      <c r="K76" s="24" t="s">
        <v>2113</v>
      </c>
      <c r="L76" s="24" t="s">
        <v>46</v>
      </c>
      <c r="M76" s="34" t="s">
        <v>78</v>
      </c>
      <c r="N76" s="37">
        <v>3</v>
      </c>
      <c r="O76" s="44">
        <v>900</v>
      </c>
      <c r="P76" s="35">
        <v>0.1</v>
      </c>
      <c r="Q76" s="34">
        <v>2430</v>
      </c>
      <c r="R76" s="24">
        <v>5</v>
      </c>
      <c r="S76" s="24" t="s">
        <v>34</v>
      </c>
      <c r="T76" s="24" t="s">
        <v>49</v>
      </c>
      <c r="U76" s="34" t="str">
        <f>Sales_data!T76</f>
        <v>rohit.singh@company.com</v>
      </c>
      <c r="V76" s="24">
        <v>9311555196</v>
      </c>
      <c r="W76" s="34" t="s">
        <v>2100</v>
      </c>
      <c r="X76" s="24">
        <v>6</v>
      </c>
      <c r="Y76" s="30" t="s">
        <v>2112</v>
      </c>
      <c r="Z76" s="29">
        <v>46231</v>
      </c>
      <c r="AA76" s="24" t="s">
        <v>2176</v>
      </c>
      <c r="AB76" s="24" t="s">
        <v>2108</v>
      </c>
      <c r="AC76" s="136" t="str">
        <f t="shared" si="2"/>
        <v>Roh003De</v>
      </c>
      <c r="AD76" s="136" t="str">
        <f t="shared" si="3"/>
        <v>rohit.singh@company.com</v>
      </c>
    </row>
    <row r="77" spans="1:30">
      <c r="A77" s="24" t="s">
        <v>487</v>
      </c>
      <c r="B77" s="24" t="s">
        <v>23</v>
      </c>
      <c r="C77" s="24" t="s">
        <v>92</v>
      </c>
      <c r="D77" s="30">
        <v>45835</v>
      </c>
      <c r="E77" s="24" t="s">
        <v>489</v>
      </c>
      <c r="F77" s="136" t="str">
        <f>PROPER(TRIM(Sales_data!F77))</f>
        <v>Kavya Nair</v>
      </c>
      <c r="G77" s="30" t="s">
        <v>28</v>
      </c>
      <c r="H77" s="24" t="s">
        <v>29</v>
      </c>
      <c r="I77" s="24" t="s">
        <v>30</v>
      </c>
      <c r="J77" s="24" t="s">
        <v>31</v>
      </c>
      <c r="K77" s="24" t="s">
        <v>2111</v>
      </c>
      <c r="L77" s="24" t="s">
        <v>32</v>
      </c>
      <c r="M77" s="34" t="s">
        <v>97</v>
      </c>
      <c r="N77" s="37">
        <v>10</v>
      </c>
      <c r="O77" s="44">
        <v>2625</v>
      </c>
      <c r="P77" s="35">
        <v>0.2</v>
      </c>
      <c r="Q77" s="34">
        <v>21000</v>
      </c>
      <c r="R77" s="24">
        <v>5</v>
      </c>
      <c r="S77" s="24" t="s">
        <v>79</v>
      </c>
      <c r="T77" s="24" t="s">
        <v>35</v>
      </c>
      <c r="U77" s="34" t="str">
        <f>Sales_data!T77</f>
        <v>kavya.nair@company.com</v>
      </c>
      <c r="V77" s="24">
        <v>9101810266</v>
      </c>
      <c r="W77" s="34" t="s">
        <v>2101</v>
      </c>
      <c r="X77" s="24">
        <v>6</v>
      </c>
      <c r="Y77" s="30" t="s">
        <v>2108</v>
      </c>
      <c r="Z77" s="29">
        <v>46029</v>
      </c>
      <c r="AA77" s="24" t="s">
        <v>2171</v>
      </c>
      <c r="AB77" s="24" t="s">
        <v>2108</v>
      </c>
      <c r="AC77" s="136" t="str">
        <f t="shared" si="2"/>
        <v>Kav008Hy</v>
      </c>
      <c r="AD77" s="136" t="str">
        <f t="shared" si="3"/>
        <v>kavya.nair@company.com</v>
      </c>
    </row>
    <row r="78" spans="1:30">
      <c r="A78" s="24" t="s">
        <v>492</v>
      </c>
      <c r="B78" s="24" t="s">
        <v>83</v>
      </c>
      <c r="C78" s="24" t="s">
        <v>184</v>
      </c>
      <c r="D78" s="30">
        <v>46098</v>
      </c>
      <c r="E78" s="24" t="s">
        <v>404</v>
      </c>
      <c r="F78" s="136" t="str">
        <f>PROPER(TRIM(Sales_data!F78))</f>
        <v>Arjun Rao</v>
      </c>
      <c r="G78" s="30" t="s">
        <v>76</v>
      </c>
      <c r="H78" s="24" t="s">
        <v>87</v>
      </c>
      <c r="I78" s="24" t="s">
        <v>30</v>
      </c>
      <c r="J78" s="24" t="s">
        <v>31</v>
      </c>
      <c r="K78" s="24" t="s">
        <v>2109</v>
      </c>
      <c r="L78" s="24" t="s">
        <v>46</v>
      </c>
      <c r="M78" s="34" t="s">
        <v>189</v>
      </c>
      <c r="N78" s="37">
        <v>18</v>
      </c>
      <c r="O78" s="44">
        <v>525</v>
      </c>
      <c r="P78" s="35">
        <v>0.05</v>
      </c>
      <c r="Q78" s="34">
        <v>8977.5</v>
      </c>
      <c r="R78" s="24">
        <v>3</v>
      </c>
      <c r="S78" s="24" t="s">
        <v>79</v>
      </c>
      <c r="T78" s="24" t="s">
        <v>115</v>
      </c>
      <c r="U78" s="34" t="str">
        <f>Sales_data!T78</f>
        <v>arjun.rao@company.com</v>
      </c>
      <c r="V78" s="24">
        <v>9464556593</v>
      </c>
      <c r="W78" s="34" t="s">
        <v>2100</v>
      </c>
      <c r="X78" s="24">
        <v>24</v>
      </c>
      <c r="Y78" s="30" t="s">
        <v>2108</v>
      </c>
      <c r="Z78" s="29">
        <v>46831</v>
      </c>
      <c r="AA78" s="24" t="s">
        <v>2174</v>
      </c>
      <c r="AB78" s="24" t="s">
        <v>2108</v>
      </c>
      <c r="AC78" s="136" t="str">
        <f t="shared" si="2"/>
        <v>Arj007Hy</v>
      </c>
      <c r="AD78" s="136" t="str">
        <f t="shared" si="3"/>
        <v>arjun.rao@company.com</v>
      </c>
    </row>
    <row r="79" spans="1:30">
      <c r="A79" s="24" t="s">
        <v>496</v>
      </c>
      <c r="B79" s="24" t="s">
        <v>221</v>
      </c>
      <c r="C79" s="24" t="s">
        <v>184</v>
      </c>
      <c r="D79" s="30">
        <v>45817</v>
      </c>
      <c r="E79" s="24" t="s">
        <v>498</v>
      </c>
      <c r="F79" s="136" t="str">
        <f>PROPER(TRIM(Sales_data!F79))</f>
        <v>Vikas Mehta</v>
      </c>
      <c r="G79" s="30" t="s">
        <v>76</v>
      </c>
      <c r="H79" s="24" t="s">
        <v>226</v>
      </c>
      <c r="I79" s="24" t="s">
        <v>105</v>
      </c>
      <c r="J79" s="24" t="s">
        <v>106</v>
      </c>
      <c r="K79" s="24" t="s">
        <v>2113</v>
      </c>
      <c r="L79" s="24" t="s">
        <v>46</v>
      </c>
      <c r="M79" s="34" t="s">
        <v>189</v>
      </c>
      <c r="N79" s="37">
        <v>12</v>
      </c>
      <c r="O79" s="44">
        <v>525</v>
      </c>
      <c r="P79" s="35">
        <v>0.15</v>
      </c>
      <c r="Q79" s="34">
        <v>5355</v>
      </c>
      <c r="R79" s="24">
        <v>2</v>
      </c>
      <c r="S79" s="24" t="s">
        <v>2149</v>
      </c>
      <c r="T79" s="24" t="s">
        <v>49</v>
      </c>
      <c r="U79" s="34" t="str">
        <f>Sales_data!T79</f>
        <v>vikas.mehta@company.com</v>
      </c>
      <c r="V79" s="24">
        <v>9338278358</v>
      </c>
      <c r="W79" s="34" t="s">
        <v>2100</v>
      </c>
      <c r="X79" s="24">
        <v>24</v>
      </c>
      <c r="Y79" s="30" t="s">
        <v>2112</v>
      </c>
      <c r="Z79" s="29">
        <v>46556</v>
      </c>
      <c r="AA79" s="24" t="s">
        <v>2171</v>
      </c>
      <c r="AB79" s="24" t="s">
        <v>2160</v>
      </c>
      <c r="AC79" s="136" t="str">
        <f t="shared" si="2"/>
        <v>Vik005Mu</v>
      </c>
      <c r="AD79" s="136" t="str">
        <f t="shared" si="3"/>
        <v>vikas.mehta@company.com</v>
      </c>
    </row>
    <row r="80" spans="1:30">
      <c r="A80" s="24" t="s">
        <v>501</v>
      </c>
      <c r="B80" s="24" t="s">
        <v>71</v>
      </c>
      <c r="C80" s="24" t="s">
        <v>72</v>
      </c>
      <c r="D80" s="30">
        <v>45976</v>
      </c>
      <c r="E80" s="24" t="s">
        <v>503</v>
      </c>
      <c r="F80" s="136" t="str">
        <f>PROPER(TRIM(Sales_data!F80))</f>
        <v>Mohit Verma</v>
      </c>
      <c r="G80" s="30" t="s">
        <v>76</v>
      </c>
      <c r="H80" s="24" t="s">
        <v>77</v>
      </c>
      <c r="I80" s="24" t="s">
        <v>44</v>
      </c>
      <c r="J80" s="24" t="s">
        <v>45</v>
      </c>
      <c r="K80" s="24" t="s">
        <v>2114</v>
      </c>
      <c r="L80" s="24" t="s">
        <v>46</v>
      </c>
      <c r="M80" s="34" t="s">
        <v>78</v>
      </c>
      <c r="N80" s="37">
        <v>8</v>
      </c>
      <c r="O80" s="44">
        <v>900</v>
      </c>
      <c r="P80" s="35">
        <v>0</v>
      </c>
      <c r="Q80" s="34">
        <v>7200</v>
      </c>
      <c r="R80" s="24">
        <v>4</v>
      </c>
      <c r="S80" s="24" t="s">
        <v>79</v>
      </c>
      <c r="T80" s="24" t="s">
        <v>49</v>
      </c>
      <c r="U80" s="34" t="str">
        <f>Sales_data!T80</f>
        <v>mohit.verma@company.com</v>
      </c>
      <c r="V80" s="24">
        <v>9621410770</v>
      </c>
      <c r="W80" s="34" t="s">
        <v>2100</v>
      </c>
      <c r="X80" s="24">
        <v>6</v>
      </c>
      <c r="Y80" s="30" t="s">
        <v>2110</v>
      </c>
      <c r="Z80" s="29">
        <v>46158</v>
      </c>
      <c r="AA80" s="24" t="s">
        <v>2173</v>
      </c>
      <c r="AB80" s="24" t="s">
        <v>2108</v>
      </c>
      <c r="AC80" s="136" t="str">
        <f t="shared" si="2"/>
        <v>Moh009De</v>
      </c>
      <c r="AD80" s="136" t="str">
        <f t="shared" si="3"/>
        <v>mohit.verma@company.com</v>
      </c>
    </row>
    <row r="81" spans="1:30">
      <c r="A81" s="24" t="s">
        <v>506</v>
      </c>
      <c r="B81" s="24" t="s">
        <v>127</v>
      </c>
      <c r="C81" s="24" t="s">
        <v>118</v>
      </c>
      <c r="D81" s="30">
        <v>45967</v>
      </c>
      <c r="E81" s="24" t="s">
        <v>508</v>
      </c>
      <c r="F81" s="136" t="str">
        <f>PROPER(TRIM(Sales_data!F81))</f>
        <v>Rohit Singh</v>
      </c>
      <c r="G81" s="30" t="s">
        <v>76</v>
      </c>
      <c r="H81" s="24" t="s">
        <v>131</v>
      </c>
      <c r="I81" s="24" t="s">
        <v>44</v>
      </c>
      <c r="J81" s="24" t="s">
        <v>45</v>
      </c>
      <c r="K81" s="24" t="s">
        <v>2113</v>
      </c>
      <c r="L81" s="24" t="s">
        <v>122</v>
      </c>
      <c r="M81" s="34" t="s">
        <v>123</v>
      </c>
      <c r="N81" s="37">
        <v>2</v>
      </c>
      <c r="O81" s="44">
        <v>45</v>
      </c>
      <c r="P81" s="35">
        <v>0</v>
      </c>
      <c r="Q81" s="34">
        <v>90</v>
      </c>
      <c r="R81" s="24">
        <v>2</v>
      </c>
      <c r="S81" s="24" t="s">
        <v>2149</v>
      </c>
      <c r="T81" s="24" t="s">
        <v>49</v>
      </c>
      <c r="U81" s="34" t="str">
        <f>Sales_data!T81</f>
        <v>rohit.singh@company.com</v>
      </c>
      <c r="V81" s="24">
        <v>9981333189</v>
      </c>
      <c r="W81" s="34" t="s">
        <v>2102</v>
      </c>
      <c r="X81" s="24">
        <v>12</v>
      </c>
      <c r="Y81" s="30" t="s">
        <v>2112</v>
      </c>
      <c r="Z81" s="29">
        <v>46336</v>
      </c>
      <c r="AA81" s="24" t="s">
        <v>2176</v>
      </c>
      <c r="AB81" s="24" t="s">
        <v>2160</v>
      </c>
      <c r="AC81" s="136" t="str">
        <f t="shared" si="2"/>
        <v>Roh003De</v>
      </c>
      <c r="AD81" s="136" t="str">
        <f t="shared" si="3"/>
        <v>rohit.singh@company.com</v>
      </c>
    </row>
    <row r="82" spans="1:30">
      <c r="A82" s="24" t="s">
        <v>511</v>
      </c>
      <c r="B82" s="24" t="s">
        <v>327</v>
      </c>
      <c r="C82" s="24" t="s">
        <v>259</v>
      </c>
      <c r="D82" s="30">
        <v>45658</v>
      </c>
      <c r="E82" s="24" t="s">
        <v>513</v>
      </c>
      <c r="F82" s="136" t="str">
        <f>PROPER(TRIM(Sales_data!F82))</f>
        <v>Amit Sharma</v>
      </c>
      <c r="G82" s="30" t="s">
        <v>76</v>
      </c>
      <c r="H82" s="24" t="s">
        <v>331</v>
      </c>
      <c r="I82" s="24" t="s">
        <v>114</v>
      </c>
      <c r="J82" s="24" t="s">
        <v>106</v>
      </c>
      <c r="K82" s="24" t="s">
        <v>2109</v>
      </c>
      <c r="L82" s="24" t="s">
        <v>122</v>
      </c>
      <c r="M82" s="34" t="s">
        <v>263</v>
      </c>
      <c r="N82" s="37">
        <v>10</v>
      </c>
      <c r="O82" s="44">
        <v>33.75</v>
      </c>
      <c r="P82" s="35">
        <v>0.15</v>
      </c>
      <c r="Q82" s="34">
        <v>286.875</v>
      </c>
      <c r="R82" s="24">
        <v>3</v>
      </c>
      <c r="S82" s="24" t="s">
        <v>2148</v>
      </c>
      <c r="T82" s="24" t="s">
        <v>35</v>
      </c>
      <c r="U82" s="34" t="str">
        <f>Sales_data!T82</f>
        <v>amit.sharma@company.com</v>
      </c>
      <c r="V82" s="24">
        <v>9723450355</v>
      </c>
      <c r="W82" s="34" t="s">
        <v>2100</v>
      </c>
      <c r="X82" s="24">
        <v>12</v>
      </c>
      <c r="Y82" s="30" t="s">
        <v>2108</v>
      </c>
      <c r="Z82" s="29">
        <v>46029</v>
      </c>
      <c r="AA82" s="24" t="s">
        <v>2171</v>
      </c>
      <c r="AB82" s="24" t="s">
        <v>2108</v>
      </c>
      <c r="AC82" s="136" t="str">
        <f t="shared" si="2"/>
        <v>Ami001Pu</v>
      </c>
      <c r="AD82" s="136" t="str">
        <f t="shared" si="3"/>
        <v>amit.sharma@company.com</v>
      </c>
    </row>
    <row r="83" spans="1:30">
      <c r="A83" s="24" t="s">
        <v>516</v>
      </c>
      <c r="B83" s="24" t="s">
        <v>221</v>
      </c>
      <c r="C83" s="24" t="s">
        <v>92</v>
      </c>
      <c r="D83" s="30">
        <v>46137</v>
      </c>
      <c r="E83" s="24" t="s">
        <v>518</v>
      </c>
      <c r="F83" s="136" t="str">
        <f>PROPER(TRIM(Sales_data!F83))</f>
        <v>Vikas Mehta</v>
      </c>
      <c r="G83" s="30" t="s">
        <v>76</v>
      </c>
      <c r="H83" s="24" t="s">
        <v>226</v>
      </c>
      <c r="I83" s="24" t="s">
        <v>105</v>
      </c>
      <c r="J83" s="24" t="s">
        <v>106</v>
      </c>
      <c r="K83" s="24" t="s">
        <v>2113</v>
      </c>
      <c r="L83" s="24" t="s">
        <v>32</v>
      </c>
      <c r="M83" s="34" t="s">
        <v>97</v>
      </c>
      <c r="N83" s="37">
        <v>12</v>
      </c>
      <c r="O83" s="44">
        <v>2625</v>
      </c>
      <c r="P83" s="35">
        <v>0.05</v>
      </c>
      <c r="Q83" s="34">
        <v>29925</v>
      </c>
      <c r="R83" s="24">
        <v>3</v>
      </c>
      <c r="S83" s="24" t="s">
        <v>2148</v>
      </c>
      <c r="T83" s="24" t="s">
        <v>61</v>
      </c>
      <c r="U83" s="34" t="str">
        <f>Sales_data!T83</f>
        <v>vikas.mehta@company.com</v>
      </c>
      <c r="V83" s="24">
        <v>9886243907</v>
      </c>
      <c r="W83" s="34" t="s">
        <v>2101</v>
      </c>
      <c r="X83" s="24">
        <v>6</v>
      </c>
      <c r="Y83" s="30" t="s">
        <v>2112</v>
      </c>
      <c r="Z83" s="29">
        <v>46329</v>
      </c>
      <c r="AA83" s="24" t="s">
        <v>2171</v>
      </c>
      <c r="AB83" s="24" t="s">
        <v>2108</v>
      </c>
      <c r="AC83" s="136" t="str">
        <f t="shared" si="2"/>
        <v>Vik005Mu</v>
      </c>
      <c r="AD83" s="136" t="str">
        <f t="shared" si="3"/>
        <v>vikas.mehta@company.com</v>
      </c>
    </row>
    <row r="84" spans="1:30">
      <c r="A84" s="24" t="s">
        <v>521</v>
      </c>
      <c r="B84" s="24" t="s">
        <v>127</v>
      </c>
      <c r="C84" s="24" t="s">
        <v>118</v>
      </c>
      <c r="D84" s="30">
        <v>45919</v>
      </c>
      <c r="E84" s="24" t="s">
        <v>73</v>
      </c>
      <c r="F84" s="136" t="str">
        <f>PROPER(TRIM(Sales_data!F84))</f>
        <v>Rohit Singh</v>
      </c>
      <c r="G84" s="30" t="s">
        <v>76</v>
      </c>
      <c r="H84" s="24" t="s">
        <v>131</v>
      </c>
      <c r="I84" s="24" t="s">
        <v>44</v>
      </c>
      <c r="J84" s="24" t="s">
        <v>45</v>
      </c>
      <c r="K84" s="24" t="s">
        <v>2113</v>
      </c>
      <c r="L84" s="24" t="s">
        <v>122</v>
      </c>
      <c r="M84" s="34" t="s">
        <v>123</v>
      </c>
      <c r="N84" s="37">
        <v>2</v>
      </c>
      <c r="O84" s="44">
        <v>45</v>
      </c>
      <c r="P84" s="35">
        <v>0.15</v>
      </c>
      <c r="Q84" s="34">
        <v>76.5</v>
      </c>
      <c r="R84" s="24">
        <v>1</v>
      </c>
      <c r="S84" s="24" t="s">
        <v>2149</v>
      </c>
      <c r="T84" s="24" t="s">
        <v>115</v>
      </c>
      <c r="U84" s="34" t="str">
        <f>Sales_data!T84</f>
        <v>rohit.singh@company.com</v>
      </c>
      <c r="V84" s="24">
        <v>9473931904</v>
      </c>
      <c r="W84" s="34" t="s">
        <v>2102</v>
      </c>
      <c r="X84" s="24">
        <v>12</v>
      </c>
      <c r="Y84" s="30" t="s">
        <v>2112</v>
      </c>
      <c r="Z84" s="29">
        <v>46292</v>
      </c>
      <c r="AA84" s="24" t="s">
        <v>2176</v>
      </c>
      <c r="AB84" s="24" t="s">
        <v>2160</v>
      </c>
      <c r="AC84" s="136" t="str">
        <f t="shared" si="2"/>
        <v>Roh003De</v>
      </c>
      <c r="AD84" s="136" t="str">
        <f t="shared" si="3"/>
        <v>rohit.singh@company.com</v>
      </c>
    </row>
    <row r="85" spans="1:30">
      <c r="A85" s="24" t="s">
        <v>524</v>
      </c>
      <c r="B85" s="24" t="s">
        <v>127</v>
      </c>
      <c r="C85" s="24" t="s">
        <v>72</v>
      </c>
      <c r="D85" s="30">
        <v>45734</v>
      </c>
      <c r="E85" s="24" t="s">
        <v>526</v>
      </c>
      <c r="F85" s="136" t="str">
        <f>PROPER(TRIM(Sales_data!F85))</f>
        <v>Rohit Singh</v>
      </c>
      <c r="G85" s="30" t="s">
        <v>76</v>
      </c>
      <c r="H85" s="24" t="s">
        <v>131</v>
      </c>
      <c r="I85" s="24" t="s">
        <v>44</v>
      </c>
      <c r="J85" s="24" t="s">
        <v>45</v>
      </c>
      <c r="K85" s="24" t="s">
        <v>2113</v>
      </c>
      <c r="L85" s="24" t="s">
        <v>46</v>
      </c>
      <c r="M85" s="34" t="s">
        <v>78</v>
      </c>
      <c r="N85" s="37">
        <v>18</v>
      </c>
      <c r="O85" s="44">
        <v>900</v>
      </c>
      <c r="P85" s="35">
        <v>0.15</v>
      </c>
      <c r="Q85" s="34">
        <v>13770</v>
      </c>
      <c r="R85" s="24">
        <v>3</v>
      </c>
      <c r="S85" s="24" t="s">
        <v>79</v>
      </c>
      <c r="T85" s="24" t="s">
        <v>115</v>
      </c>
      <c r="U85" s="34" t="str">
        <f>Sales_data!T85</f>
        <v>rohit.singh@company.com</v>
      </c>
      <c r="V85" s="24">
        <v>9287159610</v>
      </c>
      <c r="W85" s="34" t="s">
        <v>2100</v>
      </c>
      <c r="X85" s="24">
        <v>6</v>
      </c>
      <c r="Y85" s="30" t="s">
        <v>2112</v>
      </c>
      <c r="Z85" s="29">
        <v>45921</v>
      </c>
      <c r="AA85" s="24" t="s">
        <v>2176</v>
      </c>
      <c r="AB85" s="24" t="s">
        <v>2108</v>
      </c>
      <c r="AC85" s="136" t="str">
        <f t="shared" si="2"/>
        <v>Roh003De</v>
      </c>
      <c r="AD85" s="136" t="str">
        <f t="shared" si="3"/>
        <v>rohit.singh@company.com</v>
      </c>
    </row>
    <row r="86" spans="1:30">
      <c r="A86" s="24" t="s">
        <v>529</v>
      </c>
      <c r="B86" s="24" t="s">
        <v>23</v>
      </c>
      <c r="C86" s="24" t="s">
        <v>40</v>
      </c>
      <c r="D86" s="30">
        <v>45960</v>
      </c>
      <c r="E86" s="24" t="s">
        <v>531</v>
      </c>
      <c r="F86" s="136" t="str">
        <f>PROPER(TRIM(Sales_data!F86))</f>
        <v>Kavya Nair</v>
      </c>
      <c r="G86" s="30" t="s">
        <v>28</v>
      </c>
      <c r="H86" s="24" t="s">
        <v>29</v>
      </c>
      <c r="I86" s="24" t="s">
        <v>30</v>
      </c>
      <c r="J86" s="24" t="s">
        <v>31</v>
      </c>
      <c r="K86" s="24" t="s">
        <v>2111</v>
      </c>
      <c r="L86" s="24" t="s">
        <v>46</v>
      </c>
      <c r="M86" s="34" t="s">
        <v>47</v>
      </c>
      <c r="N86" s="37">
        <v>18</v>
      </c>
      <c r="O86" s="44">
        <v>9000</v>
      </c>
      <c r="P86" s="35">
        <v>0.15</v>
      </c>
      <c r="Q86" s="34">
        <v>137700</v>
      </c>
      <c r="R86" s="24">
        <v>2</v>
      </c>
      <c r="S86" s="24" t="s">
        <v>34</v>
      </c>
      <c r="T86" s="24" t="s">
        <v>49</v>
      </c>
      <c r="U86" s="34" t="str">
        <f>Sales_data!T86</f>
        <v>kavya.nair@company.com</v>
      </c>
      <c r="V86" s="24">
        <v>9876513858</v>
      </c>
      <c r="W86" s="34" t="s">
        <v>2101</v>
      </c>
      <c r="X86" s="24">
        <v>24</v>
      </c>
      <c r="Y86" s="30" t="s">
        <v>2108</v>
      </c>
      <c r="Z86" s="29">
        <v>46691</v>
      </c>
      <c r="AA86" s="24" t="s">
        <v>2171</v>
      </c>
      <c r="AB86" s="24" t="s">
        <v>2160</v>
      </c>
      <c r="AC86" s="136" t="str">
        <f t="shared" si="2"/>
        <v>Kav008Hy</v>
      </c>
      <c r="AD86" s="136" t="str">
        <f t="shared" si="3"/>
        <v>kavya.nair@company.com</v>
      </c>
    </row>
    <row r="87" spans="1:30">
      <c r="A87" s="24" t="s">
        <v>534</v>
      </c>
      <c r="B87" s="24" t="s">
        <v>83</v>
      </c>
      <c r="C87" s="24" t="s">
        <v>222</v>
      </c>
      <c r="D87" s="30">
        <v>45961</v>
      </c>
      <c r="E87" s="24" t="s">
        <v>535</v>
      </c>
      <c r="F87" s="136" t="str">
        <f>PROPER(TRIM(Sales_data!F87))</f>
        <v>Arjun Rao</v>
      </c>
      <c r="G87" s="30" t="s">
        <v>76</v>
      </c>
      <c r="H87" s="24" t="s">
        <v>87</v>
      </c>
      <c r="I87" s="24" t="s">
        <v>30</v>
      </c>
      <c r="J87" s="24" t="s">
        <v>31</v>
      </c>
      <c r="K87" s="24" t="s">
        <v>2109</v>
      </c>
      <c r="L87" s="24" t="s">
        <v>122</v>
      </c>
      <c r="M87" s="34" t="s">
        <v>227</v>
      </c>
      <c r="N87" s="37">
        <v>7</v>
      </c>
      <c r="O87" s="44">
        <v>15</v>
      </c>
      <c r="P87" s="35">
        <v>0</v>
      </c>
      <c r="Q87" s="34">
        <v>105</v>
      </c>
      <c r="R87" s="24">
        <v>2</v>
      </c>
      <c r="S87" s="24" t="s">
        <v>79</v>
      </c>
      <c r="T87" s="24" t="s">
        <v>35</v>
      </c>
      <c r="U87" s="34" t="str">
        <f>Sales_data!T87</f>
        <v>arjun.rao@company.com</v>
      </c>
      <c r="V87" s="24">
        <v>9237400853</v>
      </c>
      <c r="W87" s="34" t="s">
        <v>2103</v>
      </c>
      <c r="X87" s="24">
        <v>12</v>
      </c>
      <c r="Y87" s="30" t="s">
        <v>2108</v>
      </c>
      <c r="Z87" s="29">
        <v>46337</v>
      </c>
      <c r="AA87" s="24" t="s">
        <v>2174</v>
      </c>
      <c r="AB87" s="24" t="s">
        <v>2160</v>
      </c>
      <c r="AC87" s="136" t="str">
        <f t="shared" si="2"/>
        <v>Arj007Hy</v>
      </c>
      <c r="AD87" s="136" t="str">
        <f t="shared" si="3"/>
        <v>arjun.rao@company.com</v>
      </c>
    </row>
    <row r="88" spans="1:30">
      <c r="A88" s="24" t="s">
        <v>538</v>
      </c>
      <c r="B88" s="24" t="s">
        <v>251</v>
      </c>
      <c r="C88" s="24" t="s">
        <v>92</v>
      </c>
      <c r="D88" s="30">
        <v>45757</v>
      </c>
      <c r="E88" s="24" t="s">
        <v>539</v>
      </c>
      <c r="F88" s="136" t="str">
        <f>PROPER(TRIM(Sales_data!F88))</f>
        <v>Sneha Joshi</v>
      </c>
      <c r="G88" s="30" t="s">
        <v>28</v>
      </c>
      <c r="H88" s="24" t="s">
        <v>255</v>
      </c>
      <c r="I88" s="24" t="s">
        <v>114</v>
      </c>
      <c r="J88" s="24" t="s">
        <v>106</v>
      </c>
      <c r="K88" s="24" t="s">
        <v>2111</v>
      </c>
      <c r="L88" s="24" t="s">
        <v>32</v>
      </c>
      <c r="M88" s="34" t="s">
        <v>97</v>
      </c>
      <c r="N88" s="37">
        <v>20</v>
      </c>
      <c r="O88" s="44">
        <v>2625</v>
      </c>
      <c r="P88" s="35">
        <v>0.2</v>
      </c>
      <c r="Q88" s="34">
        <v>42000</v>
      </c>
      <c r="R88" s="24">
        <v>4</v>
      </c>
      <c r="S88" s="24" t="s">
        <v>79</v>
      </c>
      <c r="T88" s="24" t="s">
        <v>115</v>
      </c>
      <c r="U88" s="34" t="str">
        <f>Sales_data!T88</f>
        <v>sneha.joshi@company.com</v>
      </c>
      <c r="V88" s="24">
        <v>9599597595</v>
      </c>
      <c r="W88" s="34" t="s">
        <v>2101</v>
      </c>
      <c r="X88" s="24">
        <v>6</v>
      </c>
      <c r="Y88" s="30" t="s">
        <v>2112</v>
      </c>
      <c r="Z88" s="29">
        <v>45948</v>
      </c>
      <c r="AA88" s="24" t="s">
        <v>2173</v>
      </c>
      <c r="AB88" s="24" t="s">
        <v>2108</v>
      </c>
      <c r="AC88" s="136" t="str">
        <f t="shared" si="2"/>
        <v>Sne006Pu</v>
      </c>
      <c r="AD88" s="136" t="str">
        <f t="shared" si="3"/>
        <v>sneha.joshi@company.com</v>
      </c>
    </row>
    <row r="89" spans="1:30">
      <c r="A89" s="24" t="s">
        <v>542</v>
      </c>
      <c r="B89" s="24" t="s">
        <v>100</v>
      </c>
      <c r="C89" s="24" t="s">
        <v>169</v>
      </c>
      <c r="D89" s="30">
        <v>46097</v>
      </c>
      <c r="E89" s="24" t="s">
        <v>544</v>
      </c>
      <c r="F89" s="136" t="str">
        <f>PROPER(TRIM(Sales_data!F89))</f>
        <v>Priya Patel</v>
      </c>
      <c r="G89" s="30" t="s">
        <v>28</v>
      </c>
      <c r="H89" s="24" t="s">
        <v>104</v>
      </c>
      <c r="I89" s="24" t="s">
        <v>105</v>
      </c>
      <c r="J89" s="24" t="s">
        <v>106</v>
      </c>
      <c r="K89" s="24" t="s">
        <v>2111</v>
      </c>
      <c r="L89" s="24" t="s">
        <v>32</v>
      </c>
      <c r="M89" s="34" t="s">
        <v>174</v>
      </c>
      <c r="N89" s="37">
        <v>8</v>
      </c>
      <c r="O89" s="44">
        <v>6375</v>
      </c>
      <c r="P89" s="35">
        <v>0.2</v>
      </c>
      <c r="Q89" s="34">
        <v>40800</v>
      </c>
      <c r="R89" s="24">
        <v>3</v>
      </c>
      <c r="S89" s="24" t="s">
        <v>79</v>
      </c>
      <c r="T89" s="24" t="s">
        <v>115</v>
      </c>
      <c r="U89" s="34" t="str">
        <f>Sales_data!T89</f>
        <v>priya.patel@company.com</v>
      </c>
      <c r="V89" s="24">
        <v>9230007509</v>
      </c>
      <c r="W89" s="34" t="s">
        <v>2100</v>
      </c>
      <c r="X89" s="24">
        <v>24</v>
      </c>
      <c r="Y89" s="30" t="s">
        <v>2110</v>
      </c>
      <c r="Z89" s="29">
        <v>46838</v>
      </c>
      <c r="AA89" s="24" t="s">
        <v>2175</v>
      </c>
      <c r="AB89" s="24" t="s">
        <v>2108</v>
      </c>
      <c r="AC89" s="136" t="str">
        <f t="shared" si="2"/>
        <v>Pri002Mu</v>
      </c>
      <c r="AD89" s="136" t="str">
        <f t="shared" si="3"/>
        <v>priya.patel@company.com</v>
      </c>
    </row>
    <row r="90" spans="1:30">
      <c r="A90" s="24" t="s">
        <v>547</v>
      </c>
      <c r="B90" s="24" t="s">
        <v>327</v>
      </c>
      <c r="C90" s="24" t="s">
        <v>40</v>
      </c>
      <c r="D90" s="30">
        <v>45915</v>
      </c>
      <c r="E90" s="24" t="s">
        <v>549</v>
      </c>
      <c r="F90" s="136" t="str">
        <f>PROPER(TRIM(Sales_data!F90))</f>
        <v>Amit Sharma</v>
      </c>
      <c r="G90" s="30" t="s">
        <v>76</v>
      </c>
      <c r="H90" s="24" t="s">
        <v>331</v>
      </c>
      <c r="I90" s="24" t="s">
        <v>114</v>
      </c>
      <c r="J90" s="24" t="s">
        <v>106</v>
      </c>
      <c r="K90" s="24" t="s">
        <v>2109</v>
      </c>
      <c r="L90" s="24" t="s">
        <v>46</v>
      </c>
      <c r="M90" s="34" t="s">
        <v>47</v>
      </c>
      <c r="N90" s="37">
        <v>6</v>
      </c>
      <c r="O90" s="44">
        <v>9000</v>
      </c>
      <c r="P90" s="35">
        <v>0.05</v>
      </c>
      <c r="Q90" s="34">
        <v>51300</v>
      </c>
      <c r="R90" s="24">
        <v>4</v>
      </c>
      <c r="S90" s="24" t="s">
        <v>2148</v>
      </c>
      <c r="T90" s="24" t="s">
        <v>35</v>
      </c>
      <c r="U90" s="34" t="str">
        <f>Sales_data!T90</f>
        <v>amit.sharma@company.com</v>
      </c>
      <c r="V90" s="24">
        <v>9823428025</v>
      </c>
      <c r="W90" s="34" t="s">
        <v>2101</v>
      </c>
      <c r="X90" s="24">
        <v>24</v>
      </c>
      <c r="Y90" s="30" t="s">
        <v>2108</v>
      </c>
      <c r="Z90" s="29">
        <v>46654</v>
      </c>
      <c r="AA90" s="24" t="s">
        <v>2171</v>
      </c>
      <c r="AB90" s="24" t="s">
        <v>2112</v>
      </c>
      <c r="AC90" s="136" t="str">
        <f t="shared" si="2"/>
        <v>Ami001Pu</v>
      </c>
      <c r="AD90" s="136" t="str">
        <f t="shared" si="3"/>
        <v>amit.sharma@company.com</v>
      </c>
    </row>
    <row r="91" spans="1:30">
      <c r="A91" s="24" t="s">
        <v>553</v>
      </c>
      <c r="B91" s="24" t="s">
        <v>23</v>
      </c>
      <c r="C91" s="24" t="s">
        <v>169</v>
      </c>
      <c r="D91" s="30">
        <v>46092</v>
      </c>
      <c r="E91" s="24" t="s">
        <v>404</v>
      </c>
      <c r="F91" s="136" t="str">
        <f>PROPER(TRIM(Sales_data!F91))</f>
        <v>Kavya Nair</v>
      </c>
      <c r="G91" s="30" t="s">
        <v>28</v>
      </c>
      <c r="H91" s="24" t="s">
        <v>29</v>
      </c>
      <c r="I91" s="24" t="s">
        <v>30</v>
      </c>
      <c r="J91" s="24" t="s">
        <v>31</v>
      </c>
      <c r="K91" s="24" t="s">
        <v>2111</v>
      </c>
      <c r="L91" s="24" t="s">
        <v>32</v>
      </c>
      <c r="M91" s="34" t="s">
        <v>174</v>
      </c>
      <c r="N91" s="37">
        <v>15</v>
      </c>
      <c r="O91" s="44">
        <v>6375</v>
      </c>
      <c r="P91" s="35">
        <v>0</v>
      </c>
      <c r="Q91" s="34">
        <v>95625</v>
      </c>
      <c r="R91" s="24">
        <v>4</v>
      </c>
      <c r="S91" s="24" t="s">
        <v>2148</v>
      </c>
      <c r="T91" s="24" t="s">
        <v>35</v>
      </c>
      <c r="U91" s="34" t="str">
        <f>Sales_data!T91</f>
        <v>kavya.nair@company.com</v>
      </c>
      <c r="V91" s="24">
        <v>9505048912</v>
      </c>
      <c r="W91" s="34" t="s">
        <v>2100</v>
      </c>
      <c r="X91" s="24">
        <v>24</v>
      </c>
      <c r="Y91" s="30" t="s">
        <v>2108</v>
      </c>
      <c r="Z91" s="29">
        <v>46831</v>
      </c>
      <c r="AA91" s="24" t="s">
        <v>2171</v>
      </c>
      <c r="AB91" s="24" t="s">
        <v>2112</v>
      </c>
      <c r="AC91" s="136" t="str">
        <f t="shared" si="2"/>
        <v>Kav008Hy</v>
      </c>
      <c r="AD91" s="136" t="str">
        <f t="shared" si="3"/>
        <v>kavya.nair@company.com</v>
      </c>
    </row>
    <row r="92" spans="1:30">
      <c r="A92" s="24" t="s">
        <v>557</v>
      </c>
      <c r="B92" s="24" t="s">
        <v>53</v>
      </c>
      <c r="C92" s="24" t="s">
        <v>72</v>
      </c>
      <c r="D92" s="30">
        <v>45889</v>
      </c>
      <c r="E92" s="24" t="s">
        <v>377</v>
      </c>
      <c r="F92" s="136" t="str">
        <f>PROPER(TRIM(Sales_data!F92))</f>
        <v>Pooja Shah</v>
      </c>
      <c r="G92" s="30" t="s">
        <v>28</v>
      </c>
      <c r="H92" s="24" t="s">
        <v>58</v>
      </c>
      <c r="I92" s="24" t="s">
        <v>59</v>
      </c>
      <c r="J92" s="24" t="s">
        <v>31</v>
      </c>
      <c r="K92" s="24" t="s">
        <v>2111</v>
      </c>
      <c r="L92" s="24" t="s">
        <v>46</v>
      </c>
      <c r="M92" s="34" t="s">
        <v>78</v>
      </c>
      <c r="N92" s="37">
        <v>5</v>
      </c>
      <c r="O92" s="44">
        <v>900</v>
      </c>
      <c r="P92" s="35">
        <v>0.15</v>
      </c>
      <c r="Q92" s="34">
        <v>3825</v>
      </c>
      <c r="R92" s="24">
        <v>1</v>
      </c>
      <c r="S92" s="24" t="s">
        <v>2148</v>
      </c>
      <c r="T92" s="24" t="s">
        <v>35</v>
      </c>
      <c r="U92" s="34" t="str">
        <f>Sales_data!T92</f>
        <v>pooja.shah@company.com</v>
      </c>
      <c r="V92" s="24">
        <v>9508068393</v>
      </c>
      <c r="W92" s="34" t="s">
        <v>2100</v>
      </c>
      <c r="X92" s="24">
        <v>6</v>
      </c>
      <c r="Y92" s="30" t="s">
        <v>2108</v>
      </c>
      <c r="Z92" s="29">
        <v>46076</v>
      </c>
      <c r="AA92" s="24" t="s">
        <v>2172</v>
      </c>
      <c r="AB92" s="24" t="s">
        <v>2160</v>
      </c>
      <c r="AC92" s="136" t="str">
        <f t="shared" si="2"/>
        <v>Poo010Be</v>
      </c>
      <c r="AD92" s="136" t="str">
        <f t="shared" si="3"/>
        <v>pooja.shah@company.com</v>
      </c>
    </row>
    <row r="93" spans="1:30">
      <c r="A93" s="24" t="s">
        <v>561</v>
      </c>
      <c r="B93" s="24" t="s">
        <v>53</v>
      </c>
      <c r="C93" s="24" t="s">
        <v>222</v>
      </c>
      <c r="D93" s="30">
        <v>45882</v>
      </c>
      <c r="E93" s="24" t="s">
        <v>563</v>
      </c>
      <c r="F93" s="136" t="str">
        <f>PROPER(TRIM(Sales_data!F93))</f>
        <v>Pooja Shah</v>
      </c>
      <c r="G93" s="30" t="s">
        <v>28</v>
      </c>
      <c r="H93" s="24" t="s">
        <v>58</v>
      </c>
      <c r="I93" s="24" t="s">
        <v>59</v>
      </c>
      <c r="J93" s="24" t="s">
        <v>31</v>
      </c>
      <c r="K93" s="24" t="s">
        <v>2111</v>
      </c>
      <c r="L93" s="24" t="s">
        <v>122</v>
      </c>
      <c r="M93" s="34" t="s">
        <v>227</v>
      </c>
      <c r="N93" s="37">
        <v>4</v>
      </c>
      <c r="O93" s="44">
        <v>15</v>
      </c>
      <c r="P93" s="35">
        <v>0</v>
      </c>
      <c r="Q93" s="34">
        <v>60</v>
      </c>
      <c r="R93" s="24">
        <v>4</v>
      </c>
      <c r="S93" s="24" t="s">
        <v>2148</v>
      </c>
      <c r="T93" s="24" t="s">
        <v>49</v>
      </c>
      <c r="U93" s="34" t="str">
        <f>Sales_data!T93</f>
        <v>pooja.shah@company.com</v>
      </c>
      <c r="V93" s="24">
        <v>9785807771</v>
      </c>
      <c r="W93" s="34" t="s">
        <v>2103</v>
      </c>
      <c r="X93" s="24">
        <v>12</v>
      </c>
      <c r="Y93" s="30" t="s">
        <v>2108</v>
      </c>
      <c r="Z93" s="29">
        <v>46248</v>
      </c>
      <c r="AA93" s="24" t="s">
        <v>2172</v>
      </c>
      <c r="AB93" s="24" t="s">
        <v>2108</v>
      </c>
      <c r="AC93" s="136" t="str">
        <f t="shared" si="2"/>
        <v>Poo010Be</v>
      </c>
      <c r="AD93" s="136" t="str">
        <f t="shared" si="3"/>
        <v>pooja.shah@company.com</v>
      </c>
    </row>
    <row r="94" spans="1:30">
      <c r="A94" s="24" t="s">
        <v>566</v>
      </c>
      <c r="B94" s="24" t="s">
        <v>23</v>
      </c>
      <c r="C94" s="24" t="s">
        <v>222</v>
      </c>
      <c r="D94" s="30">
        <v>45732</v>
      </c>
      <c r="E94" s="24" t="s">
        <v>568</v>
      </c>
      <c r="F94" s="136" t="str">
        <f>PROPER(TRIM(Sales_data!F94))</f>
        <v>Kavya Nair</v>
      </c>
      <c r="G94" s="30" t="s">
        <v>28</v>
      </c>
      <c r="H94" s="24" t="s">
        <v>29</v>
      </c>
      <c r="I94" s="24" t="s">
        <v>30</v>
      </c>
      <c r="J94" s="24" t="s">
        <v>31</v>
      </c>
      <c r="K94" s="24" t="s">
        <v>2111</v>
      </c>
      <c r="L94" s="24" t="s">
        <v>122</v>
      </c>
      <c r="M94" s="34" t="s">
        <v>227</v>
      </c>
      <c r="N94" s="37">
        <v>10</v>
      </c>
      <c r="O94" s="44">
        <v>15</v>
      </c>
      <c r="P94" s="35">
        <v>0</v>
      </c>
      <c r="Q94" s="34">
        <v>150</v>
      </c>
      <c r="R94" s="24">
        <v>3</v>
      </c>
      <c r="S94" s="24" t="s">
        <v>34</v>
      </c>
      <c r="T94" s="24" t="s">
        <v>151</v>
      </c>
      <c r="U94" s="34" t="str">
        <f>Sales_data!T94</f>
        <v>kavya.nair@company.com</v>
      </c>
      <c r="V94" s="24">
        <v>9215250979</v>
      </c>
      <c r="W94" s="34" t="s">
        <v>2103</v>
      </c>
      <c r="X94" s="24">
        <v>12</v>
      </c>
      <c r="Y94" s="30" t="s">
        <v>2108</v>
      </c>
      <c r="Z94" s="29">
        <v>46101</v>
      </c>
      <c r="AA94" s="24" t="s">
        <v>2171</v>
      </c>
      <c r="AB94" s="24" t="s">
        <v>2108</v>
      </c>
      <c r="AC94" s="136" t="str">
        <f t="shared" si="2"/>
        <v>Kav008Hy</v>
      </c>
      <c r="AD94" s="136" t="str">
        <f t="shared" si="3"/>
        <v>kavya.nair@company.com</v>
      </c>
    </row>
    <row r="95" spans="1:30">
      <c r="A95" s="24" t="s">
        <v>571</v>
      </c>
      <c r="B95" s="24" t="s">
        <v>168</v>
      </c>
      <c r="C95" s="24" t="s">
        <v>24</v>
      </c>
      <c r="D95" s="30">
        <v>45904</v>
      </c>
      <c r="E95" s="24" t="s">
        <v>573</v>
      </c>
      <c r="F95" s="136" t="str">
        <f>PROPER(TRIM(Sales_data!F95))</f>
        <v>Anita Gupta</v>
      </c>
      <c r="G95" s="30" t="s">
        <v>28</v>
      </c>
      <c r="H95" s="24" t="s">
        <v>173</v>
      </c>
      <c r="I95" s="24" t="s">
        <v>114</v>
      </c>
      <c r="J95" s="24" t="s">
        <v>106</v>
      </c>
      <c r="K95" s="24" t="s">
        <v>2111</v>
      </c>
      <c r="L95" s="24" t="s">
        <v>32</v>
      </c>
      <c r="M95" s="34" t="s">
        <v>33</v>
      </c>
      <c r="N95" s="37">
        <v>18</v>
      </c>
      <c r="O95" s="44">
        <v>1650</v>
      </c>
      <c r="P95" s="35">
        <v>0.1</v>
      </c>
      <c r="Q95" s="34">
        <v>26730</v>
      </c>
      <c r="R95" s="24">
        <v>3</v>
      </c>
      <c r="S95" s="24" t="s">
        <v>34</v>
      </c>
      <c r="T95" s="24" t="s">
        <v>35</v>
      </c>
      <c r="U95" s="34" t="str">
        <f>Sales_data!T95</f>
        <v>anita.gupta@company.com</v>
      </c>
      <c r="V95" s="24">
        <v>9845884906</v>
      </c>
      <c r="W95" s="34" t="s">
        <v>2101</v>
      </c>
      <c r="X95" s="24">
        <v>24</v>
      </c>
      <c r="Y95" s="30" t="s">
        <v>2112</v>
      </c>
      <c r="Z95" s="29">
        <v>46640</v>
      </c>
      <c r="AA95" s="24" t="s">
        <v>2177</v>
      </c>
      <c r="AB95" s="24" t="s">
        <v>2108</v>
      </c>
      <c r="AC95" s="136" t="str">
        <f t="shared" si="2"/>
        <v>Ani004Pu</v>
      </c>
      <c r="AD95" s="136" t="str">
        <f t="shared" si="3"/>
        <v>anita.gupta@company.com</v>
      </c>
    </row>
    <row r="96" spans="1:30">
      <c r="A96" s="24" t="s">
        <v>576</v>
      </c>
      <c r="B96" s="24" t="s">
        <v>327</v>
      </c>
      <c r="C96" s="24" t="s">
        <v>92</v>
      </c>
      <c r="D96" s="30">
        <v>45759</v>
      </c>
      <c r="E96" s="24" t="s">
        <v>578</v>
      </c>
      <c r="F96" s="136" t="str">
        <f>PROPER(TRIM(Sales_data!F96))</f>
        <v>Amit Sharma</v>
      </c>
      <c r="G96" s="30" t="s">
        <v>76</v>
      </c>
      <c r="H96" s="24" t="s">
        <v>331</v>
      </c>
      <c r="I96" s="24" t="s">
        <v>114</v>
      </c>
      <c r="J96" s="24" t="s">
        <v>106</v>
      </c>
      <c r="K96" s="24" t="s">
        <v>2109</v>
      </c>
      <c r="L96" s="24" t="s">
        <v>32</v>
      </c>
      <c r="M96" s="34" t="s">
        <v>97</v>
      </c>
      <c r="N96" s="37">
        <v>7</v>
      </c>
      <c r="O96" s="44">
        <v>2625</v>
      </c>
      <c r="P96" s="35">
        <v>0.15</v>
      </c>
      <c r="Q96" s="34">
        <v>15618.75</v>
      </c>
      <c r="R96" s="24">
        <v>3</v>
      </c>
      <c r="S96" s="24" t="s">
        <v>2148</v>
      </c>
      <c r="T96" s="24" t="s">
        <v>49</v>
      </c>
      <c r="U96" s="34" t="str">
        <f>Sales_data!T96</f>
        <v>amit.sharma@company.com</v>
      </c>
      <c r="V96" s="24">
        <v>9393097397</v>
      </c>
      <c r="W96" s="34" t="s">
        <v>2101</v>
      </c>
      <c r="X96" s="24">
        <v>6</v>
      </c>
      <c r="Y96" s="30" t="s">
        <v>2108</v>
      </c>
      <c r="Z96" s="29">
        <v>45945</v>
      </c>
      <c r="AA96" s="24" t="s">
        <v>2171</v>
      </c>
      <c r="AB96" s="24" t="s">
        <v>2108</v>
      </c>
      <c r="AC96" s="136" t="str">
        <f t="shared" si="2"/>
        <v>Ami001Pu</v>
      </c>
      <c r="AD96" s="136" t="str">
        <f t="shared" si="3"/>
        <v>amit.sharma@company.com</v>
      </c>
    </row>
    <row r="97" spans="1:30">
      <c r="A97" s="24" t="s">
        <v>581</v>
      </c>
      <c r="B97" s="24" t="s">
        <v>100</v>
      </c>
      <c r="C97" s="24" t="s">
        <v>169</v>
      </c>
      <c r="D97" s="30">
        <v>46146</v>
      </c>
      <c r="E97" s="24" t="s">
        <v>583</v>
      </c>
      <c r="F97" s="136" t="str">
        <f>PROPER(TRIM(Sales_data!F97))</f>
        <v>Priya Patel</v>
      </c>
      <c r="G97" s="30" t="s">
        <v>28</v>
      </c>
      <c r="H97" s="24" t="s">
        <v>104</v>
      </c>
      <c r="I97" s="24" t="s">
        <v>105</v>
      </c>
      <c r="J97" s="24" t="s">
        <v>106</v>
      </c>
      <c r="K97" s="24" t="s">
        <v>2111</v>
      </c>
      <c r="L97" s="24" t="s">
        <v>32</v>
      </c>
      <c r="M97" s="34" t="s">
        <v>174</v>
      </c>
      <c r="N97" s="37">
        <v>19</v>
      </c>
      <c r="O97" s="44">
        <v>6375</v>
      </c>
      <c r="P97" s="35">
        <v>0.15</v>
      </c>
      <c r="Q97" s="34">
        <v>102956.25</v>
      </c>
      <c r="R97" s="24">
        <v>4</v>
      </c>
      <c r="S97" s="24" t="s">
        <v>79</v>
      </c>
      <c r="T97" s="24" t="s">
        <v>151</v>
      </c>
      <c r="U97" s="34" t="str">
        <f>Sales_data!T97</f>
        <v>priya.patel@company.com</v>
      </c>
      <c r="V97" s="24">
        <v>9958032109</v>
      </c>
      <c r="W97" s="34" t="s">
        <v>2100</v>
      </c>
      <c r="X97" s="24">
        <v>24</v>
      </c>
      <c r="Y97" s="30" t="s">
        <v>2110</v>
      </c>
      <c r="Z97" s="29">
        <v>46880</v>
      </c>
      <c r="AA97" s="24" t="s">
        <v>2175</v>
      </c>
      <c r="AB97" s="24" t="s">
        <v>2112</v>
      </c>
      <c r="AC97" s="136" t="str">
        <f t="shared" si="2"/>
        <v>Pri002Mu</v>
      </c>
      <c r="AD97" s="136" t="str">
        <f t="shared" si="3"/>
        <v>priya.patel@company.com</v>
      </c>
    </row>
    <row r="98" spans="1:30">
      <c r="A98" s="24" t="s">
        <v>586</v>
      </c>
      <c r="B98" s="24" t="s">
        <v>251</v>
      </c>
      <c r="C98" s="24" t="s">
        <v>40</v>
      </c>
      <c r="D98" s="30">
        <v>46040</v>
      </c>
      <c r="E98" s="24" t="s">
        <v>588</v>
      </c>
      <c r="F98" s="136" t="str">
        <f>PROPER(TRIM(Sales_data!F98))</f>
        <v>Sneha Joshi</v>
      </c>
      <c r="G98" s="30" t="s">
        <v>28</v>
      </c>
      <c r="H98" s="24" t="s">
        <v>255</v>
      </c>
      <c r="I98" s="24" t="s">
        <v>114</v>
      </c>
      <c r="J98" s="24" t="s">
        <v>106</v>
      </c>
      <c r="K98" s="24" t="s">
        <v>2111</v>
      </c>
      <c r="L98" s="24" t="s">
        <v>46</v>
      </c>
      <c r="M98" s="34" t="s">
        <v>47</v>
      </c>
      <c r="N98" s="37">
        <v>13</v>
      </c>
      <c r="O98" s="44">
        <v>9000</v>
      </c>
      <c r="P98" s="35">
        <v>0.15</v>
      </c>
      <c r="Q98" s="34">
        <v>99450</v>
      </c>
      <c r="R98" s="24">
        <v>4</v>
      </c>
      <c r="S98" s="24" t="s">
        <v>34</v>
      </c>
      <c r="T98" s="24" t="s">
        <v>49</v>
      </c>
      <c r="U98" s="34" t="str">
        <f>Sales_data!T98</f>
        <v>sneha.joshi@company.com</v>
      </c>
      <c r="V98" s="24">
        <v>9755082957</v>
      </c>
      <c r="W98" s="34" t="s">
        <v>2101</v>
      </c>
      <c r="X98" s="24">
        <v>24</v>
      </c>
      <c r="Y98" s="30" t="s">
        <v>2112</v>
      </c>
      <c r="Z98" s="29">
        <v>46779</v>
      </c>
      <c r="AA98" s="24" t="s">
        <v>2173</v>
      </c>
      <c r="AB98" s="24" t="s">
        <v>2112</v>
      </c>
      <c r="AC98" s="136" t="str">
        <f t="shared" si="2"/>
        <v>Sne006Pu</v>
      </c>
      <c r="AD98" s="136" t="str">
        <f t="shared" si="3"/>
        <v>sneha.joshi@company.com</v>
      </c>
    </row>
    <row r="99" spans="1:30">
      <c r="A99" s="24" t="s">
        <v>591</v>
      </c>
      <c r="B99" s="24" t="s">
        <v>327</v>
      </c>
      <c r="C99" s="24" t="s">
        <v>222</v>
      </c>
      <c r="D99" s="30">
        <v>46095</v>
      </c>
      <c r="E99" s="24" t="s">
        <v>398</v>
      </c>
      <c r="F99" s="136" t="str">
        <f>PROPER(TRIM(Sales_data!F99))</f>
        <v>Amit Sharma</v>
      </c>
      <c r="G99" s="30" t="s">
        <v>76</v>
      </c>
      <c r="H99" s="24" t="s">
        <v>331</v>
      </c>
      <c r="I99" s="24" t="s">
        <v>114</v>
      </c>
      <c r="J99" s="24" t="s">
        <v>106</v>
      </c>
      <c r="K99" s="24" t="s">
        <v>2109</v>
      </c>
      <c r="L99" s="24" t="s">
        <v>122</v>
      </c>
      <c r="M99" s="34" t="s">
        <v>227</v>
      </c>
      <c r="N99" s="37">
        <v>7</v>
      </c>
      <c r="O99" s="44">
        <v>15</v>
      </c>
      <c r="P99" s="35">
        <v>0</v>
      </c>
      <c r="Q99" s="34">
        <v>105</v>
      </c>
      <c r="R99" s="24">
        <v>1</v>
      </c>
      <c r="S99" s="24" t="s">
        <v>79</v>
      </c>
      <c r="T99" s="24" t="s">
        <v>151</v>
      </c>
      <c r="U99" s="34" t="str">
        <f>Sales_data!T99</f>
        <v>amit.sharma@company.com</v>
      </c>
      <c r="V99" s="24">
        <v>9872235856</v>
      </c>
      <c r="W99" s="34" t="s">
        <v>2103</v>
      </c>
      <c r="X99" s="24">
        <v>12</v>
      </c>
      <c r="Y99" s="30" t="s">
        <v>2108</v>
      </c>
      <c r="Z99" s="29">
        <v>46470</v>
      </c>
      <c r="AA99" s="24" t="s">
        <v>2171</v>
      </c>
      <c r="AB99" s="24" t="s">
        <v>2160</v>
      </c>
      <c r="AC99" s="136" t="str">
        <f t="shared" si="2"/>
        <v>Ami001Pu</v>
      </c>
      <c r="AD99" s="136" t="str">
        <f t="shared" si="3"/>
        <v>amit.sharma@company.com</v>
      </c>
    </row>
    <row r="100" spans="1:30">
      <c r="A100" s="24" t="s">
        <v>595</v>
      </c>
      <c r="B100" s="24" t="s">
        <v>168</v>
      </c>
      <c r="C100" s="24" t="s">
        <v>184</v>
      </c>
      <c r="D100" s="30">
        <v>45786</v>
      </c>
      <c r="E100" s="24" t="s">
        <v>597</v>
      </c>
      <c r="F100" s="136" t="str">
        <f>PROPER(TRIM(Sales_data!F100))</f>
        <v>Anita Gupta</v>
      </c>
      <c r="G100" s="30" t="s">
        <v>28</v>
      </c>
      <c r="H100" s="24" t="s">
        <v>173</v>
      </c>
      <c r="I100" s="24" t="s">
        <v>114</v>
      </c>
      <c r="J100" s="24" t="s">
        <v>106</v>
      </c>
      <c r="K100" s="24" t="s">
        <v>2111</v>
      </c>
      <c r="L100" s="24" t="s">
        <v>46</v>
      </c>
      <c r="M100" s="34" t="s">
        <v>189</v>
      </c>
      <c r="N100" s="37">
        <v>5</v>
      </c>
      <c r="O100" s="44">
        <v>525</v>
      </c>
      <c r="P100" s="35">
        <v>0.15</v>
      </c>
      <c r="Q100" s="34">
        <v>2231.25</v>
      </c>
      <c r="R100" s="24">
        <v>4</v>
      </c>
      <c r="S100" s="24" t="s">
        <v>79</v>
      </c>
      <c r="T100" s="24" t="s">
        <v>35</v>
      </c>
      <c r="U100" s="34" t="str">
        <f>Sales_data!T100</f>
        <v>anita.gupta@company.com</v>
      </c>
      <c r="V100" s="24">
        <v>9335138816</v>
      </c>
      <c r="W100" s="34" t="s">
        <v>2100</v>
      </c>
      <c r="X100" s="24">
        <v>24</v>
      </c>
      <c r="Y100" s="30" t="s">
        <v>2112</v>
      </c>
      <c r="Z100" s="29">
        <v>46518</v>
      </c>
      <c r="AA100" s="24" t="s">
        <v>2177</v>
      </c>
      <c r="AB100" s="24" t="s">
        <v>2108</v>
      </c>
      <c r="AC100" s="136" t="str">
        <f t="shared" si="2"/>
        <v>Ani004Pu</v>
      </c>
      <c r="AD100" s="136" t="str">
        <f t="shared" si="3"/>
        <v>anita.gupta@company.com</v>
      </c>
    </row>
    <row r="101" spans="1:30">
      <c r="A101" s="24" t="s">
        <v>600</v>
      </c>
      <c r="B101" s="24" t="s">
        <v>83</v>
      </c>
      <c r="C101" s="24" t="s">
        <v>259</v>
      </c>
      <c r="D101" s="30">
        <v>46149</v>
      </c>
      <c r="E101" s="24" t="s">
        <v>601</v>
      </c>
      <c r="F101" s="136" t="str">
        <f>PROPER(TRIM(Sales_data!F101))</f>
        <v>Arjun Rao</v>
      </c>
      <c r="G101" s="30" t="s">
        <v>76</v>
      </c>
      <c r="H101" s="24" t="s">
        <v>87</v>
      </c>
      <c r="I101" s="24" t="s">
        <v>30</v>
      </c>
      <c r="J101" s="24" t="s">
        <v>31</v>
      </c>
      <c r="K101" s="24" t="s">
        <v>2109</v>
      </c>
      <c r="L101" s="24" t="s">
        <v>122</v>
      </c>
      <c r="M101" s="34" t="s">
        <v>263</v>
      </c>
      <c r="N101" s="37">
        <v>9</v>
      </c>
      <c r="O101" s="44">
        <v>33.75</v>
      </c>
      <c r="P101" s="35">
        <v>0.05</v>
      </c>
      <c r="Q101" s="34">
        <v>288.5625</v>
      </c>
      <c r="R101" s="24">
        <v>3</v>
      </c>
      <c r="S101" s="24" t="s">
        <v>34</v>
      </c>
      <c r="T101" s="24" t="s">
        <v>35</v>
      </c>
      <c r="U101" s="34" t="str">
        <f>Sales_data!T101</f>
        <v>arjun.rao@company.com</v>
      </c>
      <c r="V101" s="24">
        <v>9750365609</v>
      </c>
      <c r="W101" s="34" t="s">
        <v>2100</v>
      </c>
      <c r="X101" s="24">
        <v>12</v>
      </c>
      <c r="Y101" s="30" t="s">
        <v>2108</v>
      </c>
      <c r="Z101" s="29">
        <v>46517</v>
      </c>
      <c r="AA101" s="24" t="s">
        <v>2174</v>
      </c>
      <c r="AB101" s="24" t="s">
        <v>2108</v>
      </c>
      <c r="AC101" s="136" t="str">
        <f t="shared" si="2"/>
        <v>Arj007Hy</v>
      </c>
      <c r="AD101" s="136" t="str">
        <f t="shared" si="3"/>
        <v>arjun.rao@company.com</v>
      </c>
    </row>
    <row r="102" spans="1:30">
      <c r="A102" s="24" t="s">
        <v>604</v>
      </c>
      <c r="B102" s="24" t="s">
        <v>127</v>
      </c>
      <c r="C102" s="24" t="s">
        <v>118</v>
      </c>
      <c r="D102" s="30">
        <v>45768</v>
      </c>
      <c r="E102" s="24" t="s">
        <v>606</v>
      </c>
      <c r="F102" s="136" t="str">
        <f>PROPER(TRIM(Sales_data!F102))</f>
        <v>Rohit Singh</v>
      </c>
      <c r="G102" s="30" t="s">
        <v>76</v>
      </c>
      <c r="H102" s="24" t="s">
        <v>131</v>
      </c>
      <c r="I102" s="24" t="s">
        <v>44</v>
      </c>
      <c r="J102" s="24" t="s">
        <v>45</v>
      </c>
      <c r="K102" s="24" t="s">
        <v>2113</v>
      </c>
      <c r="L102" s="24" t="s">
        <v>122</v>
      </c>
      <c r="M102" s="34" t="s">
        <v>123</v>
      </c>
      <c r="N102" s="37">
        <v>19</v>
      </c>
      <c r="O102" s="44">
        <v>45</v>
      </c>
      <c r="P102" s="35">
        <v>0.1</v>
      </c>
      <c r="Q102" s="34">
        <v>769.5</v>
      </c>
      <c r="R102" s="24">
        <v>5</v>
      </c>
      <c r="S102" s="24" t="s">
        <v>2148</v>
      </c>
      <c r="T102" s="24" t="s">
        <v>115</v>
      </c>
      <c r="U102" s="34" t="str">
        <f>Sales_data!T102</f>
        <v>rohit.singh@company.com</v>
      </c>
      <c r="V102" s="24">
        <v>9736812737</v>
      </c>
      <c r="W102" s="34" t="s">
        <v>2102</v>
      </c>
      <c r="X102" s="24">
        <v>12</v>
      </c>
      <c r="Y102" s="30" t="s">
        <v>2112</v>
      </c>
      <c r="Z102" s="29">
        <v>46141</v>
      </c>
      <c r="AA102" s="24" t="s">
        <v>2176</v>
      </c>
      <c r="AB102" s="24" t="s">
        <v>2108</v>
      </c>
      <c r="AC102" s="136" t="str">
        <f t="shared" si="2"/>
        <v>Roh003De</v>
      </c>
      <c r="AD102" s="136" t="str">
        <f t="shared" si="3"/>
        <v>rohit.singh@company.com</v>
      </c>
    </row>
    <row r="103" spans="1:30">
      <c r="A103" s="24" t="s">
        <v>609</v>
      </c>
      <c r="B103" s="24" t="s">
        <v>327</v>
      </c>
      <c r="C103" s="24" t="s">
        <v>184</v>
      </c>
      <c r="D103" s="30">
        <v>46002</v>
      </c>
      <c r="E103" s="24" t="s">
        <v>611</v>
      </c>
      <c r="F103" s="136" t="str">
        <f>PROPER(TRIM(Sales_data!F103))</f>
        <v>Amit Sharma</v>
      </c>
      <c r="G103" s="30" t="s">
        <v>76</v>
      </c>
      <c r="H103" s="24" t="s">
        <v>331</v>
      </c>
      <c r="I103" s="24" t="s">
        <v>114</v>
      </c>
      <c r="J103" s="24" t="s">
        <v>106</v>
      </c>
      <c r="K103" s="24" t="s">
        <v>2109</v>
      </c>
      <c r="L103" s="24" t="s">
        <v>46</v>
      </c>
      <c r="M103" s="34" t="s">
        <v>189</v>
      </c>
      <c r="N103" s="37">
        <v>4</v>
      </c>
      <c r="O103" s="44">
        <v>525</v>
      </c>
      <c r="P103" s="35">
        <v>0.05</v>
      </c>
      <c r="Q103" s="34">
        <v>1995</v>
      </c>
      <c r="R103" s="24">
        <v>3</v>
      </c>
      <c r="S103" s="24" t="s">
        <v>2148</v>
      </c>
      <c r="T103" s="24" t="s">
        <v>61</v>
      </c>
      <c r="U103" s="34" t="str">
        <f>Sales_data!T103</f>
        <v>amit.sharma@company.com</v>
      </c>
      <c r="V103" s="24">
        <v>9271420931</v>
      </c>
      <c r="W103" s="34" t="s">
        <v>2100</v>
      </c>
      <c r="X103" s="24">
        <v>24</v>
      </c>
      <c r="Y103" s="30" t="s">
        <v>2108</v>
      </c>
      <c r="Z103" s="29">
        <v>46741</v>
      </c>
      <c r="AA103" s="24" t="s">
        <v>2171</v>
      </c>
      <c r="AB103" s="24" t="s">
        <v>2108</v>
      </c>
      <c r="AC103" s="136" t="str">
        <f t="shared" si="2"/>
        <v>Ami001Pu</v>
      </c>
      <c r="AD103" s="136" t="str">
        <f t="shared" si="3"/>
        <v>amit.sharma@company.com</v>
      </c>
    </row>
    <row r="104" spans="1:30">
      <c r="A104" s="24" t="s">
        <v>614</v>
      </c>
      <c r="B104" s="24" t="s">
        <v>327</v>
      </c>
      <c r="C104" s="24" t="s">
        <v>92</v>
      </c>
      <c r="D104" s="30">
        <v>46149</v>
      </c>
      <c r="E104" s="24" t="s">
        <v>615</v>
      </c>
      <c r="F104" s="136" t="str">
        <f>PROPER(TRIM(Sales_data!F104))</f>
        <v>Amit Sharma</v>
      </c>
      <c r="G104" s="30" t="s">
        <v>76</v>
      </c>
      <c r="H104" s="24" t="s">
        <v>331</v>
      </c>
      <c r="I104" s="24" t="s">
        <v>114</v>
      </c>
      <c r="J104" s="24" t="s">
        <v>106</v>
      </c>
      <c r="K104" s="24" t="s">
        <v>2109</v>
      </c>
      <c r="L104" s="24" t="s">
        <v>32</v>
      </c>
      <c r="M104" s="34" t="s">
        <v>97</v>
      </c>
      <c r="N104" s="37">
        <v>16</v>
      </c>
      <c r="O104" s="44">
        <v>2625</v>
      </c>
      <c r="P104" s="35">
        <v>0</v>
      </c>
      <c r="Q104" s="34">
        <v>42000</v>
      </c>
      <c r="R104" s="24">
        <v>2</v>
      </c>
      <c r="S104" s="24" t="s">
        <v>79</v>
      </c>
      <c r="T104" s="24" t="s">
        <v>49</v>
      </c>
      <c r="U104" s="34" t="str">
        <f>Sales_data!T104</f>
        <v>amit.sharma@company.com</v>
      </c>
      <c r="V104" s="24">
        <v>9781411370</v>
      </c>
      <c r="W104" s="34" t="s">
        <v>2101</v>
      </c>
      <c r="X104" s="24">
        <v>6</v>
      </c>
      <c r="Y104" s="30" t="s">
        <v>2108</v>
      </c>
      <c r="Z104" s="29">
        <v>46341</v>
      </c>
      <c r="AA104" s="24" t="s">
        <v>2171</v>
      </c>
      <c r="AB104" s="24" t="s">
        <v>2160</v>
      </c>
      <c r="AC104" s="136" t="str">
        <f t="shared" si="2"/>
        <v>Ami001Pu</v>
      </c>
      <c r="AD104" s="136" t="str">
        <f t="shared" si="3"/>
        <v>amit.sharma@company.com</v>
      </c>
    </row>
    <row r="105" spans="1:30">
      <c r="A105" s="24" t="s">
        <v>618</v>
      </c>
      <c r="B105" s="24" t="s">
        <v>251</v>
      </c>
      <c r="C105" s="24" t="s">
        <v>259</v>
      </c>
      <c r="D105" s="30">
        <v>45670</v>
      </c>
      <c r="E105" s="24" t="s">
        <v>620</v>
      </c>
      <c r="F105" s="136" t="str">
        <f>PROPER(TRIM(Sales_data!F105))</f>
        <v>Sneha Joshi</v>
      </c>
      <c r="G105" s="30" t="s">
        <v>28</v>
      </c>
      <c r="H105" s="24" t="s">
        <v>255</v>
      </c>
      <c r="I105" s="24" t="s">
        <v>114</v>
      </c>
      <c r="J105" s="24" t="s">
        <v>106</v>
      </c>
      <c r="K105" s="24" t="s">
        <v>2111</v>
      </c>
      <c r="L105" s="24" t="s">
        <v>122</v>
      </c>
      <c r="M105" s="34" t="s">
        <v>263</v>
      </c>
      <c r="N105" s="37">
        <v>5</v>
      </c>
      <c r="O105" s="44">
        <v>33.75</v>
      </c>
      <c r="P105" s="35">
        <v>0.2</v>
      </c>
      <c r="Q105" s="34">
        <v>135</v>
      </c>
      <c r="R105" s="24">
        <v>3</v>
      </c>
      <c r="S105" s="24" t="s">
        <v>79</v>
      </c>
      <c r="T105" s="24" t="s">
        <v>35</v>
      </c>
      <c r="U105" s="34" t="str">
        <f>Sales_data!T105</f>
        <v>sneha.joshi@company.com</v>
      </c>
      <c r="V105" s="24">
        <v>9584152818</v>
      </c>
      <c r="W105" s="34" t="s">
        <v>2100</v>
      </c>
      <c r="X105" s="24">
        <v>12</v>
      </c>
      <c r="Y105" s="30" t="s">
        <v>2112</v>
      </c>
      <c r="Z105" s="29">
        <v>46042</v>
      </c>
      <c r="AA105" s="24" t="s">
        <v>2173</v>
      </c>
      <c r="AB105" s="24" t="s">
        <v>2108</v>
      </c>
      <c r="AC105" s="136" t="str">
        <f t="shared" si="2"/>
        <v>Sne006Pu</v>
      </c>
      <c r="AD105" s="136" t="str">
        <f t="shared" si="3"/>
        <v>sneha.joshi@company.com</v>
      </c>
    </row>
    <row r="106" spans="1:30">
      <c r="A106" s="24" t="s">
        <v>623</v>
      </c>
      <c r="B106" s="24" t="s">
        <v>83</v>
      </c>
      <c r="C106" s="24" t="s">
        <v>222</v>
      </c>
      <c r="D106" s="30">
        <v>45733</v>
      </c>
      <c r="E106" s="24" t="s">
        <v>525</v>
      </c>
      <c r="F106" s="136" t="str">
        <f>PROPER(TRIM(Sales_data!F106))</f>
        <v>Arjun Rao</v>
      </c>
      <c r="G106" s="30" t="s">
        <v>76</v>
      </c>
      <c r="H106" s="24" t="s">
        <v>87</v>
      </c>
      <c r="I106" s="24" t="s">
        <v>30</v>
      </c>
      <c r="J106" s="24" t="s">
        <v>31</v>
      </c>
      <c r="K106" s="24" t="s">
        <v>2109</v>
      </c>
      <c r="L106" s="24" t="s">
        <v>122</v>
      </c>
      <c r="M106" s="34" t="s">
        <v>227</v>
      </c>
      <c r="N106" s="37">
        <v>9</v>
      </c>
      <c r="O106" s="44">
        <v>15</v>
      </c>
      <c r="P106" s="35">
        <v>0.1</v>
      </c>
      <c r="Q106" s="34">
        <v>121.5</v>
      </c>
      <c r="R106" s="24">
        <v>4</v>
      </c>
      <c r="S106" s="24" t="s">
        <v>79</v>
      </c>
      <c r="T106" s="24" t="s">
        <v>35</v>
      </c>
      <c r="U106" s="34" t="str">
        <f>Sales_data!T106</f>
        <v>arjun.rao@company.com</v>
      </c>
      <c r="V106" s="24">
        <v>9507986836</v>
      </c>
      <c r="W106" s="34" t="s">
        <v>2103</v>
      </c>
      <c r="X106" s="24">
        <v>12</v>
      </c>
      <c r="Y106" s="30" t="s">
        <v>2108</v>
      </c>
      <c r="Z106" s="29">
        <v>46099</v>
      </c>
      <c r="AA106" s="24" t="s">
        <v>2174</v>
      </c>
      <c r="AB106" s="24" t="s">
        <v>2108</v>
      </c>
      <c r="AC106" s="136" t="str">
        <f t="shared" si="2"/>
        <v>Arj007Hy</v>
      </c>
      <c r="AD106" s="136" t="str">
        <f t="shared" si="3"/>
        <v>arjun.rao@company.com</v>
      </c>
    </row>
    <row r="107" spans="1:30">
      <c r="A107" s="24" t="s">
        <v>627</v>
      </c>
      <c r="B107" s="24" t="s">
        <v>53</v>
      </c>
      <c r="C107" s="24" t="s">
        <v>72</v>
      </c>
      <c r="D107" s="30">
        <v>45713</v>
      </c>
      <c r="E107" s="24" t="s">
        <v>431</v>
      </c>
      <c r="F107" s="136" t="str">
        <f>PROPER(TRIM(Sales_data!F107))</f>
        <v>Pooja Shah</v>
      </c>
      <c r="G107" s="30" t="s">
        <v>28</v>
      </c>
      <c r="H107" s="24" t="s">
        <v>58</v>
      </c>
      <c r="I107" s="24" t="s">
        <v>59</v>
      </c>
      <c r="J107" s="24" t="s">
        <v>31</v>
      </c>
      <c r="K107" s="24" t="s">
        <v>2111</v>
      </c>
      <c r="L107" s="24" t="s">
        <v>46</v>
      </c>
      <c r="M107" s="34" t="s">
        <v>78</v>
      </c>
      <c r="N107" s="37">
        <v>9</v>
      </c>
      <c r="O107" s="44">
        <v>900</v>
      </c>
      <c r="P107" s="35">
        <v>0.05</v>
      </c>
      <c r="Q107" s="34">
        <v>7695</v>
      </c>
      <c r="R107" s="24">
        <v>3</v>
      </c>
      <c r="S107" s="24" t="s">
        <v>2149</v>
      </c>
      <c r="T107" s="24" t="s">
        <v>35</v>
      </c>
      <c r="U107" s="34" t="str">
        <f>Sales_data!T107</f>
        <v>pooja.shah@company.com</v>
      </c>
      <c r="V107" s="24">
        <v>9518249687</v>
      </c>
      <c r="W107" s="34" t="s">
        <v>2100</v>
      </c>
      <c r="X107" s="24">
        <v>6</v>
      </c>
      <c r="Y107" s="30" t="s">
        <v>2108</v>
      </c>
      <c r="Z107" s="29">
        <v>45901</v>
      </c>
      <c r="AA107" s="24" t="s">
        <v>2172</v>
      </c>
      <c r="AB107" s="24" t="s">
        <v>2108</v>
      </c>
      <c r="AC107" s="136" t="str">
        <f t="shared" si="2"/>
        <v>Poo010Be</v>
      </c>
      <c r="AD107" s="136" t="str">
        <f t="shared" si="3"/>
        <v>pooja.shah@company.com</v>
      </c>
    </row>
    <row r="108" spans="1:30">
      <c r="A108" s="24" t="s">
        <v>631</v>
      </c>
      <c r="B108" s="24" t="s">
        <v>100</v>
      </c>
      <c r="C108" s="24" t="s">
        <v>92</v>
      </c>
      <c r="D108" s="30">
        <v>45714</v>
      </c>
      <c r="E108" s="24" t="s">
        <v>632</v>
      </c>
      <c r="F108" s="136" t="str">
        <f>PROPER(TRIM(Sales_data!F108))</f>
        <v>Priya Patel</v>
      </c>
      <c r="G108" s="30" t="s">
        <v>28</v>
      </c>
      <c r="H108" s="24" t="s">
        <v>104</v>
      </c>
      <c r="I108" s="24" t="s">
        <v>105</v>
      </c>
      <c r="J108" s="24" t="s">
        <v>106</v>
      </c>
      <c r="K108" s="24" t="s">
        <v>2111</v>
      </c>
      <c r="L108" s="24" t="s">
        <v>32</v>
      </c>
      <c r="M108" s="34" t="s">
        <v>97</v>
      </c>
      <c r="N108" s="37">
        <v>3</v>
      </c>
      <c r="O108" s="44">
        <v>2625</v>
      </c>
      <c r="P108" s="35">
        <v>0.1</v>
      </c>
      <c r="Q108" s="34">
        <v>7087.5</v>
      </c>
      <c r="R108" s="24">
        <v>2</v>
      </c>
      <c r="S108" s="24" t="s">
        <v>79</v>
      </c>
      <c r="T108" s="24" t="s">
        <v>151</v>
      </c>
      <c r="U108" s="34" t="str">
        <f>Sales_data!T108</f>
        <v>priya.patel@company.com</v>
      </c>
      <c r="V108" s="24">
        <v>9179328207</v>
      </c>
      <c r="W108" s="34" t="s">
        <v>2101</v>
      </c>
      <c r="X108" s="24">
        <v>6</v>
      </c>
      <c r="Y108" s="30" t="s">
        <v>2110</v>
      </c>
      <c r="Z108" s="29">
        <v>45896</v>
      </c>
      <c r="AA108" s="24" t="s">
        <v>2175</v>
      </c>
      <c r="AB108" s="24" t="s">
        <v>2160</v>
      </c>
      <c r="AC108" s="136" t="str">
        <f t="shared" si="2"/>
        <v>Pri002Mu</v>
      </c>
      <c r="AD108" s="136" t="str">
        <f t="shared" si="3"/>
        <v>priya.patel@company.com</v>
      </c>
    </row>
    <row r="109" spans="1:30">
      <c r="A109" s="24" t="s">
        <v>635</v>
      </c>
      <c r="B109" s="24" t="s">
        <v>221</v>
      </c>
      <c r="C109" s="24" t="s">
        <v>72</v>
      </c>
      <c r="D109" s="30">
        <v>46094</v>
      </c>
      <c r="E109" s="24" t="s">
        <v>636</v>
      </c>
      <c r="F109" s="136" t="str">
        <f>PROPER(TRIM(Sales_data!F109))</f>
        <v>Vikas Mehta</v>
      </c>
      <c r="G109" s="30" t="s">
        <v>76</v>
      </c>
      <c r="H109" s="24" t="s">
        <v>226</v>
      </c>
      <c r="I109" s="24" t="s">
        <v>105</v>
      </c>
      <c r="J109" s="24" t="s">
        <v>106</v>
      </c>
      <c r="K109" s="24" t="s">
        <v>2113</v>
      </c>
      <c r="L109" s="24" t="s">
        <v>46</v>
      </c>
      <c r="M109" s="34" t="s">
        <v>78</v>
      </c>
      <c r="N109" s="37">
        <v>6</v>
      </c>
      <c r="O109" s="44">
        <v>900</v>
      </c>
      <c r="P109" s="35">
        <v>0.15</v>
      </c>
      <c r="Q109" s="34">
        <v>4590</v>
      </c>
      <c r="R109" s="24">
        <v>4</v>
      </c>
      <c r="S109" s="24" t="s">
        <v>2149</v>
      </c>
      <c r="T109" s="24" t="s">
        <v>35</v>
      </c>
      <c r="U109" s="34" t="str">
        <f>Sales_data!T109</f>
        <v>vikas.mehta@company.com</v>
      </c>
      <c r="V109" s="24">
        <v>9778490728</v>
      </c>
      <c r="W109" s="34" t="s">
        <v>2100</v>
      </c>
      <c r="X109" s="24">
        <v>6</v>
      </c>
      <c r="Y109" s="30" t="s">
        <v>2112</v>
      </c>
      <c r="Z109" s="29">
        <v>46283</v>
      </c>
      <c r="AA109" s="24" t="s">
        <v>2171</v>
      </c>
      <c r="AB109" s="24" t="s">
        <v>2108</v>
      </c>
      <c r="AC109" s="136" t="str">
        <f t="shared" si="2"/>
        <v>Vik005Mu</v>
      </c>
      <c r="AD109" s="136" t="str">
        <f t="shared" si="3"/>
        <v>vikas.mehta@company.com</v>
      </c>
    </row>
    <row r="110" spans="1:30">
      <c r="A110" s="24" t="s">
        <v>639</v>
      </c>
      <c r="B110" s="24" t="s">
        <v>83</v>
      </c>
      <c r="C110" s="24" t="s">
        <v>72</v>
      </c>
      <c r="D110" s="30">
        <v>45848</v>
      </c>
      <c r="E110" s="24" t="s">
        <v>641</v>
      </c>
      <c r="F110" s="136" t="str">
        <f>PROPER(TRIM(Sales_data!F110))</f>
        <v>Arjun Rao</v>
      </c>
      <c r="G110" s="30" t="s">
        <v>76</v>
      </c>
      <c r="H110" s="24" t="s">
        <v>87</v>
      </c>
      <c r="I110" s="24" t="s">
        <v>30</v>
      </c>
      <c r="J110" s="24" t="s">
        <v>31</v>
      </c>
      <c r="K110" s="24" t="s">
        <v>2109</v>
      </c>
      <c r="L110" s="24" t="s">
        <v>46</v>
      </c>
      <c r="M110" s="34" t="s">
        <v>78</v>
      </c>
      <c r="N110" s="37">
        <v>17</v>
      </c>
      <c r="O110" s="44">
        <v>900</v>
      </c>
      <c r="P110" s="35">
        <v>0.15</v>
      </c>
      <c r="Q110" s="34">
        <v>13005</v>
      </c>
      <c r="R110" s="24">
        <v>1</v>
      </c>
      <c r="S110" s="24" t="s">
        <v>34</v>
      </c>
      <c r="T110" s="24" t="s">
        <v>61</v>
      </c>
      <c r="U110" s="34" t="str">
        <f>Sales_data!T110</f>
        <v>arjun.rao@company.com</v>
      </c>
      <c r="V110" s="24">
        <v>9223058722</v>
      </c>
      <c r="W110" s="34" t="s">
        <v>2100</v>
      </c>
      <c r="X110" s="24">
        <v>6</v>
      </c>
      <c r="Y110" s="30" t="s">
        <v>2108</v>
      </c>
      <c r="Z110" s="29">
        <v>46034</v>
      </c>
      <c r="AA110" s="24" t="s">
        <v>2174</v>
      </c>
      <c r="AB110" s="24" t="s">
        <v>2160</v>
      </c>
      <c r="AC110" s="136" t="str">
        <f t="shared" si="2"/>
        <v>Arj007Hy</v>
      </c>
      <c r="AD110" s="136" t="str">
        <f t="shared" si="3"/>
        <v>arjun.rao@company.com</v>
      </c>
    </row>
    <row r="111" spans="1:30">
      <c r="A111" s="24" t="s">
        <v>644</v>
      </c>
      <c r="B111" s="24" t="s">
        <v>221</v>
      </c>
      <c r="C111" s="24" t="s">
        <v>169</v>
      </c>
      <c r="D111" s="30">
        <v>45979</v>
      </c>
      <c r="E111" s="24" t="s">
        <v>287</v>
      </c>
      <c r="F111" s="136" t="str">
        <f>PROPER(TRIM(Sales_data!F111))</f>
        <v>Vikas Mehta</v>
      </c>
      <c r="G111" s="30" t="s">
        <v>76</v>
      </c>
      <c r="H111" s="24" t="s">
        <v>226</v>
      </c>
      <c r="I111" s="24" t="s">
        <v>105</v>
      </c>
      <c r="J111" s="24" t="s">
        <v>106</v>
      </c>
      <c r="K111" s="24" t="s">
        <v>2113</v>
      </c>
      <c r="L111" s="24" t="s">
        <v>32</v>
      </c>
      <c r="M111" s="34" t="s">
        <v>174</v>
      </c>
      <c r="N111" s="37">
        <v>15</v>
      </c>
      <c r="O111" s="44">
        <v>6375</v>
      </c>
      <c r="P111" s="35">
        <v>0</v>
      </c>
      <c r="Q111" s="34">
        <v>95625</v>
      </c>
      <c r="R111" s="24">
        <v>3</v>
      </c>
      <c r="S111" s="24" t="s">
        <v>34</v>
      </c>
      <c r="T111" s="24" t="s">
        <v>115</v>
      </c>
      <c r="U111" s="34" t="str">
        <f>Sales_data!T111</f>
        <v>vikas.mehta@company.com</v>
      </c>
      <c r="V111" s="24">
        <v>9999889465</v>
      </c>
      <c r="W111" s="34" t="s">
        <v>2100</v>
      </c>
      <c r="X111" s="24">
        <v>24</v>
      </c>
      <c r="Y111" s="30" t="s">
        <v>2112</v>
      </c>
      <c r="Z111" s="29">
        <v>46717</v>
      </c>
      <c r="AA111" s="24" t="s">
        <v>2171</v>
      </c>
      <c r="AB111" s="24" t="s">
        <v>2112</v>
      </c>
      <c r="AC111" s="136" t="str">
        <f t="shared" si="2"/>
        <v>Vik005Mu</v>
      </c>
      <c r="AD111" s="136" t="str">
        <f t="shared" si="3"/>
        <v>vikas.mehta@company.com</v>
      </c>
    </row>
    <row r="112" spans="1:30">
      <c r="A112" s="24" t="s">
        <v>648</v>
      </c>
      <c r="B112" s="24" t="s">
        <v>127</v>
      </c>
      <c r="C112" s="24" t="s">
        <v>72</v>
      </c>
      <c r="D112" s="30">
        <v>45760</v>
      </c>
      <c r="E112" s="24" t="s">
        <v>102</v>
      </c>
      <c r="F112" s="136" t="str">
        <f>PROPER(TRIM(Sales_data!F112))</f>
        <v>Rohit Singh</v>
      </c>
      <c r="G112" s="30" t="s">
        <v>76</v>
      </c>
      <c r="H112" s="24" t="s">
        <v>131</v>
      </c>
      <c r="I112" s="24" t="s">
        <v>44</v>
      </c>
      <c r="J112" s="24" t="s">
        <v>45</v>
      </c>
      <c r="K112" s="24" t="s">
        <v>2113</v>
      </c>
      <c r="L112" s="24" t="s">
        <v>46</v>
      </c>
      <c r="M112" s="34" t="s">
        <v>78</v>
      </c>
      <c r="N112" s="37">
        <v>1</v>
      </c>
      <c r="O112" s="44">
        <v>900</v>
      </c>
      <c r="P112" s="35">
        <v>0.2</v>
      </c>
      <c r="Q112" s="34">
        <v>720</v>
      </c>
      <c r="R112" s="24">
        <v>1</v>
      </c>
      <c r="S112" s="24" t="s">
        <v>2149</v>
      </c>
      <c r="T112" s="24" t="s">
        <v>115</v>
      </c>
      <c r="U112" s="34" t="str">
        <f>Sales_data!T112</f>
        <v>rohit.singh@company.com</v>
      </c>
      <c r="V112" s="24">
        <v>9489687402</v>
      </c>
      <c r="W112" s="34" t="s">
        <v>2100</v>
      </c>
      <c r="X112" s="24">
        <v>6</v>
      </c>
      <c r="Y112" s="30" t="s">
        <v>2112</v>
      </c>
      <c r="Z112" s="29">
        <v>45949</v>
      </c>
      <c r="AA112" s="24" t="s">
        <v>2176</v>
      </c>
      <c r="AB112" s="24" t="s">
        <v>2160</v>
      </c>
      <c r="AC112" s="136" t="str">
        <f t="shared" si="2"/>
        <v>Roh003De</v>
      </c>
      <c r="AD112" s="136" t="str">
        <f t="shared" si="3"/>
        <v>rohit.singh@company.com</v>
      </c>
    </row>
    <row r="113" spans="1:30">
      <c r="A113" s="24" t="s">
        <v>651</v>
      </c>
      <c r="B113" s="24" t="s">
        <v>127</v>
      </c>
      <c r="C113" s="24" t="s">
        <v>169</v>
      </c>
      <c r="D113" s="30">
        <v>45756</v>
      </c>
      <c r="E113" s="24" t="s">
        <v>539</v>
      </c>
      <c r="F113" s="136" t="str">
        <f>PROPER(TRIM(Sales_data!F113))</f>
        <v>Rohit Singh</v>
      </c>
      <c r="G113" s="30" t="s">
        <v>76</v>
      </c>
      <c r="H113" s="24" t="s">
        <v>131</v>
      </c>
      <c r="I113" s="24" t="s">
        <v>44</v>
      </c>
      <c r="J113" s="24" t="s">
        <v>45</v>
      </c>
      <c r="K113" s="24" t="s">
        <v>2113</v>
      </c>
      <c r="L113" s="24" t="s">
        <v>32</v>
      </c>
      <c r="M113" s="34" t="s">
        <v>174</v>
      </c>
      <c r="N113" s="37">
        <v>5</v>
      </c>
      <c r="O113" s="44">
        <v>6375</v>
      </c>
      <c r="P113" s="35">
        <v>0.1</v>
      </c>
      <c r="Q113" s="34">
        <v>28687.5</v>
      </c>
      <c r="R113" s="24">
        <v>1</v>
      </c>
      <c r="S113" s="24" t="s">
        <v>79</v>
      </c>
      <c r="T113" s="24" t="s">
        <v>61</v>
      </c>
      <c r="U113" s="34" t="str">
        <f>Sales_data!T113</f>
        <v>rohit.singh@company.com</v>
      </c>
      <c r="V113" s="24">
        <v>9236963301</v>
      </c>
      <c r="W113" s="34" t="s">
        <v>2100</v>
      </c>
      <c r="X113" s="24">
        <v>24</v>
      </c>
      <c r="Y113" s="30" t="s">
        <v>2112</v>
      </c>
      <c r="Z113" s="29">
        <v>46495</v>
      </c>
      <c r="AA113" s="24" t="s">
        <v>2176</v>
      </c>
      <c r="AB113" s="24" t="s">
        <v>2160</v>
      </c>
      <c r="AC113" s="136" t="str">
        <f t="shared" si="2"/>
        <v>Roh003De</v>
      </c>
      <c r="AD113" s="136" t="str">
        <f t="shared" si="3"/>
        <v>rohit.singh@company.com</v>
      </c>
    </row>
    <row r="114" spans="1:30">
      <c r="A114" s="24" t="s">
        <v>655</v>
      </c>
      <c r="B114" s="24" t="s">
        <v>53</v>
      </c>
      <c r="C114" s="24" t="s">
        <v>259</v>
      </c>
      <c r="D114" s="30">
        <v>46115</v>
      </c>
      <c r="E114" s="24" t="s">
        <v>657</v>
      </c>
      <c r="F114" s="136" t="str">
        <f>PROPER(TRIM(Sales_data!F114))</f>
        <v>Pooja Shah</v>
      </c>
      <c r="G114" s="30" t="s">
        <v>28</v>
      </c>
      <c r="H114" s="24" t="s">
        <v>58</v>
      </c>
      <c r="I114" s="24" t="s">
        <v>59</v>
      </c>
      <c r="J114" s="24" t="s">
        <v>31</v>
      </c>
      <c r="K114" s="24" t="s">
        <v>2111</v>
      </c>
      <c r="L114" s="24" t="s">
        <v>122</v>
      </c>
      <c r="M114" s="34" t="s">
        <v>263</v>
      </c>
      <c r="N114" s="37">
        <v>12</v>
      </c>
      <c r="O114" s="44">
        <v>33.75</v>
      </c>
      <c r="P114" s="35">
        <v>0.05</v>
      </c>
      <c r="Q114" s="34">
        <v>384.75</v>
      </c>
      <c r="R114" s="24">
        <v>2</v>
      </c>
      <c r="S114" s="24" t="s">
        <v>2148</v>
      </c>
      <c r="T114" s="24" t="s">
        <v>35</v>
      </c>
      <c r="U114" s="34" t="str">
        <f>Sales_data!T114</f>
        <v>pooja.shah@company.com</v>
      </c>
      <c r="V114" s="24">
        <v>9653594592</v>
      </c>
      <c r="W114" s="34" t="s">
        <v>2100</v>
      </c>
      <c r="X114" s="24">
        <v>12</v>
      </c>
      <c r="Y114" s="30" t="s">
        <v>2108</v>
      </c>
      <c r="Z114" s="29">
        <v>46487</v>
      </c>
      <c r="AA114" s="24" t="s">
        <v>2172</v>
      </c>
      <c r="AB114" s="24" t="s">
        <v>2160</v>
      </c>
      <c r="AC114" s="136" t="str">
        <f t="shared" si="2"/>
        <v>Poo010Be</v>
      </c>
      <c r="AD114" s="136" t="str">
        <f t="shared" si="3"/>
        <v>pooja.shah@company.com</v>
      </c>
    </row>
    <row r="115" spans="1:30">
      <c r="A115" s="24" t="s">
        <v>660</v>
      </c>
      <c r="B115" s="24" t="s">
        <v>221</v>
      </c>
      <c r="C115" s="24" t="s">
        <v>118</v>
      </c>
      <c r="D115" s="30">
        <v>45953</v>
      </c>
      <c r="E115" s="24" t="s">
        <v>661</v>
      </c>
      <c r="F115" s="136" t="str">
        <f>PROPER(TRIM(Sales_data!F115))</f>
        <v>Vikas Mehta</v>
      </c>
      <c r="G115" s="30" t="s">
        <v>76</v>
      </c>
      <c r="H115" s="24" t="s">
        <v>226</v>
      </c>
      <c r="I115" s="24" t="s">
        <v>105</v>
      </c>
      <c r="J115" s="24" t="s">
        <v>106</v>
      </c>
      <c r="K115" s="24" t="s">
        <v>2113</v>
      </c>
      <c r="L115" s="24" t="s">
        <v>122</v>
      </c>
      <c r="M115" s="34" t="s">
        <v>123</v>
      </c>
      <c r="N115" s="37">
        <v>5</v>
      </c>
      <c r="O115" s="44">
        <v>45</v>
      </c>
      <c r="P115" s="35">
        <v>0.05</v>
      </c>
      <c r="Q115" s="34">
        <v>213.75</v>
      </c>
      <c r="R115" s="24">
        <v>2</v>
      </c>
      <c r="S115" s="24" t="s">
        <v>34</v>
      </c>
      <c r="T115" s="24" t="s">
        <v>61</v>
      </c>
      <c r="U115" s="34" t="str">
        <f>Sales_data!T115</f>
        <v>vikas.mehta@company.com</v>
      </c>
      <c r="V115" s="24">
        <v>9781970426</v>
      </c>
      <c r="W115" s="34" t="s">
        <v>2102</v>
      </c>
      <c r="X115" s="24">
        <v>12</v>
      </c>
      <c r="Y115" s="30" t="s">
        <v>2112</v>
      </c>
      <c r="Z115" s="29">
        <v>46323</v>
      </c>
      <c r="AA115" s="24" t="s">
        <v>2171</v>
      </c>
      <c r="AB115" s="24" t="s">
        <v>2160</v>
      </c>
      <c r="AC115" s="136" t="str">
        <f t="shared" si="2"/>
        <v>Vik005Mu</v>
      </c>
      <c r="AD115" s="136" t="str">
        <f t="shared" si="3"/>
        <v>vikas.mehta@company.com</v>
      </c>
    </row>
    <row r="116" spans="1:30">
      <c r="A116" s="24" t="s">
        <v>664</v>
      </c>
      <c r="B116" s="24" t="s">
        <v>53</v>
      </c>
      <c r="C116" s="24" t="s">
        <v>184</v>
      </c>
      <c r="D116" s="30">
        <v>45750</v>
      </c>
      <c r="E116" s="24" t="s">
        <v>666</v>
      </c>
      <c r="F116" s="136" t="str">
        <f>PROPER(TRIM(Sales_data!F116))</f>
        <v>Pooja Shah</v>
      </c>
      <c r="G116" s="30" t="s">
        <v>28</v>
      </c>
      <c r="H116" s="24" t="s">
        <v>58</v>
      </c>
      <c r="I116" s="24" t="s">
        <v>59</v>
      </c>
      <c r="J116" s="24" t="s">
        <v>31</v>
      </c>
      <c r="K116" s="24" t="s">
        <v>2111</v>
      </c>
      <c r="L116" s="24" t="s">
        <v>46</v>
      </c>
      <c r="M116" s="34" t="s">
        <v>189</v>
      </c>
      <c r="N116" s="37">
        <v>3</v>
      </c>
      <c r="O116" s="44">
        <v>525</v>
      </c>
      <c r="P116" s="35">
        <v>0</v>
      </c>
      <c r="Q116" s="34">
        <v>1575</v>
      </c>
      <c r="R116" s="24">
        <v>4</v>
      </c>
      <c r="S116" s="24" t="s">
        <v>79</v>
      </c>
      <c r="T116" s="24" t="s">
        <v>61</v>
      </c>
      <c r="U116" s="34" t="str">
        <f>Sales_data!T116</f>
        <v>pooja.shah@company.com</v>
      </c>
      <c r="V116" s="24">
        <v>9862165194</v>
      </c>
      <c r="W116" s="34" t="s">
        <v>2100</v>
      </c>
      <c r="X116" s="24">
        <v>24</v>
      </c>
      <c r="Y116" s="30" t="s">
        <v>2108</v>
      </c>
      <c r="Z116" s="29">
        <v>46491</v>
      </c>
      <c r="AA116" s="24" t="s">
        <v>2172</v>
      </c>
      <c r="AB116" s="24" t="s">
        <v>2108</v>
      </c>
      <c r="AC116" s="136" t="str">
        <f t="shared" si="2"/>
        <v>Poo010Be</v>
      </c>
      <c r="AD116" s="136" t="str">
        <f t="shared" si="3"/>
        <v>pooja.shah@company.com</v>
      </c>
    </row>
    <row r="117" spans="1:30">
      <c r="A117" s="24" t="s">
        <v>669</v>
      </c>
      <c r="B117" s="24" t="s">
        <v>168</v>
      </c>
      <c r="C117" s="24" t="s">
        <v>222</v>
      </c>
      <c r="D117" s="30">
        <v>45772</v>
      </c>
      <c r="E117" s="24" t="s">
        <v>606</v>
      </c>
      <c r="F117" s="136" t="str">
        <f>PROPER(TRIM(Sales_data!F117))</f>
        <v>Anita Gupta</v>
      </c>
      <c r="G117" s="30" t="s">
        <v>28</v>
      </c>
      <c r="H117" s="24" t="s">
        <v>173</v>
      </c>
      <c r="I117" s="24" t="s">
        <v>114</v>
      </c>
      <c r="J117" s="24" t="s">
        <v>106</v>
      </c>
      <c r="K117" s="24" t="s">
        <v>2111</v>
      </c>
      <c r="L117" s="24" t="s">
        <v>122</v>
      </c>
      <c r="M117" s="34" t="s">
        <v>227</v>
      </c>
      <c r="N117" s="37">
        <v>6</v>
      </c>
      <c r="O117" s="44">
        <v>15</v>
      </c>
      <c r="P117" s="35">
        <v>0.15</v>
      </c>
      <c r="Q117" s="34">
        <v>76.5</v>
      </c>
      <c r="R117" s="24">
        <v>5</v>
      </c>
      <c r="S117" s="24" t="s">
        <v>79</v>
      </c>
      <c r="T117" s="24" t="s">
        <v>151</v>
      </c>
      <c r="U117" s="34" t="str">
        <f>Sales_data!T117</f>
        <v>anita.gupta@company.com</v>
      </c>
      <c r="V117" s="24">
        <v>9661280388</v>
      </c>
      <c r="W117" s="34" t="s">
        <v>2103</v>
      </c>
      <c r="X117" s="24">
        <v>12</v>
      </c>
      <c r="Y117" s="30" t="s">
        <v>2112</v>
      </c>
      <c r="Z117" s="29">
        <v>46141</v>
      </c>
      <c r="AA117" s="24" t="s">
        <v>2177</v>
      </c>
      <c r="AB117" s="24" t="s">
        <v>2108</v>
      </c>
      <c r="AC117" s="136" t="str">
        <f t="shared" si="2"/>
        <v>Ani004Pu</v>
      </c>
      <c r="AD117" s="136" t="str">
        <f t="shared" si="3"/>
        <v>anita.gupta@company.com</v>
      </c>
    </row>
    <row r="118" spans="1:30">
      <c r="A118" s="24" t="s">
        <v>672</v>
      </c>
      <c r="B118" s="24" t="s">
        <v>100</v>
      </c>
      <c r="C118" s="24" t="s">
        <v>184</v>
      </c>
      <c r="D118" s="30">
        <v>45893</v>
      </c>
      <c r="E118" s="24" t="s">
        <v>674</v>
      </c>
      <c r="F118" s="136" t="str">
        <f>PROPER(TRIM(Sales_data!F118))</f>
        <v>Priya Patel</v>
      </c>
      <c r="G118" s="30" t="s">
        <v>28</v>
      </c>
      <c r="H118" s="24" t="s">
        <v>104</v>
      </c>
      <c r="I118" s="24" t="s">
        <v>105</v>
      </c>
      <c r="J118" s="24" t="s">
        <v>106</v>
      </c>
      <c r="K118" s="24" t="s">
        <v>2111</v>
      </c>
      <c r="L118" s="24" t="s">
        <v>46</v>
      </c>
      <c r="M118" s="34" t="s">
        <v>189</v>
      </c>
      <c r="N118" s="37">
        <v>2</v>
      </c>
      <c r="O118" s="44">
        <v>525</v>
      </c>
      <c r="P118" s="35">
        <v>0.15</v>
      </c>
      <c r="Q118" s="34">
        <v>892.5</v>
      </c>
      <c r="R118" s="24">
        <v>4</v>
      </c>
      <c r="S118" s="24" t="s">
        <v>34</v>
      </c>
      <c r="T118" s="24" t="s">
        <v>151</v>
      </c>
      <c r="U118" s="34" t="str">
        <f>Sales_data!T118</f>
        <v>priya.patel@company.com</v>
      </c>
      <c r="V118" s="24">
        <v>9896985355</v>
      </c>
      <c r="W118" s="34" t="s">
        <v>2100</v>
      </c>
      <c r="X118" s="24">
        <v>24</v>
      </c>
      <c r="Y118" s="30" t="s">
        <v>2110</v>
      </c>
      <c r="Z118" s="29">
        <v>46630</v>
      </c>
      <c r="AA118" s="24" t="s">
        <v>2175</v>
      </c>
      <c r="AB118" s="24" t="s">
        <v>2108</v>
      </c>
      <c r="AC118" s="136" t="str">
        <f t="shared" si="2"/>
        <v>Pri002Mu</v>
      </c>
      <c r="AD118" s="136" t="str">
        <f t="shared" si="3"/>
        <v>priya.patel@company.com</v>
      </c>
    </row>
    <row r="119" spans="1:30">
      <c r="A119" s="24" t="s">
        <v>677</v>
      </c>
      <c r="B119" s="24" t="s">
        <v>327</v>
      </c>
      <c r="C119" s="24" t="s">
        <v>259</v>
      </c>
      <c r="D119" s="30">
        <v>45808</v>
      </c>
      <c r="E119" s="24" t="s">
        <v>679</v>
      </c>
      <c r="F119" s="136" t="str">
        <f>PROPER(TRIM(Sales_data!F119))</f>
        <v>Amit Sharma</v>
      </c>
      <c r="G119" s="30" t="s">
        <v>76</v>
      </c>
      <c r="H119" s="24" t="s">
        <v>331</v>
      </c>
      <c r="I119" s="24" t="s">
        <v>114</v>
      </c>
      <c r="J119" s="24" t="s">
        <v>106</v>
      </c>
      <c r="K119" s="24" t="s">
        <v>2109</v>
      </c>
      <c r="L119" s="24" t="s">
        <v>122</v>
      </c>
      <c r="M119" s="34" t="s">
        <v>263</v>
      </c>
      <c r="N119" s="37">
        <v>16</v>
      </c>
      <c r="O119" s="44">
        <v>33.75</v>
      </c>
      <c r="P119" s="35">
        <v>0</v>
      </c>
      <c r="Q119" s="34">
        <v>540</v>
      </c>
      <c r="R119" s="24">
        <v>1</v>
      </c>
      <c r="S119" s="24" t="s">
        <v>2148</v>
      </c>
      <c r="T119" s="24" t="s">
        <v>61</v>
      </c>
      <c r="U119" s="34" t="str">
        <f>Sales_data!T119</f>
        <v>amit.sharma@company.com</v>
      </c>
      <c r="V119" s="24">
        <v>9807154421</v>
      </c>
      <c r="W119" s="34" t="s">
        <v>2100</v>
      </c>
      <c r="X119" s="24">
        <v>12</v>
      </c>
      <c r="Y119" s="30" t="s">
        <v>2108</v>
      </c>
      <c r="Z119" s="29">
        <v>46184</v>
      </c>
      <c r="AA119" s="24" t="s">
        <v>2171</v>
      </c>
      <c r="AB119" s="24" t="s">
        <v>2160</v>
      </c>
      <c r="AC119" s="136" t="str">
        <f t="shared" si="2"/>
        <v>Ami001Pu</v>
      </c>
      <c r="AD119" s="136" t="str">
        <f t="shared" si="3"/>
        <v>amit.sharma@company.com</v>
      </c>
    </row>
    <row r="120" spans="1:30">
      <c r="A120" s="24" t="s">
        <v>682</v>
      </c>
      <c r="B120" s="24" t="s">
        <v>71</v>
      </c>
      <c r="C120" s="24" t="s">
        <v>72</v>
      </c>
      <c r="D120" s="30">
        <v>45807</v>
      </c>
      <c r="E120" s="24" t="s">
        <v>684</v>
      </c>
      <c r="F120" s="136" t="str">
        <f>PROPER(TRIM(Sales_data!F120))</f>
        <v>Mohit Verma</v>
      </c>
      <c r="G120" s="30" t="s">
        <v>76</v>
      </c>
      <c r="H120" s="24" t="s">
        <v>77</v>
      </c>
      <c r="I120" s="24" t="s">
        <v>44</v>
      </c>
      <c r="J120" s="24" t="s">
        <v>45</v>
      </c>
      <c r="K120" s="24" t="s">
        <v>2114</v>
      </c>
      <c r="L120" s="24" t="s">
        <v>46</v>
      </c>
      <c r="M120" s="34" t="s">
        <v>78</v>
      </c>
      <c r="N120" s="37">
        <v>10</v>
      </c>
      <c r="O120" s="44">
        <v>900</v>
      </c>
      <c r="P120" s="35">
        <v>0.15</v>
      </c>
      <c r="Q120" s="34">
        <v>7650</v>
      </c>
      <c r="R120" s="24">
        <v>4</v>
      </c>
      <c r="S120" s="24" t="s">
        <v>2149</v>
      </c>
      <c r="T120" s="24" t="s">
        <v>151</v>
      </c>
      <c r="U120" s="34" t="str">
        <f>Sales_data!T120</f>
        <v>mohit.verma@company.com</v>
      </c>
      <c r="V120" s="24">
        <v>9919834000</v>
      </c>
      <c r="W120" s="34" t="s">
        <v>2100</v>
      </c>
      <c r="X120" s="24">
        <v>6</v>
      </c>
      <c r="Y120" s="30" t="s">
        <v>2110</v>
      </c>
      <c r="Z120" s="29">
        <v>45993</v>
      </c>
      <c r="AA120" s="24" t="s">
        <v>2173</v>
      </c>
      <c r="AB120" s="24" t="s">
        <v>2108</v>
      </c>
      <c r="AC120" s="136" t="str">
        <f t="shared" si="2"/>
        <v>Moh009De</v>
      </c>
      <c r="AD120" s="136" t="str">
        <f t="shared" si="3"/>
        <v>mohit.verma@company.com</v>
      </c>
    </row>
    <row r="121" spans="1:30">
      <c r="A121" s="24" t="s">
        <v>688</v>
      </c>
      <c r="B121" s="24" t="s">
        <v>100</v>
      </c>
      <c r="C121" s="24" t="s">
        <v>40</v>
      </c>
      <c r="D121" s="30">
        <v>45888</v>
      </c>
      <c r="E121" s="24" t="s">
        <v>469</v>
      </c>
      <c r="F121" s="136" t="str">
        <f>PROPER(TRIM(Sales_data!F121))</f>
        <v>Priya Patel</v>
      </c>
      <c r="G121" s="30" t="s">
        <v>28</v>
      </c>
      <c r="H121" s="24" t="s">
        <v>104</v>
      </c>
      <c r="I121" s="24" t="s">
        <v>105</v>
      </c>
      <c r="J121" s="24" t="s">
        <v>106</v>
      </c>
      <c r="K121" s="24" t="s">
        <v>2111</v>
      </c>
      <c r="L121" s="24" t="s">
        <v>46</v>
      </c>
      <c r="M121" s="34" t="s">
        <v>47</v>
      </c>
      <c r="N121" s="37">
        <v>14</v>
      </c>
      <c r="O121" s="44">
        <v>9000</v>
      </c>
      <c r="P121" s="35">
        <v>0.15</v>
      </c>
      <c r="Q121" s="34">
        <v>107100</v>
      </c>
      <c r="R121" s="24">
        <v>2</v>
      </c>
      <c r="S121" s="24" t="s">
        <v>2148</v>
      </c>
      <c r="T121" s="24" t="s">
        <v>61</v>
      </c>
      <c r="U121" s="34" t="str">
        <f>Sales_data!T121</f>
        <v>priya.patel@company.com</v>
      </c>
      <c r="V121" s="24">
        <v>9739798818</v>
      </c>
      <c r="W121" s="34" t="s">
        <v>2101</v>
      </c>
      <c r="X121" s="24">
        <v>24</v>
      </c>
      <c r="Y121" s="30" t="s">
        <v>2110</v>
      </c>
      <c r="Z121" s="29">
        <v>46629</v>
      </c>
      <c r="AA121" s="24" t="s">
        <v>2175</v>
      </c>
      <c r="AB121" s="24" t="s">
        <v>2160</v>
      </c>
      <c r="AC121" s="136" t="str">
        <f t="shared" si="2"/>
        <v>Pri002Mu</v>
      </c>
      <c r="AD121" s="136" t="str">
        <f t="shared" si="3"/>
        <v>priya.patel@company.com</v>
      </c>
    </row>
    <row r="122" spans="1:30">
      <c r="A122" s="24" t="s">
        <v>691</v>
      </c>
      <c r="B122" s="24" t="s">
        <v>127</v>
      </c>
      <c r="C122" s="24" t="s">
        <v>169</v>
      </c>
      <c r="D122" s="30">
        <v>46005</v>
      </c>
      <c r="E122" s="24" t="s">
        <v>692</v>
      </c>
      <c r="F122" s="136" t="str">
        <f>PROPER(TRIM(Sales_data!F122))</f>
        <v>Rohit Singh</v>
      </c>
      <c r="G122" s="30" t="s">
        <v>76</v>
      </c>
      <c r="H122" s="24" t="s">
        <v>131</v>
      </c>
      <c r="I122" s="24" t="s">
        <v>44</v>
      </c>
      <c r="J122" s="24" t="s">
        <v>45</v>
      </c>
      <c r="K122" s="24" t="s">
        <v>2113</v>
      </c>
      <c r="L122" s="24" t="s">
        <v>32</v>
      </c>
      <c r="M122" s="34" t="s">
        <v>174</v>
      </c>
      <c r="N122" s="37">
        <v>8</v>
      </c>
      <c r="O122" s="44">
        <v>6375</v>
      </c>
      <c r="P122" s="35">
        <v>0.2</v>
      </c>
      <c r="Q122" s="34">
        <v>40800</v>
      </c>
      <c r="R122" s="24">
        <v>3</v>
      </c>
      <c r="S122" s="24" t="s">
        <v>79</v>
      </c>
      <c r="T122" s="24" t="s">
        <v>49</v>
      </c>
      <c r="U122" s="34" t="str">
        <f>Sales_data!T122</f>
        <v>rohit.singh@company.com</v>
      </c>
      <c r="V122" s="24">
        <v>9208625306</v>
      </c>
      <c r="W122" s="34" t="s">
        <v>2100</v>
      </c>
      <c r="X122" s="24">
        <v>24</v>
      </c>
      <c r="Y122" s="30" t="s">
        <v>2112</v>
      </c>
      <c r="Z122" s="29">
        <v>46737</v>
      </c>
      <c r="AA122" s="24" t="s">
        <v>2176</v>
      </c>
      <c r="AB122" s="24" t="s">
        <v>2108</v>
      </c>
      <c r="AC122" s="136" t="str">
        <f t="shared" si="2"/>
        <v>Roh003De</v>
      </c>
      <c r="AD122" s="136" t="str">
        <f t="shared" si="3"/>
        <v>rohit.singh@company.com</v>
      </c>
    </row>
    <row r="123" spans="1:30">
      <c r="A123" s="24" t="s">
        <v>695</v>
      </c>
      <c r="B123" s="24" t="s">
        <v>83</v>
      </c>
      <c r="C123" s="24" t="s">
        <v>259</v>
      </c>
      <c r="D123" s="30">
        <v>46053</v>
      </c>
      <c r="E123" s="24" t="s">
        <v>313</v>
      </c>
      <c r="F123" s="136" t="str">
        <f>PROPER(TRIM(Sales_data!F123))</f>
        <v>Arjun Rao</v>
      </c>
      <c r="G123" s="30" t="s">
        <v>76</v>
      </c>
      <c r="H123" s="24" t="s">
        <v>87</v>
      </c>
      <c r="I123" s="24" t="s">
        <v>30</v>
      </c>
      <c r="J123" s="24" t="s">
        <v>31</v>
      </c>
      <c r="K123" s="24" t="s">
        <v>2109</v>
      </c>
      <c r="L123" s="24" t="s">
        <v>122</v>
      </c>
      <c r="M123" s="34" t="s">
        <v>263</v>
      </c>
      <c r="N123" s="37">
        <v>3</v>
      </c>
      <c r="O123" s="44">
        <v>33.75</v>
      </c>
      <c r="P123" s="35">
        <v>0</v>
      </c>
      <c r="Q123" s="34">
        <v>101.25</v>
      </c>
      <c r="R123" s="24">
        <v>4</v>
      </c>
      <c r="S123" s="24" t="s">
        <v>2149</v>
      </c>
      <c r="T123" s="24" t="s">
        <v>61</v>
      </c>
      <c r="U123" s="34" t="str">
        <f>Sales_data!T123</f>
        <v>arjun.rao@company.com</v>
      </c>
      <c r="V123" s="24">
        <v>9970178536</v>
      </c>
      <c r="W123" s="34" t="s">
        <v>2100</v>
      </c>
      <c r="X123" s="24">
        <v>12</v>
      </c>
      <c r="Y123" s="30" t="s">
        <v>2108</v>
      </c>
      <c r="Z123" s="29">
        <v>46428</v>
      </c>
      <c r="AA123" s="24" t="s">
        <v>2174</v>
      </c>
      <c r="AB123" s="24" t="s">
        <v>2108</v>
      </c>
      <c r="AC123" s="136" t="str">
        <f t="shared" si="2"/>
        <v>Arj007Hy</v>
      </c>
      <c r="AD123" s="136" t="str">
        <f t="shared" si="3"/>
        <v>arjun.rao@company.com</v>
      </c>
    </row>
    <row r="124" spans="1:30">
      <c r="A124" s="24" t="s">
        <v>698</v>
      </c>
      <c r="B124" s="24" t="s">
        <v>327</v>
      </c>
      <c r="C124" s="24" t="s">
        <v>184</v>
      </c>
      <c r="D124" s="30">
        <v>46025</v>
      </c>
      <c r="E124" s="24" t="s">
        <v>84</v>
      </c>
      <c r="F124" s="136" t="str">
        <f>PROPER(TRIM(Sales_data!F124))</f>
        <v>Amit Sharma</v>
      </c>
      <c r="G124" s="30" t="s">
        <v>76</v>
      </c>
      <c r="H124" s="24" t="s">
        <v>331</v>
      </c>
      <c r="I124" s="24" t="s">
        <v>114</v>
      </c>
      <c r="J124" s="24" t="s">
        <v>106</v>
      </c>
      <c r="K124" s="24" t="s">
        <v>2109</v>
      </c>
      <c r="L124" s="24" t="s">
        <v>46</v>
      </c>
      <c r="M124" s="34" t="s">
        <v>189</v>
      </c>
      <c r="N124" s="37">
        <v>13</v>
      </c>
      <c r="O124" s="44">
        <v>525</v>
      </c>
      <c r="P124" s="35">
        <v>0.05</v>
      </c>
      <c r="Q124" s="34">
        <v>6483.75</v>
      </c>
      <c r="R124" s="24">
        <v>3</v>
      </c>
      <c r="S124" s="24" t="s">
        <v>79</v>
      </c>
      <c r="T124" s="24" t="s">
        <v>115</v>
      </c>
      <c r="U124" s="34" t="str">
        <f>Sales_data!T124</f>
        <v>amit.sharma@company.com</v>
      </c>
      <c r="V124" s="24">
        <v>9633745195</v>
      </c>
      <c r="W124" s="34" t="s">
        <v>2100</v>
      </c>
      <c r="X124" s="24">
        <v>24</v>
      </c>
      <c r="Y124" s="30" t="s">
        <v>2108</v>
      </c>
      <c r="Z124" s="29">
        <v>46756</v>
      </c>
      <c r="AA124" s="24" t="s">
        <v>2171</v>
      </c>
      <c r="AB124" s="24" t="s">
        <v>2108</v>
      </c>
      <c r="AC124" s="136" t="str">
        <f t="shared" si="2"/>
        <v>Ami001Pu</v>
      </c>
      <c r="AD124" s="136" t="str">
        <f t="shared" si="3"/>
        <v>amit.sharma@company.com</v>
      </c>
    </row>
    <row r="125" spans="1:30">
      <c r="A125" s="24" t="s">
        <v>701</v>
      </c>
      <c r="B125" s="24" t="s">
        <v>168</v>
      </c>
      <c r="C125" s="24" t="s">
        <v>72</v>
      </c>
      <c r="D125" s="30">
        <v>45950</v>
      </c>
      <c r="E125" s="24" t="s">
        <v>703</v>
      </c>
      <c r="F125" s="136" t="str">
        <f>PROPER(TRIM(Sales_data!F125))</f>
        <v>Anita Gupta</v>
      </c>
      <c r="G125" s="30" t="s">
        <v>28</v>
      </c>
      <c r="H125" s="24" t="s">
        <v>173</v>
      </c>
      <c r="I125" s="24" t="s">
        <v>114</v>
      </c>
      <c r="J125" s="24" t="s">
        <v>106</v>
      </c>
      <c r="K125" s="24" t="s">
        <v>2111</v>
      </c>
      <c r="L125" s="24" t="s">
        <v>46</v>
      </c>
      <c r="M125" s="34" t="s">
        <v>78</v>
      </c>
      <c r="N125" s="37">
        <v>14</v>
      </c>
      <c r="O125" s="44">
        <v>900</v>
      </c>
      <c r="P125" s="35">
        <v>0.2</v>
      </c>
      <c r="Q125" s="34">
        <v>10080</v>
      </c>
      <c r="R125" s="24">
        <v>5</v>
      </c>
      <c r="S125" s="24" t="s">
        <v>2148</v>
      </c>
      <c r="T125" s="24" t="s">
        <v>61</v>
      </c>
      <c r="U125" s="34" t="str">
        <f>Sales_data!T125</f>
        <v>anita.gupta@company.com</v>
      </c>
      <c r="V125" s="24">
        <v>9922102053</v>
      </c>
      <c r="W125" s="34" t="s">
        <v>2100</v>
      </c>
      <c r="X125" s="24">
        <v>6</v>
      </c>
      <c r="Y125" s="30" t="s">
        <v>2112</v>
      </c>
      <c r="Z125" s="29">
        <v>46138</v>
      </c>
      <c r="AA125" s="24" t="s">
        <v>2177</v>
      </c>
      <c r="AB125" s="24" t="s">
        <v>2108</v>
      </c>
      <c r="AC125" s="136" t="str">
        <f t="shared" si="2"/>
        <v>Ani004Pu</v>
      </c>
      <c r="AD125" s="136" t="str">
        <f t="shared" si="3"/>
        <v>anita.gupta@company.com</v>
      </c>
    </row>
    <row r="126" spans="1:30">
      <c r="A126" s="24" t="s">
        <v>706</v>
      </c>
      <c r="B126" s="24" t="s">
        <v>100</v>
      </c>
      <c r="C126" s="24" t="s">
        <v>259</v>
      </c>
      <c r="D126" s="30">
        <v>45788</v>
      </c>
      <c r="E126" s="24" t="s">
        <v>707</v>
      </c>
      <c r="F126" s="136" t="str">
        <f>PROPER(TRIM(Sales_data!F126))</f>
        <v>Priya Patel</v>
      </c>
      <c r="G126" s="30" t="s">
        <v>28</v>
      </c>
      <c r="H126" s="24" t="s">
        <v>104</v>
      </c>
      <c r="I126" s="24" t="s">
        <v>105</v>
      </c>
      <c r="J126" s="24" t="s">
        <v>106</v>
      </c>
      <c r="K126" s="24" t="s">
        <v>2111</v>
      </c>
      <c r="L126" s="24" t="s">
        <v>122</v>
      </c>
      <c r="M126" s="34" t="s">
        <v>263</v>
      </c>
      <c r="N126" s="37">
        <v>2</v>
      </c>
      <c r="O126" s="44">
        <v>33.75</v>
      </c>
      <c r="P126" s="35">
        <v>0.05</v>
      </c>
      <c r="Q126" s="34">
        <v>64.125</v>
      </c>
      <c r="R126" s="24">
        <v>3</v>
      </c>
      <c r="S126" s="24" t="s">
        <v>2149</v>
      </c>
      <c r="T126" s="24" t="s">
        <v>35</v>
      </c>
      <c r="U126" s="34" t="str">
        <f>Sales_data!T126</f>
        <v>priya.patel@company.com</v>
      </c>
      <c r="V126" s="24">
        <v>9135963930</v>
      </c>
      <c r="W126" s="34" t="s">
        <v>2100</v>
      </c>
      <c r="X126" s="24">
        <v>12</v>
      </c>
      <c r="Y126" s="30" t="s">
        <v>2110</v>
      </c>
      <c r="Z126" s="29">
        <v>46163</v>
      </c>
      <c r="AA126" s="24" t="s">
        <v>2175</v>
      </c>
      <c r="AB126" s="24" t="s">
        <v>2108</v>
      </c>
      <c r="AC126" s="136" t="str">
        <f t="shared" si="2"/>
        <v>Pri002Mu</v>
      </c>
      <c r="AD126" s="136" t="str">
        <f t="shared" si="3"/>
        <v>priya.patel@company.com</v>
      </c>
    </row>
    <row r="127" spans="1:30">
      <c r="A127" s="24" t="s">
        <v>710</v>
      </c>
      <c r="B127" s="24" t="s">
        <v>168</v>
      </c>
      <c r="C127" s="24" t="s">
        <v>72</v>
      </c>
      <c r="D127" s="30">
        <v>46024</v>
      </c>
      <c r="E127" s="24" t="s">
        <v>712</v>
      </c>
      <c r="F127" s="136" t="str">
        <f>PROPER(TRIM(Sales_data!F127))</f>
        <v>Anita Gupta</v>
      </c>
      <c r="G127" s="30" t="s">
        <v>28</v>
      </c>
      <c r="H127" s="24" t="s">
        <v>173</v>
      </c>
      <c r="I127" s="24" t="s">
        <v>114</v>
      </c>
      <c r="J127" s="24" t="s">
        <v>106</v>
      </c>
      <c r="K127" s="24" t="s">
        <v>2111</v>
      </c>
      <c r="L127" s="24" t="s">
        <v>46</v>
      </c>
      <c r="M127" s="34" t="s">
        <v>78</v>
      </c>
      <c r="N127" s="37">
        <v>2</v>
      </c>
      <c r="O127" s="44">
        <v>900</v>
      </c>
      <c r="P127" s="35">
        <v>0.2</v>
      </c>
      <c r="Q127" s="34">
        <v>1440</v>
      </c>
      <c r="R127" s="24">
        <v>3</v>
      </c>
      <c r="S127" s="24" t="s">
        <v>79</v>
      </c>
      <c r="T127" s="24" t="s">
        <v>115</v>
      </c>
      <c r="U127" s="34" t="str">
        <f>Sales_data!T127</f>
        <v>anita.gupta@company.com</v>
      </c>
      <c r="V127" s="24">
        <v>9429405275</v>
      </c>
      <c r="W127" s="34" t="s">
        <v>2100</v>
      </c>
      <c r="X127" s="24">
        <v>6</v>
      </c>
      <c r="Y127" s="30" t="s">
        <v>2112</v>
      </c>
      <c r="Z127" s="29">
        <v>46209</v>
      </c>
      <c r="AA127" s="24" t="s">
        <v>2177</v>
      </c>
      <c r="AB127" s="24" t="s">
        <v>2108</v>
      </c>
      <c r="AC127" s="136" t="str">
        <f t="shared" si="2"/>
        <v>Ani004Pu</v>
      </c>
      <c r="AD127" s="136" t="str">
        <f t="shared" si="3"/>
        <v>anita.gupta@company.com</v>
      </c>
    </row>
    <row r="128" spans="1:30">
      <c r="A128" s="24" t="s">
        <v>715</v>
      </c>
      <c r="B128" s="24" t="s">
        <v>127</v>
      </c>
      <c r="C128" s="24" t="s">
        <v>54</v>
      </c>
      <c r="D128" s="30">
        <v>46132</v>
      </c>
      <c r="E128" s="24" t="s">
        <v>716</v>
      </c>
      <c r="F128" s="136" t="str">
        <f>PROPER(TRIM(Sales_data!F128))</f>
        <v>Rohit Singh</v>
      </c>
      <c r="G128" s="30" t="s">
        <v>76</v>
      </c>
      <c r="H128" s="24" t="s">
        <v>131</v>
      </c>
      <c r="I128" s="24" t="s">
        <v>44</v>
      </c>
      <c r="J128" s="24" t="s">
        <v>45</v>
      </c>
      <c r="K128" s="24" t="s">
        <v>2113</v>
      </c>
      <c r="L128" s="24" t="s">
        <v>46</v>
      </c>
      <c r="M128" s="34" t="s">
        <v>60</v>
      </c>
      <c r="N128" s="37">
        <v>10</v>
      </c>
      <c r="O128" s="44">
        <v>41250</v>
      </c>
      <c r="P128" s="35">
        <v>0.05</v>
      </c>
      <c r="Q128" s="34">
        <v>391875</v>
      </c>
      <c r="R128" s="24">
        <v>5</v>
      </c>
      <c r="S128" s="24" t="s">
        <v>2149</v>
      </c>
      <c r="T128" s="24" t="s">
        <v>61</v>
      </c>
      <c r="U128" s="34" t="str">
        <f>Sales_data!T128</f>
        <v>rohit.singh@company.com</v>
      </c>
      <c r="V128" s="24">
        <v>9521757571</v>
      </c>
      <c r="W128" s="34" t="s">
        <v>2100</v>
      </c>
      <c r="X128" s="24">
        <v>12</v>
      </c>
      <c r="Y128" s="30" t="s">
        <v>2112</v>
      </c>
      <c r="Z128" s="29">
        <v>46503</v>
      </c>
      <c r="AA128" s="24" t="s">
        <v>2176</v>
      </c>
      <c r="AB128" s="24" t="s">
        <v>2110</v>
      </c>
      <c r="AC128" s="136" t="str">
        <f t="shared" si="2"/>
        <v>Roh003De</v>
      </c>
      <c r="AD128" s="136" t="str">
        <f t="shared" si="3"/>
        <v>rohit.singh@company.com</v>
      </c>
    </row>
    <row r="129" spans="1:30">
      <c r="A129" s="24" t="s">
        <v>719</v>
      </c>
      <c r="B129" s="24" t="s">
        <v>251</v>
      </c>
      <c r="C129" s="24" t="s">
        <v>92</v>
      </c>
      <c r="D129" s="30">
        <v>45873</v>
      </c>
      <c r="E129" s="24" t="s">
        <v>382</v>
      </c>
      <c r="F129" s="136" t="str">
        <f>PROPER(TRIM(Sales_data!F129))</f>
        <v>Sneha Joshi</v>
      </c>
      <c r="G129" s="30" t="s">
        <v>28</v>
      </c>
      <c r="H129" s="24" t="s">
        <v>255</v>
      </c>
      <c r="I129" s="24" t="s">
        <v>114</v>
      </c>
      <c r="J129" s="24" t="s">
        <v>106</v>
      </c>
      <c r="K129" s="24" t="s">
        <v>2111</v>
      </c>
      <c r="L129" s="24" t="s">
        <v>32</v>
      </c>
      <c r="M129" s="34" t="s">
        <v>97</v>
      </c>
      <c r="N129" s="37">
        <v>15</v>
      </c>
      <c r="O129" s="44">
        <v>2625</v>
      </c>
      <c r="P129" s="35">
        <v>0.1</v>
      </c>
      <c r="Q129" s="34">
        <v>35437.5</v>
      </c>
      <c r="R129" s="24">
        <v>3</v>
      </c>
      <c r="S129" s="24" t="s">
        <v>2148</v>
      </c>
      <c r="T129" s="24" t="s">
        <v>115</v>
      </c>
      <c r="U129" s="34" t="str">
        <f>Sales_data!T129</f>
        <v>sneha.joshi@company.com</v>
      </c>
      <c r="V129" s="24">
        <v>9467375455</v>
      </c>
      <c r="W129" s="34" t="s">
        <v>2101</v>
      </c>
      <c r="X129" s="24">
        <v>6</v>
      </c>
      <c r="Y129" s="30" t="s">
        <v>2112</v>
      </c>
      <c r="Z129" s="29">
        <v>46058</v>
      </c>
      <c r="AA129" s="24" t="s">
        <v>2173</v>
      </c>
      <c r="AB129" s="24" t="s">
        <v>2108</v>
      </c>
      <c r="AC129" s="136" t="str">
        <f t="shared" si="2"/>
        <v>Sne006Pu</v>
      </c>
      <c r="AD129" s="136" t="str">
        <f t="shared" si="3"/>
        <v>sneha.joshi@company.com</v>
      </c>
    </row>
    <row r="130" spans="1:30">
      <c r="A130" s="24" t="s">
        <v>723</v>
      </c>
      <c r="B130" s="24" t="s">
        <v>100</v>
      </c>
      <c r="C130" s="24" t="s">
        <v>24</v>
      </c>
      <c r="D130" s="30">
        <v>45882</v>
      </c>
      <c r="E130" s="24" t="s">
        <v>724</v>
      </c>
      <c r="F130" s="136" t="str">
        <f>PROPER(TRIM(Sales_data!F130))</f>
        <v>Priya Patel</v>
      </c>
      <c r="G130" s="30" t="s">
        <v>28</v>
      </c>
      <c r="H130" s="24" t="s">
        <v>104</v>
      </c>
      <c r="I130" s="24" t="s">
        <v>105</v>
      </c>
      <c r="J130" s="24" t="s">
        <v>106</v>
      </c>
      <c r="K130" s="24" t="s">
        <v>2111</v>
      </c>
      <c r="L130" s="24" t="s">
        <v>32</v>
      </c>
      <c r="M130" s="34" t="s">
        <v>33</v>
      </c>
      <c r="N130" s="37">
        <v>10</v>
      </c>
      <c r="O130" s="44">
        <v>1650</v>
      </c>
      <c r="P130" s="35">
        <v>0.15</v>
      </c>
      <c r="Q130" s="34">
        <v>14025</v>
      </c>
      <c r="R130" s="24">
        <v>4</v>
      </c>
      <c r="S130" s="24" t="s">
        <v>79</v>
      </c>
      <c r="T130" s="24" t="s">
        <v>49</v>
      </c>
      <c r="U130" s="34" t="str">
        <f>Sales_data!T130</f>
        <v>priya.patel@company.com</v>
      </c>
      <c r="V130" s="24">
        <v>9838809695</v>
      </c>
      <c r="W130" s="34" t="s">
        <v>2101</v>
      </c>
      <c r="X130" s="24">
        <v>24</v>
      </c>
      <c r="Y130" s="30" t="s">
        <v>2110</v>
      </c>
      <c r="Z130" s="29">
        <v>46617</v>
      </c>
      <c r="AA130" s="24" t="s">
        <v>2175</v>
      </c>
      <c r="AB130" s="24" t="s">
        <v>2108</v>
      </c>
      <c r="AC130" s="136" t="str">
        <f t="shared" si="2"/>
        <v>Pri002Mu</v>
      </c>
      <c r="AD130" s="136" t="str">
        <f t="shared" si="3"/>
        <v>priya.patel@company.com</v>
      </c>
    </row>
    <row r="131" spans="1:30">
      <c r="A131" s="24" t="s">
        <v>727</v>
      </c>
      <c r="B131" s="24" t="s">
        <v>251</v>
      </c>
      <c r="C131" s="24" t="s">
        <v>92</v>
      </c>
      <c r="D131" s="30">
        <v>45824</v>
      </c>
      <c r="E131" s="24" t="s">
        <v>231</v>
      </c>
      <c r="F131" s="136" t="str">
        <f>PROPER(TRIM(Sales_data!F131))</f>
        <v>Sneha Joshi</v>
      </c>
      <c r="G131" s="30" t="s">
        <v>28</v>
      </c>
      <c r="H131" s="24" t="s">
        <v>255</v>
      </c>
      <c r="I131" s="24" t="s">
        <v>114</v>
      </c>
      <c r="J131" s="24" t="s">
        <v>106</v>
      </c>
      <c r="K131" s="24" t="s">
        <v>2111</v>
      </c>
      <c r="L131" s="24" t="s">
        <v>32</v>
      </c>
      <c r="M131" s="34" t="s">
        <v>97</v>
      </c>
      <c r="N131" s="37">
        <v>11</v>
      </c>
      <c r="O131" s="44">
        <v>2625</v>
      </c>
      <c r="P131" s="35">
        <v>0.05</v>
      </c>
      <c r="Q131" s="34">
        <v>27431.25</v>
      </c>
      <c r="R131" s="24">
        <v>5</v>
      </c>
      <c r="S131" s="24" t="s">
        <v>34</v>
      </c>
      <c r="T131" s="24" t="s">
        <v>35</v>
      </c>
      <c r="U131" s="34" t="str">
        <f>Sales_data!T131</f>
        <v>sneha.joshi@company.com</v>
      </c>
      <c r="V131" s="24">
        <v>9296609782</v>
      </c>
      <c r="W131" s="34" t="s">
        <v>2101</v>
      </c>
      <c r="X131" s="24">
        <v>6</v>
      </c>
      <c r="Y131" s="30" t="s">
        <v>2112</v>
      </c>
      <c r="Z131" s="29">
        <v>46015</v>
      </c>
      <c r="AA131" s="24" t="s">
        <v>2173</v>
      </c>
      <c r="AB131" s="24" t="s">
        <v>2108</v>
      </c>
      <c r="AC131" s="136" t="str">
        <f t="shared" ref="AC131:AC194" si="4">PROPER(LEFT(TRIM(F131), 3)) &amp; RIGHT(TRIM(B131), 3) &amp; PROPER(LEFT(TRIM(I131), 2))</f>
        <v>Sne006Pu</v>
      </c>
      <c r="AD131" s="136" t="str">
        <f t="shared" ref="AD131:AD194" si="5">IF(ISNUMBER(SEARCH("@", U131)), LOWER(TRIM(U131)), "Invalid Email")</f>
        <v>sneha.joshi@company.com</v>
      </c>
    </row>
    <row r="132" spans="1:30">
      <c r="A132" s="24" t="s">
        <v>730</v>
      </c>
      <c r="B132" s="24" t="s">
        <v>168</v>
      </c>
      <c r="C132" s="24" t="s">
        <v>72</v>
      </c>
      <c r="D132" s="30">
        <v>46139</v>
      </c>
      <c r="E132" s="24" t="s">
        <v>732</v>
      </c>
      <c r="F132" s="136" t="str">
        <f>PROPER(TRIM(Sales_data!F132))</f>
        <v>Anita Gupta</v>
      </c>
      <c r="G132" s="30" t="s">
        <v>28</v>
      </c>
      <c r="H132" s="24" t="s">
        <v>173</v>
      </c>
      <c r="I132" s="24" t="s">
        <v>114</v>
      </c>
      <c r="J132" s="24" t="s">
        <v>106</v>
      </c>
      <c r="K132" s="24" t="s">
        <v>2111</v>
      </c>
      <c r="L132" s="24" t="s">
        <v>46</v>
      </c>
      <c r="M132" s="34" t="s">
        <v>78</v>
      </c>
      <c r="N132" s="37">
        <v>14</v>
      </c>
      <c r="O132" s="44">
        <v>900</v>
      </c>
      <c r="P132" s="35">
        <v>0</v>
      </c>
      <c r="Q132" s="34">
        <v>12600</v>
      </c>
      <c r="R132" s="24">
        <v>5</v>
      </c>
      <c r="S132" s="24" t="s">
        <v>34</v>
      </c>
      <c r="T132" s="24" t="s">
        <v>49</v>
      </c>
      <c r="U132" s="34" t="str">
        <f>Sales_data!T132</f>
        <v>anita.gupta@company.com</v>
      </c>
      <c r="V132" s="24">
        <v>9848259992</v>
      </c>
      <c r="W132" s="34" t="s">
        <v>2100</v>
      </c>
      <c r="X132" s="24">
        <v>6</v>
      </c>
      <c r="Y132" s="30" t="s">
        <v>2112</v>
      </c>
      <c r="Z132" s="29">
        <v>46325</v>
      </c>
      <c r="AA132" s="24" t="s">
        <v>2177</v>
      </c>
      <c r="AB132" s="24" t="s">
        <v>2108</v>
      </c>
      <c r="AC132" s="136" t="str">
        <f t="shared" si="4"/>
        <v>Ani004Pu</v>
      </c>
      <c r="AD132" s="136" t="str">
        <f t="shared" si="5"/>
        <v>anita.gupta@company.com</v>
      </c>
    </row>
    <row r="133" spans="1:30">
      <c r="A133" s="24" t="s">
        <v>735</v>
      </c>
      <c r="B133" s="24" t="s">
        <v>100</v>
      </c>
      <c r="C133" s="24" t="s">
        <v>222</v>
      </c>
      <c r="D133" s="30">
        <v>46070</v>
      </c>
      <c r="E133" s="24" t="s">
        <v>170</v>
      </c>
      <c r="F133" s="136" t="str">
        <f>PROPER(TRIM(Sales_data!F133))</f>
        <v>Priya Patel</v>
      </c>
      <c r="G133" s="30" t="s">
        <v>28</v>
      </c>
      <c r="H133" s="24" t="s">
        <v>104</v>
      </c>
      <c r="I133" s="24" t="s">
        <v>105</v>
      </c>
      <c r="J133" s="24" t="s">
        <v>106</v>
      </c>
      <c r="K133" s="24" t="s">
        <v>2111</v>
      </c>
      <c r="L133" s="24" t="s">
        <v>122</v>
      </c>
      <c r="M133" s="34" t="s">
        <v>227</v>
      </c>
      <c r="N133" s="37">
        <v>11</v>
      </c>
      <c r="O133" s="44">
        <v>15</v>
      </c>
      <c r="P133" s="35">
        <v>0.2</v>
      </c>
      <c r="Q133" s="34">
        <v>132</v>
      </c>
      <c r="R133" s="24">
        <v>4</v>
      </c>
      <c r="S133" s="24" t="s">
        <v>2148</v>
      </c>
      <c r="T133" s="24" t="s">
        <v>35</v>
      </c>
      <c r="U133" s="34" t="str">
        <f>Sales_data!T133</f>
        <v>priya.patel@company.com</v>
      </c>
      <c r="V133" s="24">
        <v>9254082295</v>
      </c>
      <c r="W133" s="34" t="s">
        <v>2103</v>
      </c>
      <c r="X133" s="24">
        <v>12</v>
      </c>
      <c r="Y133" s="30" t="s">
        <v>2110</v>
      </c>
      <c r="Z133" s="29">
        <v>46440</v>
      </c>
      <c r="AA133" s="24" t="s">
        <v>2175</v>
      </c>
      <c r="AB133" s="24" t="s">
        <v>2108</v>
      </c>
      <c r="AC133" s="136" t="str">
        <f t="shared" si="4"/>
        <v>Pri002Mu</v>
      </c>
      <c r="AD133" s="136" t="str">
        <f t="shared" si="5"/>
        <v>priya.patel@company.com</v>
      </c>
    </row>
    <row r="134" spans="1:30">
      <c r="A134" s="24" t="s">
        <v>739</v>
      </c>
      <c r="B134" s="24" t="s">
        <v>71</v>
      </c>
      <c r="C134" s="24" t="s">
        <v>40</v>
      </c>
      <c r="D134" s="30">
        <v>46116</v>
      </c>
      <c r="E134" s="24" t="s">
        <v>657</v>
      </c>
      <c r="F134" s="136" t="str">
        <f>PROPER(TRIM(Sales_data!F134))</f>
        <v>Mohit Verma</v>
      </c>
      <c r="G134" s="30" t="s">
        <v>76</v>
      </c>
      <c r="H134" s="24" t="s">
        <v>77</v>
      </c>
      <c r="I134" s="24" t="s">
        <v>44</v>
      </c>
      <c r="J134" s="24" t="s">
        <v>45</v>
      </c>
      <c r="K134" s="24" t="s">
        <v>2114</v>
      </c>
      <c r="L134" s="24" t="s">
        <v>46</v>
      </c>
      <c r="M134" s="34" t="s">
        <v>47</v>
      </c>
      <c r="N134" s="37">
        <v>6</v>
      </c>
      <c r="O134" s="44">
        <v>9000</v>
      </c>
      <c r="P134" s="35">
        <v>0.1</v>
      </c>
      <c r="Q134" s="34">
        <v>48600</v>
      </c>
      <c r="R134" s="24">
        <v>5</v>
      </c>
      <c r="S134" s="24" t="s">
        <v>2149</v>
      </c>
      <c r="T134" s="24" t="s">
        <v>151</v>
      </c>
      <c r="U134" s="34" t="str">
        <f>Sales_data!T134</f>
        <v>mohit.verma@company.com</v>
      </c>
      <c r="V134" s="24">
        <v>9687923860</v>
      </c>
      <c r="W134" s="34" t="s">
        <v>2101</v>
      </c>
      <c r="X134" s="24">
        <v>24</v>
      </c>
      <c r="Y134" s="30" t="s">
        <v>2110</v>
      </c>
      <c r="Z134" s="29">
        <v>46853</v>
      </c>
      <c r="AA134" s="24" t="s">
        <v>2173</v>
      </c>
      <c r="AB134" s="24" t="s">
        <v>2108</v>
      </c>
      <c r="AC134" s="136" t="str">
        <f t="shared" si="4"/>
        <v>Moh009De</v>
      </c>
      <c r="AD134" s="136" t="str">
        <f t="shared" si="5"/>
        <v>mohit.verma@company.com</v>
      </c>
    </row>
    <row r="135" spans="1:30">
      <c r="A135" s="24" t="s">
        <v>743</v>
      </c>
      <c r="B135" s="24" t="s">
        <v>71</v>
      </c>
      <c r="C135" s="24" t="s">
        <v>24</v>
      </c>
      <c r="D135" s="30">
        <v>45756</v>
      </c>
      <c r="E135" s="24" t="s">
        <v>539</v>
      </c>
      <c r="F135" s="136" t="str">
        <f>PROPER(TRIM(Sales_data!F135))</f>
        <v>Mohit Verma</v>
      </c>
      <c r="G135" s="30" t="s">
        <v>76</v>
      </c>
      <c r="H135" s="24" t="s">
        <v>77</v>
      </c>
      <c r="I135" s="24" t="s">
        <v>44</v>
      </c>
      <c r="J135" s="24" t="s">
        <v>45</v>
      </c>
      <c r="K135" s="24" t="s">
        <v>2114</v>
      </c>
      <c r="L135" s="24" t="s">
        <v>32</v>
      </c>
      <c r="M135" s="34" t="s">
        <v>33</v>
      </c>
      <c r="N135" s="37">
        <v>6</v>
      </c>
      <c r="O135" s="44">
        <v>1650</v>
      </c>
      <c r="P135" s="35">
        <v>0.05</v>
      </c>
      <c r="Q135" s="34">
        <v>9405</v>
      </c>
      <c r="R135" s="24">
        <v>4</v>
      </c>
      <c r="S135" s="24" t="s">
        <v>34</v>
      </c>
      <c r="T135" s="24" t="s">
        <v>49</v>
      </c>
      <c r="U135" s="34" t="str">
        <f>Sales_data!T135</f>
        <v>mohit.verma@company.com</v>
      </c>
      <c r="V135" s="24">
        <v>9426459149</v>
      </c>
      <c r="W135" s="34" t="s">
        <v>2101</v>
      </c>
      <c r="X135" s="24">
        <v>24</v>
      </c>
      <c r="Y135" s="30" t="s">
        <v>2110</v>
      </c>
      <c r="Z135" s="29">
        <v>46495</v>
      </c>
      <c r="AA135" s="24" t="s">
        <v>2173</v>
      </c>
      <c r="AB135" s="24" t="s">
        <v>2108</v>
      </c>
      <c r="AC135" s="136" t="str">
        <f t="shared" si="4"/>
        <v>Moh009De</v>
      </c>
      <c r="AD135" s="136" t="str">
        <f t="shared" si="5"/>
        <v>mohit.verma@company.com</v>
      </c>
    </row>
    <row r="136" spans="1:30">
      <c r="A136" s="24" t="s">
        <v>746</v>
      </c>
      <c r="B136" s="24" t="s">
        <v>53</v>
      </c>
      <c r="C136" s="24" t="s">
        <v>92</v>
      </c>
      <c r="D136" s="30">
        <v>45823</v>
      </c>
      <c r="E136" s="24" t="s">
        <v>488</v>
      </c>
      <c r="F136" s="136" t="str">
        <f>PROPER(TRIM(Sales_data!F136))</f>
        <v>Pooja Shah</v>
      </c>
      <c r="G136" s="30" t="s">
        <v>28</v>
      </c>
      <c r="H136" s="24" t="s">
        <v>58</v>
      </c>
      <c r="I136" s="24" t="s">
        <v>59</v>
      </c>
      <c r="J136" s="24" t="s">
        <v>31</v>
      </c>
      <c r="K136" s="24" t="s">
        <v>2111</v>
      </c>
      <c r="L136" s="24" t="s">
        <v>32</v>
      </c>
      <c r="M136" s="34" t="s">
        <v>97</v>
      </c>
      <c r="N136" s="37">
        <v>3</v>
      </c>
      <c r="O136" s="44">
        <v>2625</v>
      </c>
      <c r="P136" s="35">
        <v>0.05</v>
      </c>
      <c r="Q136" s="34">
        <v>7481.25</v>
      </c>
      <c r="R136" s="24">
        <v>4</v>
      </c>
      <c r="S136" s="24" t="s">
        <v>2148</v>
      </c>
      <c r="T136" s="24" t="s">
        <v>49</v>
      </c>
      <c r="U136" s="34" t="str">
        <f>Sales_data!T136</f>
        <v>pooja.shah@company.com</v>
      </c>
      <c r="V136" s="24">
        <v>9155925975</v>
      </c>
      <c r="W136" s="34" t="s">
        <v>2101</v>
      </c>
      <c r="X136" s="24">
        <v>6</v>
      </c>
      <c r="Y136" s="30" t="s">
        <v>2108</v>
      </c>
      <c r="Z136" s="29">
        <v>46018</v>
      </c>
      <c r="AA136" s="24" t="s">
        <v>2172</v>
      </c>
      <c r="AB136" s="24" t="s">
        <v>2108</v>
      </c>
      <c r="AC136" s="136" t="str">
        <f t="shared" si="4"/>
        <v>Poo010Be</v>
      </c>
      <c r="AD136" s="136" t="str">
        <f t="shared" si="5"/>
        <v>pooja.shah@company.com</v>
      </c>
    </row>
    <row r="137" spans="1:30">
      <c r="A137" s="24" t="s">
        <v>749</v>
      </c>
      <c r="B137" s="24" t="s">
        <v>71</v>
      </c>
      <c r="C137" s="24" t="s">
        <v>169</v>
      </c>
      <c r="D137" s="30">
        <v>45816</v>
      </c>
      <c r="E137" s="24" t="s">
        <v>751</v>
      </c>
      <c r="F137" s="136" t="str">
        <f>PROPER(TRIM(Sales_data!F137))</f>
        <v>Mohit Verma</v>
      </c>
      <c r="G137" s="30" t="s">
        <v>76</v>
      </c>
      <c r="H137" s="24" t="s">
        <v>77</v>
      </c>
      <c r="I137" s="24" t="s">
        <v>44</v>
      </c>
      <c r="J137" s="24" t="s">
        <v>45</v>
      </c>
      <c r="K137" s="24" t="s">
        <v>2114</v>
      </c>
      <c r="L137" s="24" t="s">
        <v>32</v>
      </c>
      <c r="M137" s="34" t="s">
        <v>174</v>
      </c>
      <c r="N137" s="37">
        <v>5</v>
      </c>
      <c r="O137" s="44">
        <v>6375</v>
      </c>
      <c r="P137" s="35">
        <v>0.2</v>
      </c>
      <c r="Q137" s="34">
        <v>25500</v>
      </c>
      <c r="R137" s="24">
        <v>5</v>
      </c>
      <c r="S137" s="24" t="s">
        <v>34</v>
      </c>
      <c r="T137" s="24" t="s">
        <v>61</v>
      </c>
      <c r="U137" s="34" t="str">
        <f>Sales_data!T137</f>
        <v>mohit.verma@company.com</v>
      </c>
      <c r="V137" s="24">
        <v>9945247701</v>
      </c>
      <c r="W137" s="34" t="s">
        <v>2100</v>
      </c>
      <c r="X137" s="24">
        <v>24</v>
      </c>
      <c r="Y137" s="30" t="s">
        <v>2110</v>
      </c>
      <c r="Z137" s="29">
        <v>46548</v>
      </c>
      <c r="AA137" s="24" t="s">
        <v>2173</v>
      </c>
      <c r="AB137" s="24" t="s">
        <v>2108</v>
      </c>
      <c r="AC137" s="136" t="str">
        <f t="shared" si="4"/>
        <v>Moh009De</v>
      </c>
      <c r="AD137" s="136" t="str">
        <f t="shared" si="5"/>
        <v>mohit.verma@company.com</v>
      </c>
    </row>
    <row r="138" spans="1:30">
      <c r="A138" s="24" t="s">
        <v>754</v>
      </c>
      <c r="B138" s="24" t="s">
        <v>23</v>
      </c>
      <c r="C138" s="24" t="s">
        <v>92</v>
      </c>
      <c r="D138" s="30">
        <v>45863</v>
      </c>
      <c r="E138" s="24" t="s">
        <v>756</v>
      </c>
      <c r="F138" s="136" t="str">
        <f>PROPER(TRIM(Sales_data!F138))</f>
        <v>Kavya Nair</v>
      </c>
      <c r="G138" s="30" t="s">
        <v>28</v>
      </c>
      <c r="H138" s="24" t="s">
        <v>29</v>
      </c>
      <c r="I138" s="24" t="s">
        <v>30</v>
      </c>
      <c r="J138" s="24" t="s">
        <v>31</v>
      </c>
      <c r="K138" s="24" t="s">
        <v>2111</v>
      </c>
      <c r="L138" s="24" t="s">
        <v>32</v>
      </c>
      <c r="M138" s="34" t="s">
        <v>97</v>
      </c>
      <c r="N138" s="37">
        <v>14</v>
      </c>
      <c r="O138" s="44">
        <v>2625</v>
      </c>
      <c r="P138" s="35">
        <v>0.1</v>
      </c>
      <c r="Q138" s="34">
        <v>33075</v>
      </c>
      <c r="R138" s="24">
        <v>4</v>
      </c>
      <c r="S138" s="24" t="s">
        <v>2149</v>
      </c>
      <c r="T138" s="24" t="s">
        <v>35</v>
      </c>
      <c r="U138" s="34" t="str">
        <f>Sales_data!T138</f>
        <v>kavya.nair@company.com</v>
      </c>
      <c r="V138" s="24">
        <v>9597378398</v>
      </c>
      <c r="W138" s="34" t="s">
        <v>2101</v>
      </c>
      <c r="X138" s="24">
        <v>6</v>
      </c>
      <c r="Y138" s="30" t="s">
        <v>2108</v>
      </c>
      <c r="Z138" s="29">
        <v>46054</v>
      </c>
      <c r="AA138" s="24" t="s">
        <v>2171</v>
      </c>
      <c r="AB138" s="24" t="s">
        <v>2108</v>
      </c>
      <c r="AC138" s="136" t="str">
        <f t="shared" si="4"/>
        <v>Kav008Hy</v>
      </c>
      <c r="AD138" s="136" t="str">
        <f t="shared" si="5"/>
        <v>kavya.nair@company.com</v>
      </c>
    </row>
    <row r="139" spans="1:30">
      <c r="A139" s="24" t="s">
        <v>759</v>
      </c>
      <c r="B139" s="24" t="s">
        <v>327</v>
      </c>
      <c r="C139" s="24" t="s">
        <v>259</v>
      </c>
      <c r="D139" s="30">
        <v>45673</v>
      </c>
      <c r="E139" s="24" t="s">
        <v>761</v>
      </c>
      <c r="F139" s="136" t="str">
        <f>PROPER(TRIM(Sales_data!F139))</f>
        <v>Amit Sharma</v>
      </c>
      <c r="G139" s="30" t="s">
        <v>76</v>
      </c>
      <c r="H139" s="24" t="s">
        <v>331</v>
      </c>
      <c r="I139" s="24" t="s">
        <v>114</v>
      </c>
      <c r="J139" s="24" t="s">
        <v>106</v>
      </c>
      <c r="K139" s="24" t="s">
        <v>2109</v>
      </c>
      <c r="L139" s="24" t="s">
        <v>122</v>
      </c>
      <c r="M139" s="34" t="s">
        <v>263</v>
      </c>
      <c r="N139" s="37">
        <v>8</v>
      </c>
      <c r="O139" s="44">
        <v>33.75</v>
      </c>
      <c r="P139" s="35">
        <v>0</v>
      </c>
      <c r="Q139" s="34">
        <v>270</v>
      </c>
      <c r="R139" s="24">
        <v>1</v>
      </c>
      <c r="S139" s="24" t="s">
        <v>79</v>
      </c>
      <c r="T139" s="24" t="s">
        <v>151</v>
      </c>
      <c r="U139" s="34" t="str">
        <f>Sales_data!T139</f>
        <v>amit.sharma@company.com</v>
      </c>
      <c r="V139" s="24">
        <v>9343963736</v>
      </c>
      <c r="W139" s="34" t="s">
        <v>2100</v>
      </c>
      <c r="X139" s="24">
        <v>12</v>
      </c>
      <c r="Y139" s="30" t="s">
        <v>2108</v>
      </c>
      <c r="Z139" s="29">
        <v>46043</v>
      </c>
      <c r="AA139" s="24" t="s">
        <v>2171</v>
      </c>
      <c r="AB139" s="24" t="s">
        <v>2160</v>
      </c>
      <c r="AC139" s="136" t="str">
        <f t="shared" si="4"/>
        <v>Ami001Pu</v>
      </c>
      <c r="AD139" s="136" t="str">
        <f t="shared" si="5"/>
        <v>amit.sharma@company.com</v>
      </c>
    </row>
    <row r="140" spans="1:30">
      <c r="A140" s="24" t="s">
        <v>764</v>
      </c>
      <c r="B140" s="24" t="s">
        <v>221</v>
      </c>
      <c r="C140" s="24" t="s">
        <v>259</v>
      </c>
      <c r="D140" s="30">
        <v>45692</v>
      </c>
      <c r="E140" s="24" t="s">
        <v>766</v>
      </c>
      <c r="F140" s="136" t="str">
        <f>PROPER(TRIM(Sales_data!F140))</f>
        <v>Vikas Mehta</v>
      </c>
      <c r="G140" s="30" t="s">
        <v>76</v>
      </c>
      <c r="H140" s="24" t="s">
        <v>226</v>
      </c>
      <c r="I140" s="24" t="s">
        <v>105</v>
      </c>
      <c r="J140" s="24" t="s">
        <v>106</v>
      </c>
      <c r="K140" s="24" t="s">
        <v>2113</v>
      </c>
      <c r="L140" s="24" t="s">
        <v>122</v>
      </c>
      <c r="M140" s="34" t="s">
        <v>263</v>
      </c>
      <c r="N140" s="37">
        <v>11</v>
      </c>
      <c r="O140" s="44">
        <v>33.75</v>
      </c>
      <c r="P140" s="35">
        <v>0.05</v>
      </c>
      <c r="Q140" s="34">
        <v>352.6875</v>
      </c>
      <c r="R140" s="24">
        <v>3</v>
      </c>
      <c r="S140" s="24" t="s">
        <v>79</v>
      </c>
      <c r="T140" s="24" t="s">
        <v>49</v>
      </c>
      <c r="U140" s="34" t="str">
        <f>Sales_data!T140</f>
        <v>vikas.mehta@company.com</v>
      </c>
      <c r="V140" s="24">
        <v>9548742147</v>
      </c>
      <c r="W140" s="34" t="s">
        <v>2100</v>
      </c>
      <c r="X140" s="24">
        <v>12</v>
      </c>
      <c r="Y140" s="30" t="s">
        <v>2112</v>
      </c>
      <c r="Z140" s="29">
        <v>46058</v>
      </c>
      <c r="AA140" s="24" t="s">
        <v>2171</v>
      </c>
      <c r="AB140" s="24" t="s">
        <v>2108</v>
      </c>
      <c r="AC140" s="136" t="str">
        <f t="shared" si="4"/>
        <v>Vik005Mu</v>
      </c>
      <c r="AD140" s="136" t="str">
        <f t="shared" si="5"/>
        <v>vikas.mehta@company.com</v>
      </c>
    </row>
    <row r="141" spans="1:30">
      <c r="A141" s="24" t="s">
        <v>769</v>
      </c>
      <c r="B141" s="24" t="s">
        <v>83</v>
      </c>
      <c r="C141" s="24" t="s">
        <v>54</v>
      </c>
      <c r="D141" s="30">
        <v>45679</v>
      </c>
      <c r="E141" s="24" t="s">
        <v>771</v>
      </c>
      <c r="F141" s="136" t="str">
        <f>PROPER(TRIM(Sales_data!F141))</f>
        <v>Arjun Rao</v>
      </c>
      <c r="G141" s="30" t="s">
        <v>76</v>
      </c>
      <c r="H141" s="24" t="s">
        <v>87</v>
      </c>
      <c r="I141" s="24" t="s">
        <v>30</v>
      </c>
      <c r="J141" s="24" t="s">
        <v>31</v>
      </c>
      <c r="K141" s="24" t="s">
        <v>2109</v>
      </c>
      <c r="L141" s="24" t="s">
        <v>46</v>
      </c>
      <c r="M141" s="34" t="s">
        <v>60</v>
      </c>
      <c r="N141" s="37">
        <v>19</v>
      </c>
      <c r="O141" s="44">
        <v>41250</v>
      </c>
      <c r="P141" s="35">
        <v>0</v>
      </c>
      <c r="Q141" s="34">
        <v>783750</v>
      </c>
      <c r="R141" s="24">
        <v>2</v>
      </c>
      <c r="S141" s="24" t="s">
        <v>79</v>
      </c>
      <c r="T141" s="24" t="s">
        <v>35</v>
      </c>
      <c r="U141" s="34" t="str">
        <f>Sales_data!T141</f>
        <v>arjun.rao@company.com</v>
      </c>
      <c r="V141" s="24">
        <v>9912945471</v>
      </c>
      <c r="W141" s="34" t="s">
        <v>2100</v>
      </c>
      <c r="X141" s="24">
        <v>12</v>
      </c>
      <c r="Y141" s="30" t="s">
        <v>2108</v>
      </c>
      <c r="Z141" s="29">
        <v>46052</v>
      </c>
      <c r="AA141" s="24" t="s">
        <v>2174</v>
      </c>
      <c r="AB141" s="24" t="s">
        <v>2160</v>
      </c>
      <c r="AC141" s="136" t="str">
        <f t="shared" si="4"/>
        <v>Arj007Hy</v>
      </c>
      <c r="AD141" s="136" t="str">
        <f t="shared" si="5"/>
        <v>arjun.rao@company.com</v>
      </c>
    </row>
    <row r="142" spans="1:30">
      <c r="A142" s="24" t="s">
        <v>774</v>
      </c>
      <c r="B142" s="24" t="s">
        <v>53</v>
      </c>
      <c r="C142" s="24" t="s">
        <v>92</v>
      </c>
      <c r="D142" s="30">
        <v>45758</v>
      </c>
      <c r="E142" s="24" t="s">
        <v>539</v>
      </c>
      <c r="F142" s="136" t="str">
        <f>PROPER(TRIM(Sales_data!F142))</f>
        <v>Pooja Shah</v>
      </c>
      <c r="G142" s="30" t="s">
        <v>28</v>
      </c>
      <c r="H142" s="24" t="s">
        <v>58</v>
      </c>
      <c r="I142" s="24" t="s">
        <v>59</v>
      </c>
      <c r="J142" s="24" t="s">
        <v>31</v>
      </c>
      <c r="K142" s="24" t="s">
        <v>2111</v>
      </c>
      <c r="L142" s="24" t="s">
        <v>32</v>
      </c>
      <c r="M142" s="34" t="s">
        <v>97</v>
      </c>
      <c r="N142" s="37">
        <v>20</v>
      </c>
      <c r="O142" s="44">
        <v>2625</v>
      </c>
      <c r="P142" s="35">
        <v>0.2</v>
      </c>
      <c r="Q142" s="34">
        <v>42000</v>
      </c>
      <c r="R142" s="24">
        <v>4</v>
      </c>
      <c r="S142" s="24" t="s">
        <v>2148</v>
      </c>
      <c r="T142" s="24" t="s">
        <v>49</v>
      </c>
      <c r="U142" s="34" t="str">
        <f>Sales_data!T142</f>
        <v>pooja.shah@company.com</v>
      </c>
      <c r="V142" s="24">
        <v>9912630684</v>
      </c>
      <c r="W142" s="34" t="s">
        <v>2101</v>
      </c>
      <c r="X142" s="24">
        <v>6</v>
      </c>
      <c r="Y142" s="30" t="s">
        <v>2108</v>
      </c>
      <c r="Z142" s="29">
        <v>45948</v>
      </c>
      <c r="AA142" s="24" t="s">
        <v>2172</v>
      </c>
      <c r="AB142" s="24" t="s">
        <v>2108</v>
      </c>
      <c r="AC142" s="136" t="str">
        <f t="shared" si="4"/>
        <v>Poo010Be</v>
      </c>
      <c r="AD142" s="136" t="str">
        <f t="shared" si="5"/>
        <v>pooja.shah@company.com</v>
      </c>
    </row>
    <row r="143" spans="1:30">
      <c r="A143" s="24" t="s">
        <v>778</v>
      </c>
      <c r="B143" s="24" t="s">
        <v>83</v>
      </c>
      <c r="C143" s="24" t="s">
        <v>24</v>
      </c>
      <c r="D143" s="30">
        <v>45842</v>
      </c>
      <c r="E143" s="24" t="s">
        <v>779</v>
      </c>
      <c r="F143" s="136" t="str">
        <f>PROPER(TRIM(Sales_data!F143))</f>
        <v>Arjun Rao</v>
      </c>
      <c r="G143" s="30" t="s">
        <v>76</v>
      </c>
      <c r="H143" s="24" t="s">
        <v>87</v>
      </c>
      <c r="I143" s="24" t="s">
        <v>30</v>
      </c>
      <c r="J143" s="24" t="s">
        <v>31</v>
      </c>
      <c r="K143" s="24" t="s">
        <v>2109</v>
      </c>
      <c r="L143" s="24" t="s">
        <v>32</v>
      </c>
      <c r="M143" s="34" t="s">
        <v>33</v>
      </c>
      <c r="N143" s="37">
        <v>17</v>
      </c>
      <c r="O143" s="44">
        <v>1650</v>
      </c>
      <c r="P143" s="35">
        <v>0</v>
      </c>
      <c r="Q143" s="34">
        <v>28050</v>
      </c>
      <c r="R143" s="24">
        <v>5</v>
      </c>
      <c r="S143" s="24" t="s">
        <v>2148</v>
      </c>
      <c r="T143" s="24" t="s">
        <v>35</v>
      </c>
      <c r="U143" s="34" t="str">
        <f>Sales_data!T143</f>
        <v>arjun.rao@company.com</v>
      </c>
      <c r="V143" s="24">
        <v>9114017237</v>
      </c>
      <c r="W143" s="34" t="s">
        <v>2101</v>
      </c>
      <c r="X143" s="24">
        <v>24</v>
      </c>
      <c r="Y143" s="30" t="s">
        <v>2108</v>
      </c>
      <c r="Z143" s="29">
        <v>46582</v>
      </c>
      <c r="AA143" s="24" t="s">
        <v>2174</v>
      </c>
      <c r="AB143" s="24" t="s">
        <v>2108</v>
      </c>
      <c r="AC143" s="136" t="str">
        <f t="shared" si="4"/>
        <v>Arj007Hy</v>
      </c>
      <c r="AD143" s="136" t="str">
        <f t="shared" si="5"/>
        <v>arjun.rao@company.com</v>
      </c>
    </row>
    <row r="144" spans="1:30">
      <c r="A144" s="24" t="s">
        <v>782</v>
      </c>
      <c r="B144" s="24" t="s">
        <v>83</v>
      </c>
      <c r="C144" s="24" t="s">
        <v>72</v>
      </c>
      <c r="D144" s="30">
        <v>45679</v>
      </c>
      <c r="E144" s="24" t="s">
        <v>783</v>
      </c>
      <c r="F144" s="136" t="str">
        <f>PROPER(TRIM(Sales_data!F144))</f>
        <v>Arjun Rao</v>
      </c>
      <c r="G144" s="30" t="s">
        <v>76</v>
      </c>
      <c r="H144" s="24" t="s">
        <v>87</v>
      </c>
      <c r="I144" s="24" t="s">
        <v>30</v>
      </c>
      <c r="J144" s="24" t="s">
        <v>31</v>
      </c>
      <c r="K144" s="24" t="s">
        <v>2109</v>
      </c>
      <c r="L144" s="24" t="s">
        <v>46</v>
      </c>
      <c r="M144" s="34" t="s">
        <v>78</v>
      </c>
      <c r="N144" s="37">
        <v>10</v>
      </c>
      <c r="O144" s="44">
        <v>900</v>
      </c>
      <c r="P144" s="35">
        <v>0.05</v>
      </c>
      <c r="Q144" s="34">
        <v>8550</v>
      </c>
      <c r="R144" s="24">
        <v>2</v>
      </c>
      <c r="S144" s="24" t="s">
        <v>34</v>
      </c>
      <c r="T144" s="24" t="s">
        <v>49</v>
      </c>
      <c r="U144" s="34" t="str">
        <f>Sales_data!T144</f>
        <v>arjun.rao@company.com</v>
      </c>
      <c r="V144" s="24">
        <v>9872471236</v>
      </c>
      <c r="W144" s="34" t="s">
        <v>2100</v>
      </c>
      <c r="X144" s="24">
        <v>6</v>
      </c>
      <c r="Y144" s="30" t="s">
        <v>2108</v>
      </c>
      <c r="Z144" s="29">
        <v>45867</v>
      </c>
      <c r="AA144" s="24" t="s">
        <v>2174</v>
      </c>
      <c r="AB144" s="24" t="s">
        <v>2160</v>
      </c>
      <c r="AC144" s="136" t="str">
        <f t="shared" si="4"/>
        <v>Arj007Hy</v>
      </c>
      <c r="AD144" s="136" t="str">
        <f t="shared" si="5"/>
        <v>arjun.rao@company.com</v>
      </c>
    </row>
    <row r="145" spans="1:30">
      <c r="A145" s="24" t="s">
        <v>786</v>
      </c>
      <c r="B145" s="24" t="s">
        <v>221</v>
      </c>
      <c r="C145" s="24" t="s">
        <v>118</v>
      </c>
      <c r="D145" s="30">
        <v>46008</v>
      </c>
      <c r="E145" s="24" t="s">
        <v>788</v>
      </c>
      <c r="F145" s="136" t="str">
        <f>PROPER(TRIM(Sales_data!F145))</f>
        <v>Vikas Mehta</v>
      </c>
      <c r="G145" s="30" t="s">
        <v>76</v>
      </c>
      <c r="H145" s="24" t="s">
        <v>226</v>
      </c>
      <c r="I145" s="24" t="s">
        <v>105</v>
      </c>
      <c r="J145" s="24" t="s">
        <v>106</v>
      </c>
      <c r="K145" s="24" t="s">
        <v>2113</v>
      </c>
      <c r="L145" s="24" t="s">
        <v>122</v>
      </c>
      <c r="M145" s="34" t="s">
        <v>123</v>
      </c>
      <c r="N145" s="37">
        <v>3</v>
      </c>
      <c r="O145" s="44">
        <v>45</v>
      </c>
      <c r="P145" s="35">
        <v>0</v>
      </c>
      <c r="Q145" s="34">
        <v>135</v>
      </c>
      <c r="R145" s="24">
        <v>4</v>
      </c>
      <c r="S145" s="24" t="s">
        <v>2148</v>
      </c>
      <c r="T145" s="24" t="s">
        <v>151</v>
      </c>
      <c r="U145" s="34" t="str">
        <f>Sales_data!T145</f>
        <v>vikas.mehta@company.com</v>
      </c>
      <c r="V145" s="24">
        <v>9461383824</v>
      </c>
      <c r="W145" s="34" t="s">
        <v>2102</v>
      </c>
      <c r="X145" s="24">
        <v>12</v>
      </c>
      <c r="Y145" s="30" t="s">
        <v>2112</v>
      </c>
      <c r="Z145" s="29">
        <v>46374</v>
      </c>
      <c r="AA145" s="24" t="s">
        <v>2171</v>
      </c>
      <c r="AB145" s="24" t="s">
        <v>2108</v>
      </c>
      <c r="AC145" s="136" t="str">
        <f t="shared" si="4"/>
        <v>Vik005Mu</v>
      </c>
      <c r="AD145" s="136" t="str">
        <f t="shared" si="5"/>
        <v>vikas.mehta@company.com</v>
      </c>
    </row>
    <row r="146" spans="1:30">
      <c r="A146" s="24" t="s">
        <v>791</v>
      </c>
      <c r="B146" s="24" t="s">
        <v>53</v>
      </c>
      <c r="C146" s="24" t="s">
        <v>24</v>
      </c>
      <c r="D146" s="30">
        <v>45940</v>
      </c>
      <c r="E146" s="24" t="s">
        <v>793</v>
      </c>
      <c r="F146" s="136" t="str">
        <f>PROPER(TRIM(Sales_data!F146))</f>
        <v>Pooja Shah</v>
      </c>
      <c r="G146" s="30" t="s">
        <v>28</v>
      </c>
      <c r="H146" s="24" t="s">
        <v>58</v>
      </c>
      <c r="I146" s="24" t="s">
        <v>59</v>
      </c>
      <c r="J146" s="24" t="s">
        <v>31</v>
      </c>
      <c r="K146" s="24" t="s">
        <v>2111</v>
      </c>
      <c r="L146" s="24" t="s">
        <v>32</v>
      </c>
      <c r="M146" s="34" t="s">
        <v>33</v>
      </c>
      <c r="N146" s="37">
        <v>18</v>
      </c>
      <c r="O146" s="44">
        <v>1650</v>
      </c>
      <c r="P146" s="35">
        <v>0.1</v>
      </c>
      <c r="Q146" s="34">
        <v>26730</v>
      </c>
      <c r="R146" s="24">
        <v>1</v>
      </c>
      <c r="S146" s="24" t="s">
        <v>79</v>
      </c>
      <c r="T146" s="24" t="s">
        <v>151</v>
      </c>
      <c r="U146" s="34" t="str">
        <f>Sales_data!T146</f>
        <v>pooja.shah@company.com</v>
      </c>
      <c r="V146" s="24">
        <v>9243407457</v>
      </c>
      <c r="W146" s="34" t="s">
        <v>2101</v>
      </c>
      <c r="X146" s="24">
        <v>24</v>
      </c>
      <c r="Y146" s="30" t="s">
        <v>2108</v>
      </c>
      <c r="Z146" s="29">
        <v>46681</v>
      </c>
      <c r="AA146" s="24" t="s">
        <v>2172</v>
      </c>
      <c r="AB146" s="24" t="s">
        <v>2160</v>
      </c>
      <c r="AC146" s="136" t="str">
        <f t="shared" si="4"/>
        <v>Poo010Be</v>
      </c>
      <c r="AD146" s="136" t="str">
        <f t="shared" si="5"/>
        <v>pooja.shah@company.com</v>
      </c>
    </row>
    <row r="147" spans="1:30">
      <c r="A147" s="24" t="s">
        <v>796</v>
      </c>
      <c r="B147" s="24" t="s">
        <v>71</v>
      </c>
      <c r="C147" s="24" t="s">
        <v>118</v>
      </c>
      <c r="D147" s="30">
        <v>46088</v>
      </c>
      <c r="E147" s="24" t="s">
        <v>798</v>
      </c>
      <c r="F147" s="136" t="str">
        <f>PROPER(TRIM(Sales_data!F147))</f>
        <v>Mohit Verma</v>
      </c>
      <c r="G147" s="30" t="s">
        <v>76</v>
      </c>
      <c r="H147" s="24" t="s">
        <v>77</v>
      </c>
      <c r="I147" s="24" t="s">
        <v>44</v>
      </c>
      <c r="J147" s="24" t="s">
        <v>45</v>
      </c>
      <c r="K147" s="24" t="s">
        <v>2114</v>
      </c>
      <c r="L147" s="24" t="s">
        <v>122</v>
      </c>
      <c r="M147" s="34" t="s">
        <v>123</v>
      </c>
      <c r="N147" s="37">
        <v>18</v>
      </c>
      <c r="O147" s="44">
        <v>45</v>
      </c>
      <c r="P147" s="35">
        <v>0.05</v>
      </c>
      <c r="Q147" s="34">
        <v>769.5</v>
      </c>
      <c r="R147" s="24">
        <v>3</v>
      </c>
      <c r="S147" s="24" t="s">
        <v>79</v>
      </c>
      <c r="T147" s="24" t="s">
        <v>49</v>
      </c>
      <c r="U147" s="34" t="str">
        <f>Sales_data!T147</f>
        <v>mohit.verma@company.com</v>
      </c>
      <c r="V147" s="24">
        <v>9418672379</v>
      </c>
      <c r="W147" s="34" t="s">
        <v>2102</v>
      </c>
      <c r="X147" s="24">
        <v>12</v>
      </c>
      <c r="Y147" s="30" t="s">
        <v>2110</v>
      </c>
      <c r="Z147" s="29">
        <v>46456</v>
      </c>
      <c r="AA147" s="24" t="s">
        <v>2173</v>
      </c>
      <c r="AB147" s="24" t="s">
        <v>2108</v>
      </c>
      <c r="AC147" s="136" t="str">
        <f t="shared" si="4"/>
        <v>Moh009De</v>
      </c>
      <c r="AD147" s="136" t="str">
        <f t="shared" si="5"/>
        <v>mohit.verma@company.com</v>
      </c>
    </row>
    <row r="148" spans="1:30">
      <c r="A148" s="24" t="s">
        <v>801</v>
      </c>
      <c r="B148" s="24" t="s">
        <v>127</v>
      </c>
      <c r="C148" s="24" t="s">
        <v>54</v>
      </c>
      <c r="D148" s="30">
        <v>45885</v>
      </c>
      <c r="E148" s="24" t="s">
        <v>377</v>
      </c>
      <c r="F148" s="136" t="str">
        <f>PROPER(TRIM(Sales_data!F148))</f>
        <v>Rohit Singh</v>
      </c>
      <c r="G148" s="30" t="s">
        <v>76</v>
      </c>
      <c r="H148" s="24" t="s">
        <v>131</v>
      </c>
      <c r="I148" s="24" t="s">
        <v>44</v>
      </c>
      <c r="J148" s="24" t="s">
        <v>45</v>
      </c>
      <c r="K148" s="24" t="s">
        <v>2113</v>
      </c>
      <c r="L148" s="24" t="s">
        <v>46</v>
      </c>
      <c r="M148" s="34" t="s">
        <v>60</v>
      </c>
      <c r="N148" s="37">
        <v>11</v>
      </c>
      <c r="O148" s="44">
        <v>41250</v>
      </c>
      <c r="P148" s="35">
        <v>0.15</v>
      </c>
      <c r="Q148" s="34">
        <v>385687.5</v>
      </c>
      <c r="R148" s="24">
        <v>4</v>
      </c>
      <c r="S148" s="24" t="s">
        <v>2149</v>
      </c>
      <c r="T148" s="24" t="s">
        <v>115</v>
      </c>
      <c r="U148" s="34" t="str">
        <f>Sales_data!T148</f>
        <v>rohit.singh@company.com</v>
      </c>
      <c r="V148" s="24">
        <v>9222733065</v>
      </c>
      <c r="W148" s="34" t="s">
        <v>2100</v>
      </c>
      <c r="X148" s="24">
        <v>12</v>
      </c>
      <c r="Y148" s="30" t="s">
        <v>2112</v>
      </c>
      <c r="Z148" s="29">
        <v>46257</v>
      </c>
      <c r="AA148" s="24" t="s">
        <v>2176</v>
      </c>
      <c r="AB148" s="24" t="s">
        <v>2112</v>
      </c>
      <c r="AC148" s="136" t="str">
        <f t="shared" si="4"/>
        <v>Roh003De</v>
      </c>
      <c r="AD148" s="136" t="str">
        <f t="shared" si="5"/>
        <v>rohit.singh@company.com</v>
      </c>
    </row>
    <row r="149" spans="1:30">
      <c r="A149" s="24" t="s">
        <v>804</v>
      </c>
      <c r="B149" s="24" t="s">
        <v>251</v>
      </c>
      <c r="C149" s="24" t="s">
        <v>169</v>
      </c>
      <c r="D149" s="30">
        <v>46014</v>
      </c>
      <c r="E149" s="24" t="s">
        <v>464</v>
      </c>
      <c r="F149" s="136" t="str">
        <f>PROPER(TRIM(Sales_data!F149))</f>
        <v>Sneha Joshi</v>
      </c>
      <c r="G149" s="30" t="s">
        <v>28</v>
      </c>
      <c r="H149" s="24" t="s">
        <v>255</v>
      </c>
      <c r="I149" s="24" t="s">
        <v>114</v>
      </c>
      <c r="J149" s="24" t="s">
        <v>106</v>
      </c>
      <c r="K149" s="24" t="s">
        <v>2111</v>
      </c>
      <c r="L149" s="24" t="s">
        <v>32</v>
      </c>
      <c r="M149" s="34" t="s">
        <v>174</v>
      </c>
      <c r="N149" s="37">
        <v>5</v>
      </c>
      <c r="O149" s="44">
        <v>6375</v>
      </c>
      <c r="P149" s="35">
        <v>0.05</v>
      </c>
      <c r="Q149" s="34">
        <v>30281.25</v>
      </c>
      <c r="R149" s="24">
        <v>4</v>
      </c>
      <c r="S149" s="24" t="s">
        <v>34</v>
      </c>
      <c r="T149" s="24" t="s">
        <v>151</v>
      </c>
      <c r="U149" s="34" t="str">
        <f>Sales_data!T149</f>
        <v>sneha.joshi@company.com</v>
      </c>
      <c r="V149" s="24">
        <v>9684246902</v>
      </c>
      <c r="W149" s="34" t="s">
        <v>2100</v>
      </c>
      <c r="X149" s="24">
        <v>24</v>
      </c>
      <c r="Y149" s="30" t="s">
        <v>2112</v>
      </c>
      <c r="Z149" s="29">
        <v>46755</v>
      </c>
      <c r="AA149" s="24" t="s">
        <v>2173</v>
      </c>
      <c r="AB149" s="24" t="s">
        <v>2108</v>
      </c>
      <c r="AC149" s="136" t="str">
        <f t="shared" si="4"/>
        <v>Sne006Pu</v>
      </c>
      <c r="AD149" s="136" t="str">
        <f t="shared" si="5"/>
        <v>sneha.joshi@company.com</v>
      </c>
    </row>
    <row r="150" spans="1:30">
      <c r="A150" s="24" t="s">
        <v>355</v>
      </c>
      <c r="B150" s="24" t="s">
        <v>100</v>
      </c>
      <c r="C150" s="24" t="s">
        <v>184</v>
      </c>
      <c r="D150" s="30">
        <v>45908</v>
      </c>
      <c r="E150" s="24" t="s">
        <v>128</v>
      </c>
      <c r="F150" s="136" t="str">
        <f>PROPER(TRIM(Sales_data!F150))</f>
        <v>Priya Patel</v>
      </c>
      <c r="G150" s="30" t="s">
        <v>28</v>
      </c>
      <c r="H150" s="24" t="s">
        <v>104</v>
      </c>
      <c r="I150" s="24" t="s">
        <v>105</v>
      </c>
      <c r="J150" s="24" t="s">
        <v>106</v>
      </c>
      <c r="K150" s="24" t="s">
        <v>2111</v>
      </c>
      <c r="L150" s="24" t="s">
        <v>46</v>
      </c>
      <c r="M150" s="34" t="s">
        <v>189</v>
      </c>
      <c r="N150" s="37">
        <v>16</v>
      </c>
      <c r="O150" s="44">
        <v>525</v>
      </c>
      <c r="P150" s="35">
        <v>0.15</v>
      </c>
      <c r="Q150" s="34">
        <v>7140</v>
      </c>
      <c r="R150" s="24">
        <v>4</v>
      </c>
      <c r="S150" s="24" t="s">
        <v>79</v>
      </c>
      <c r="T150" s="24" t="s">
        <v>61</v>
      </c>
      <c r="U150" s="34" t="str">
        <f>Sales_data!T150</f>
        <v>priya.patel@company.com</v>
      </c>
      <c r="V150" s="24">
        <v>9989580228</v>
      </c>
      <c r="W150" s="34" t="s">
        <v>2100</v>
      </c>
      <c r="X150" s="24">
        <v>24</v>
      </c>
      <c r="Y150" s="30" t="s">
        <v>2110</v>
      </c>
      <c r="Z150" s="29">
        <v>46649</v>
      </c>
      <c r="AA150" s="24" t="s">
        <v>2175</v>
      </c>
      <c r="AB150" s="24" t="s">
        <v>2108</v>
      </c>
      <c r="AC150" s="136" t="str">
        <f t="shared" si="4"/>
        <v>Pri002Mu</v>
      </c>
      <c r="AD150" s="136" t="str">
        <f t="shared" si="5"/>
        <v>priya.patel@company.com</v>
      </c>
    </row>
    <row r="151" spans="1:30">
      <c r="A151" s="24" t="s">
        <v>809</v>
      </c>
      <c r="B151" s="24" t="s">
        <v>127</v>
      </c>
      <c r="C151" s="24" t="s">
        <v>184</v>
      </c>
      <c r="D151" s="30">
        <v>45845</v>
      </c>
      <c r="E151" s="24" t="s">
        <v>267</v>
      </c>
      <c r="F151" s="136" t="str">
        <f>PROPER(TRIM(Sales_data!F151))</f>
        <v>Rohit Singh</v>
      </c>
      <c r="G151" s="30" t="s">
        <v>76</v>
      </c>
      <c r="H151" s="24" t="s">
        <v>131</v>
      </c>
      <c r="I151" s="24" t="s">
        <v>44</v>
      </c>
      <c r="J151" s="24" t="s">
        <v>45</v>
      </c>
      <c r="K151" s="24" t="s">
        <v>2113</v>
      </c>
      <c r="L151" s="24" t="s">
        <v>46</v>
      </c>
      <c r="M151" s="34" t="s">
        <v>189</v>
      </c>
      <c r="N151" s="37">
        <v>6</v>
      </c>
      <c r="O151" s="44">
        <v>525</v>
      </c>
      <c r="P151" s="35">
        <v>0.1</v>
      </c>
      <c r="Q151" s="34">
        <v>2835</v>
      </c>
      <c r="R151" s="24">
        <v>4</v>
      </c>
      <c r="S151" s="24" t="s">
        <v>34</v>
      </c>
      <c r="T151" s="24" t="s">
        <v>49</v>
      </c>
      <c r="U151" s="34" t="str">
        <f>Sales_data!T151</f>
        <v>rohit.singh@company.com</v>
      </c>
      <c r="V151" s="24">
        <v>9110269572</v>
      </c>
      <c r="W151" s="34" t="s">
        <v>2100</v>
      </c>
      <c r="X151" s="24">
        <v>24</v>
      </c>
      <c r="Y151" s="30" t="s">
        <v>2112</v>
      </c>
      <c r="Z151" s="29">
        <v>46581</v>
      </c>
      <c r="AA151" s="24" t="s">
        <v>2176</v>
      </c>
      <c r="AB151" s="24" t="s">
        <v>2108</v>
      </c>
      <c r="AC151" s="136" t="str">
        <f t="shared" si="4"/>
        <v>Roh003De</v>
      </c>
      <c r="AD151" s="136" t="str">
        <f t="shared" si="5"/>
        <v>rohit.singh@company.com</v>
      </c>
    </row>
    <row r="152" spans="1:30">
      <c r="A152" s="24" t="s">
        <v>812</v>
      </c>
      <c r="B152" s="24" t="s">
        <v>53</v>
      </c>
      <c r="C152" s="24" t="s">
        <v>92</v>
      </c>
      <c r="D152" s="30">
        <v>46145</v>
      </c>
      <c r="E152" s="24" t="s">
        <v>615</v>
      </c>
      <c r="F152" s="136" t="str">
        <f>PROPER(TRIM(Sales_data!F152))</f>
        <v>Pooja Shah</v>
      </c>
      <c r="G152" s="30" t="s">
        <v>28</v>
      </c>
      <c r="H152" s="24" t="s">
        <v>58</v>
      </c>
      <c r="I152" s="24" t="s">
        <v>59</v>
      </c>
      <c r="J152" s="24" t="s">
        <v>31</v>
      </c>
      <c r="K152" s="24" t="s">
        <v>2111</v>
      </c>
      <c r="L152" s="24" t="s">
        <v>32</v>
      </c>
      <c r="M152" s="34" t="s">
        <v>97</v>
      </c>
      <c r="N152" s="37">
        <v>20</v>
      </c>
      <c r="O152" s="44">
        <v>2625</v>
      </c>
      <c r="P152" s="35">
        <v>0.1</v>
      </c>
      <c r="Q152" s="34">
        <v>47250</v>
      </c>
      <c r="R152" s="24">
        <v>4</v>
      </c>
      <c r="S152" s="24" t="s">
        <v>2149</v>
      </c>
      <c r="T152" s="24" t="s">
        <v>49</v>
      </c>
      <c r="U152" s="34" t="str">
        <f>Sales_data!T152</f>
        <v>pooja.shah@company.com</v>
      </c>
      <c r="V152" s="24">
        <v>9745972422</v>
      </c>
      <c r="W152" s="34" t="s">
        <v>2101</v>
      </c>
      <c r="X152" s="24">
        <v>6</v>
      </c>
      <c r="Y152" s="30" t="s">
        <v>2108</v>
      </c>
      <c r="Z152" s="29">
        <v>46341</v>
      </c>
      <c r="AA152" s="24" t="s">
        <v>2172</v>
      </c>
      <c r="AB152" s="24" t="s">
        <v>2108</v>
      </c>
      <c r="AC152" s="136" t="str">
        <f t="shared" si="4"/>
        <v>Poo010Be</v>
      </c>
      <c r="AD152" s="136" t="str">
        <f t="shared" si="5"/>
        <v>pooja.shah@company.com</v>
      </c>
    </row>
    <row r="153" spans="1:30">
      <c r="A153" s="24" t="s">
        <v>815</v>
      </c>
      <c r="B153" s="24" t="s">
        <v>23</v>
      </c>
      <c r="C153" s="24" t="s">
        <v>222</v>
      </c>
      <c r="D153" s="30">
        <v>45990</v>
      </c>
      <c r="E153" s="24" t="s">
        <v>817</v>
      </c>
      <c r="F153" s="136" t="str">
        <f>PROPER(TRIM(Sales_data!F153))</f>
        <v>Kavya Nair</v>
      </c>
      <c r="G153" s="30" t="s">
        <v>28</v>
      </c>
      <c r="H153" s="24" t="s">
        <v>29</v>
      </c>
      <c r="I153" s="24" t="s">
        <v>30</v>
      </c>
      <c r="J153" s="24" t="s">
        <v>31</v>
      </c>
      <c r="K153" s="24" t="s">
        <v>2111</v>
      </c>
      <c r="L153" s="24" t="s">
        <v>122</v>
      </c>
      <c r="M153" s="34" t="s">
        <v>227</v>
      </c>
      <c r="N153" s="37">
        <v>2</v>
      </c>
      <c r="O153" s="44">
        <v>15</v>
      </c>
      <c r="P153" s="35">
        <v>0.1</v>
      </c>
      <c r="Q153" s="34">
        <v>27</v>
      </c>
      <c r="R153" s="24">
        <v>1</v>
      </c>
      <c r="S153" s="24" t="s">
        <v>2148</v>
      </c>
      <c r="T153" s="24" t="s">
        <v>115</v>
      </c>
      <c r="U153" s="34" t="str">
        <f>Sales_data!T153</f>
        <v>kavya.nair@company.com</v>
      </c>
      <c r="V153" s="24">
        <v>9123712257</v>
      </c>
      <c r="W153" s="34" t="s">
        <v>2103</v>
      </c>
      <c r="X153" s="24">
        <v>12</v>
      </c>
      <c r="Y153" s="30" t="s">
        <v>2108</v>
      </c>
      <c r="Z153" s="29">
        <v>46363</v>
      </c>
      <c r="AA153" s="24" t="s">
        <v>2171</v>
      </c>
      <c r="AB153" s="24" t="s">
        <v>2160</v>
      </c>
      <c r="AC153" s="136" t="str">
        <f t="shared" si="4"/>
        <v>Kav008Hy</v>
      </c>
      <c r="AD153" s="136" t="str">
        <f t="shared" si="5"/>
        <v>kavya.nair@company.com</v>
      </c>
    </row>
    <row r="154" spans="1:30">
      <c r="A154" s="24" t="s">
        <v>820</v>
      </c>
      <c r="B154" s="24" t="s">
        <v>100</v>
      </c>
      <c r="C154" s="24" t="s">
        <v>24</v>
      </c>
      <c r="D154" s="30">
        <v>45852</v>
      </c>
      <c r="E154" s="24" t="s">
        <v>821</v>
      </c>
      <c r="F154" s="136" t="str">
        <f>PROPER(TRIM(Sales_data!F154))</f>
        <v>Priya Patel</v>
      </c>
      <c r="G154" s="30" t="s">
        <v>28</v>
      </c>
      <c r="H154" s="24" t="s">
        <v>104</v>
      </c>
      <c r="I154" s="24" t="s">
        <v>105</v>
      </c>
      <c r="J154" s="24" t="s">
        <v>106</v>
      </c>
      <c r="K154" s="24" t="s">
        <v>2111</v>
      </c>
      <c r="L154" s="24" t="s">
        <v>32</v>
      </c>
      <c r="M154" s="34" t="s">
        <v>33</v>
      </c>
      <c r="N154" s="37">
        <v>16</v>
      </c>
      <c r="O154" s="44">
        <v>1650</v>
      </c>
      <c r="P154" s="35">
        <v>0.2</v>
      </c>
      <c r="Q154" s="34">
        <v>21120</v>
      </c>
      <c r="R154" s="24">
        <v>2</v>
      </c>
      <c r="S154" s="24" t="s">
        <v>2149</v>
      </c>
      <c r="T154" s="24" t="s">
        <v>151</v>
      </c>
      <c r="U154" s="34" t="str">
        <f>Sales_data!T154</f>
        <v>priya.patel@company.com</v>
      </c>
      <c r="V154" s="24">
        <v>9665525431</v>
      </c>
      <c r="W154" s="34" t="s">
        <v>2101</v>
      </c>
      <c r="X154" s="24">
        <v>24</v>
      </c>
      <c r="Y154" s="30" t="s">
        <v>2110</v>
      </c>
      <c r="Z154" s="29">
        <v>46587</v>
      </c>
      <c r="AA154" s="24" t="s">
        <v>2175</v>
      </c>
      <c r="AB154" s="24" t="s">
        <v>2160</v>
      </c>
      <c r="AC154" s="136" t="str">
        <f t="shared" si="4"/>
        <v>Pri002Mu</v>
      </c>
      <c r="AD154" s="136" t="str">
        <f t="shared" si="5"/>
        <v>priya.patel@company.com</v>
      </c>
    </row>
    <row r="155" spans="1:30">
      <c r="A155" s="24" t="s">
        <v>824</v>
      </c>
      <c r="B155" s="24" t="s">
        <v>221</v>
      </c>
      <c r="C155" s="24" t="s">
        <v>40</v>
      </c>
      <c r="D155" s="30">
        <v>45729</v>
      </c>
      <c r="E155" s="24" t="s">
        <v>825</v>
      </c>
      <c r="F155" s="136" t="str">
        <f>PROPER(TRIM(Sales_data!F155))</f>
        <v>Vikas Mehta</v>
      </c>
      <c r="G155" s="30" t="s">
        <v>76</v>
      </c>
      <c r="H155" s="24" t="s">
        <v>226</v>
      </c>
      <c r="I155" s="24" t="s">
        <v>105</v>
      </c>
      <c r="J155" s="24" t="s">
        <v>106</v>
      </c>
      <c r="K155" s="24" t="s">
        <v>2113</v>
      </c>
      <c r="L155" s="24" t="s">
        <v>46</v>
      </c>
      <c r="M155" s="34" t="s">
        <v>47</v>
      </c>
      <c r="N155" s="37">
        <v>15</v>
      </c>
      <c r="O155" s="44">
        <v>9000</v>
      </c>
      <c r="P155" s="35">
        <v>0</v>
      </c>
      <c r="Q155" s="34">
        <v>135000</v>
      </c>
      <c r="R155" s="24">
        <v>1</v>
      </c>
      <c r="S155" s="24" t="s">
        <v>79</v>
      </c>
      <c r="T155" s="24" t="s">
        <v>61</v>
      </c>
      <c r="U155" s="34" t="str">
        <f>Sales_data!T155</f>
        <v>vikas.mehta@company.com</v>
      </c>
      <c r="V155" s="24">
        <v>9682415134</v>
      </c>
      <c r="W155" s="34" t="s">
        <v>2101</v>
      </c>
      <c r="X155" s="24">
        <v>24</v>
      </c>
      <c r="Y155" s="30" t="s">
        <v>2112</v>
      </c>
      <c r="Z155" s="29">
        <v>46469</v>
      </c>
      <c r="AA155" s="24" t="s">
        <v>2171</v>
      </c>
      <c r="AB155" s="24" t="s">
        <v>2160</v>
      </c>
      <c r="AC155" s="136" t="str">
        <f t="shared" si="4"/>
        <v>Vik005Mu</v>
      </c>
      <c r="AD155" s="136" t="str">
        <f t="shared" si="5"/>
        <v>vikas.mehta@company.com</v>
      </c>
    </row>
    <row r="156" spans="1:30">
      <c r="A156" s="24" t="s">
        <v>828</v>
      </c>
      <c r="B156" s="24" t="s">
        <v>23</v>
      </c>
      <c r="C156" s="24" t="s">
        <v>118</v>
      </c>
      <c r="D156" s="30">
        <v>45860</v>
      </c>
      <c r="E156" s="24" t="s">
        <v>830</v>
      </c>
      <c r="F156" s="136" t="str">
        <f>PROPER(TRIM(Sales_data!F156))</f>
        <v>Kavya Nair</v>
      </c>
      <c r="G156" s="30" t="s">
        <v>28</v>
      </c>
      <c r="H156" s="24" t="s">
        <v>29</v>
      </c>
      <c r="I156" s="24" t="s">
        <v>30</v>
      </c>
      <c r="J156" s="24" t="s">
        <v>31</v>
      </c>
      <c r="K156" s="24" t="s">
        <v>2111</v>
      </c>
      <c r="L156" s="24" t="s">
        <v>122</v>
      </c>
      <c r="M156" s="34" t="s">
        <v>123</v>
      </c>
      <c r="N156" s="37">
        <v>14</v>
      </c>
      <c r="O156" s="44">
        <v>45</v>
      </c>
      <c r="P156" s="35">
        <v>0.15</v>
      </c>
      <c r="Q156" s="34">
        <v>535.5</v>
      </c>
      <c r="R156" s="24">
        <v>4</v>
      </c>
      <c r="S156" s="24" t="s">
        <v>2149</v>
      </c>
      <c r="T156" s="24" t="s">
        <v>49</v>
      </c>
      <c r="U156" s="34" t="str">
        <f>Sales_data!T156</f>
        <v>kavya.nair@company.com</v>
      </c>
      <c r="V156" s="24">
        <v>9808223872</v>
      </c>
      <c r="W156" s="34" t="s">
        <v>2102</v>
      </c>
      <c r="X156" s="24">
        <v>12</v>
      </c>
      <c r="Y156" s="30" t="s">
        <v>2108</v>
      </c>
      <c r="Z156" s="29">
        <v>46226</v>
      </c>
      <c r="AA156" s="24" t="s">
        <v>2171</v>
      </c>
      <c r="AB156" s="24" t="s">
        <v>2108</v>
      </c>
      <c r="AC156" s="136" t="str">
        <f t="shared" si="4"/>
        <v>Kav008Hy</v>
      </c>
      <c r="AD156" s="136" t="str">
        <f t="shared" si="5"/>
        <v>kavya.nair@company.com</v>
      </c>
    </row>
    <row r="157" spans="1:30">
      <c r="A157" s="24" t="s">
        <v>833</v>
      </c>
      <c r="B157" s="24" t="s">
        <v>53</v>
      </c>
      <c r="C157" s="24" t="s">
        <v>72</v>
      </c>
      <c r="D157" s="30">
        <v>45859</v>
      </c>
      <c r="E157" s="24" t="s">
        <v>835</v>
      </c>
      <c r="F157" s="136" t="str">
        <f>PROPER(TRIM(Sales_data!F157))</f>
        <v>Pooja Shah</v>
      </c>
      <c r="G157" s="30" t="s">
        <v>28</v>
      </c>
      <c r="H157" s="24" t="s">
        <v>58</v>
      </c>
      <c r="I157" s="24" t="s">
        <v>59</v>
      </c>
      <c r="J157" s="24" t="s">
        <v>31</v>
      </c>
      <c r="K157" s="24" t="s">
        <v>2111</v>
      </c>
      <c r="L157" s="24" t="s">
        <v>46</v>
      </c>
      <c r="M157" s="34" t="s">
        <v>78</v>
      </c>
      <c r="N157" s="37">
        <v>9</v>
      </c>
      <c r="O157" s="44">
        <v>900</v>
      </c>
      <c r="P157" s="35">
        <v>0.05</v>
      </c>
      <c r="Q157" s="34">
        <v>7695</v>
      </c>
      <c r="R157" s="24">
        <v>5</v>
      </c>
      <c r="S157" s="24" t="s">
        <v>2148</v>
      </c>
      <c r="T157" s="24" t="s">
        <v>61</v>
      </c>
      <c r="U157" s="34" t="str">
        <f>Sales_data!T157</f>
        <v>pooja.shah@company.com</v>
      </c>
      <c r="V157" s="24">
        <v>9193549730</v>
      </c>
      <c r="W157" s="34" t="s">
        <v>2100</v>
      </c>
      <c r="X157" s="24">
        <v>6</v>
      </c>
      <c r="Y157" s="30" t="s">
        <v>2108</v>
      </c>
      <c r="Z157" s="29">
        <v>46046</v>
      </c>
      <c r="AA157" s="24" t="s">
        <v>2172</v>
      </c>
      <c r="AB157" s="24" t="s">
        <v>2108</v>
      </c>
      <c r="AC157" s="136" t="str">
        <f t="shared" si="4"/>
        <v>Poo010Be</v>
      </c>
      <c r="AD157" s="136" t="str">
        <f t="shared" si="5"/>
        <v>pooja.shah@company.com</v>
      </c>
    </row>
    <row r="158" spans="1:30">
      <c r="A158" s="24" t="s">
        <v>838</v>
      </c>
      <c r="B158" s="24" t="s">
        <v>221</v>
      </c>
      <c r="C158" s="24" t="s">
        <v>72</v>
      </c>
      <c r="D158" s="30">
        <v>45857</v>
      </c>
      <c r="E158" s="24" t="s">
        <v>839</v>
      </c>
      <c r="F158" s="136" t="str">
        <f>PROPER(TRIM(Sales_data!F158))</f>
        <v>Vikas Mehta</v>
      </c>
      <c r="G158" s="30" t="s">
        <v>76</v>
      </c>
      <c r="H158" s="24" t="s">
        <v>226</v>
      </c>
      <c r="I158" s="24" t="s">
        <v>105</v>
      </c>
      <c r="J158" s="24" t="s">
        <v>106</v>
      </c>
      <c r="K158" s="24" t="s">
        <v>2113</v>
      </c>
      <c r="L158" s="24" t="s">
        <v>46</v>
      </c>
      <c r="M158" s="34" t="s">
        <v>78</v>
      </c>
      <c r="N158" s="37">
        <v>3</v>
      </c>
      <c r="O158" s="44">
        <v>900</v>
      </c>
      <c r="P158" s="35">
        <v>0.1</v>
      </c>
      <c r="Q158" s="34">
        <v>2430</v>
      </c>
      <c r="R158" s="24">
        <v>2</v>
      </c>
      <c r="S158" s="24" t="s">
        <v>79</v>
      </c>
      <c r="T158" s="24" t="s">
        <v>151</v>
      </c>
      <c r="U158" s="34" t="str">
        <f>Sales_data!T158</f>
        <v>vikas.mehta@company.com</v>
      </c>
      <c r="V158" s="24">
        <v>9520617130</v>
      </c>
      <c r="W158" s="34" t="s">
        <v>2100</v>
      </c>
      <c r="X158" s="24">
        <v>6</v>
      </c>
      <c r="Y158" s="30" t="s">
        <v>2112</v>
      </c>
      <c r="Z158" s="29">
        <v>46051</v>
      </c>
      <c r="AA158" s="24" t="s">
        <v>2171</v>
      </c>
      <c r="AB158" s="24" t="s">
        <v>2160</v>
      </c>
      <c r="AC158" s="136" t="str">
        <f t="shared" si="4"/>
        <v>Vik005Mu</v>
      </c>
      <c r="AD158" s="136" t="str">
        <f t="shared" si="5"/>
        <v>vikas.mehta@company.com</v>
      </c>
    </row>
    <row r="159" spans="1:30">
      <c r="A159" s="24" t="s">
        <v>842</v>
      </c>
      <c r="B159" s="24" t="s">
        <v>327</v>
      </c>
      <c r="C159" s="24" t="s">
        <v>118</v>
      </c>
      <c r="D159" s="30">
        <v>45757</v>
      </c>
      <c r="E159" s="24" t="s">
        <v>577</v>
      </c>
      <c r="F159" s="136" t="str">
        <f>PROPER(TRIM(Sales_data!F159))</f>
        <v>Amit Sharma</v>
      </c>
      <c r="G159" s="30" t="s">
        <v>76</v>
      </c>
      <c r="H159" s="24" t="s">
        <v>331</v>
      </c>
      <c r="I159" s="24" t="s">
        <v>114</v>
      </c>
      <c r="J159" s="24" t="s">
        <v>106</v>
      </c>
      <c r="K159" s="24" t="s">
        <v>2109</v>
      </c>
      <c r="L159" s="24" t="s">
        <v>122</v>
      </c>
      <c r="M159" s="34" t="s">
        <v>123</v>
      </c>
      <c r="N159" s="37">
        <v>2</v>
      </c>
      <c r="O159" s="44">
        <v>45</v>
      </c>
      <c r="P159" s="35">
        <v>0.1</v>
      </c>
      <c r="Q159" s="34">
        <v>81</v>
      </c>
      <c r="R159" s="24">
        <v>2</v>
      </c>
      <c r="S159" s="24" t="s">
        <v>2149</v>
      </c>
      <c r="T159" s="24" t="s">
        <v>61</v>
      </c>
      <c r="U159" s="34" t="str">
        <f>Sales_data!T159</f>
        <v>amit.sharma@company.com</v>
      </c>
      <c r="V159" s="24">
        <v>9264578122</v>
      </c>
      <c r="W159" s="34" t="s">
        <v>2102</v>
      </c>
      <c r="X159" s="24">
        <v>12</v>
      </c>
      <c r="Y159" s="30" t="s">
        <v>2108</v>
      </c>
      <c r="Z159" s="29">
        <v>46124</v>
      </c>
      <c r="AA159" s="24" t="s">
        <v>2171</v>
      </c>
      <c r="AB159" s="24" t="s">
        <v>2160</v>
      </c>
      <c r="AC159" s="136" t="str">
        <f t="shared" si="4"/>
        <v>Ami001Pu</v>
      </c>
      <c r="AD159" s="136" t="str">
        <f t="shared" si="5"/>
        <v>amit.sharma@company.com</v>
      </c>
    </row>
    <row r="160" spans="1:30">
      <c r="A160" s="24" t="s">
        <v>845</v>
      </c>
      <c r="B160" s="24" t="s">
        <v>71</v>
      </c>
      <c r="C160" s="24" t="s">
        <v>92</v>
      </c>
      <c r="D160" s="30">
        <v>46155</v>
      </c>
      <c r="E160" s="24" t="s">
        <v>846</v>
      </c>
      <c r="F160" s="136" t="str">
        <f>PROPER(TRIM(Sales_data!F160))</f>
        <v>Mohit Verma</v>
      </c>
      <c r="G160" s="30" t="s">
        <v>76</v>
      </c>
      <c r="H160" s="24" t="s">
        <v>77</v>
      </c>
      <c r="I160" s="24" t="s">
        <v>44</v>
      </c>
      <c r="J160" s="24" t="s">
        <v>45</v>
      </c>
      <c r="K160" s="24" t="s">
        <v>2114</v>
      </c>
      <c r="L160" s="24" t="s">
        <v>32</v>
      </c>
      <c r="M160" s="34" t="s">
        <v>97</v>
      </c>
      <c r="N160" s="37">
        <v>9</v>
      </c>
      <c r="O160" s="44">
        <v>2625</v>
      </c>
      <c r="P160" s="35">
        <v>0.2</v>
      </c>
      <c r="Q160" s="34">
        <v>18900</v>
      </c>
      <c r="R160" s="24">
        <v>1</v>
      </c>
      <c r="S160" s="24" t="s">
        <v>2148</v>
      </c>
      <c r="T160" s="24" t="s">
        <v>35</v>
      </c>
      <c r="U160" s="34" t="str">
        <f>Sales_data!T160</f>
        <v>mohit.verma@company.com</v>
      </c>
      <c r="V160" s="24">
        <v>9275071213</v>
      </c>
      <c r="W160" s="34" t="s">
        <v>2101</v>
      </c>
      <c r="X160" s="24">
        <v>6</v>
      </c>
      <c r="Y160" s="30" t="s">
        <v>2110</v>
      </c>
      <c r="Z160" s="29">
        <v>46349</v>
      </c>
      <c r="AA160" s="24" t="s">
        <v>2173</v>
      </c>
      <c r="AB160" s="24" t="s">
        <v>2160</v>
      </c>
      <c r="AC160" s="136" t="str">
        <f t="shared" si="4"/>
        <v>Moh009De</v>
      </c>
      <c r="AD160" s="136" t="str">
        <f t="shared" si="5"/>
        <v>mohit.verma@company.com</v>
      </c>
    </row>
    <row r="161" spans="1:30">
      <c r="A161" s="24" t="s">
        <v>849</v>
      </c>
      <c r="B161" s="24" t="s">
        <v>221</v>
      </c>
      <c r="C161" s="24" t="s">
        <v>54</v>
      </c>
      <c r="D161" s="30">
        <v>46094</v>
      </c>
      <c r="E161" s="24" t="s">
        <v>543</v>
      </c>
      <c r="F161" s="136" t="str">
        <f>PROPER(TRIM(Sales_data!F161))</f>
        <v>Vikas Mehta</v>
      </c>
      <c r="G161" s="30" t="s">
        <v>76</v>
      </c>
      <c r="H161" s="24" t="s">
        <v>226</v>
      </c>
      <c r="I161" s="24" t="s">
        <v>105</v>
      </c>
      <c r="J161" s="24" t="s">
        <v>106</v>
      </c>
      <c r="K161" s="24" t="s">
        <v>2113</v>
      </c>
      <c r="L161" s="24" t="s">
        <v>46</v>
      </c>
      <c r="M161" s="34" t="s">
        <v>60</v>
      </c>
      <c r="N161" s="37">
        <v>4</v>
      </c>
      <c r="O161" s="44">
        <v>41250</v>
      </c>
      <c r="P161" s="35">
        <v>0.05</v>
      </c>
      <c r="Q161" s="34">
        <v>156750</v>
      </c>
      <c r="R161" s="24">
        <v>2</v>
      </c>
      <c r="S161" s="24" t="s">
        <v>34</v>
      </c>
      <c r="T161" s="24" t="s">
        <v>151</v>
      </c>
      <c r="U161" s="34" t="str">
        <f>Sales_data!T161</f>
        <v>vikas.mehta@company.com</v>
      </c>
      <c r="V161" s="24">
        <v>9715222543</v>
      </c>
      <c r="W161" s="34" t="s">
        <v>2100</v>
      </c>
      <c r="X161" s="24">
        <v>12</v>
      </c>
      <c r="Y161" s="30" t="s">
        <v>2112</v>
      </c>
      <c r="Z161" s="29">
        <v>46462</v>
      </c>
      <c r="AA161" s="24" t="s">
        <v>2171</v>
      </c>
      <c r="AB161" s="24" t="s">
        <v>2160</v>
      </c>
      <c r="AC161" s="136" t="str">
        <f t="shared" si="4"/>
        <v>Vik005Mu</v>
      </c>
      <c r="AD161" s="136" t="str">
        <f t="shared" si="5"/>
        <v>vikas.mehta@company.com</v>
      </c>
    </row>
    <row r="162" spans="1:30">
      <c r="A162" s="24" t="s">
        <v>852</v>
      </c>
      <c r="B162" s="24" t="s">
        <v>327</v>
      </c>
      <c r="C162" s="24" t="s">
        <v>184</v>
      </c>
      <c r="D162" s="30">
        <v>45835</v>
      </c>
      <c r="E162" s="24" t="s">
        <v>266</v>
      </c>
      <c r="F162" s="136" t="str">
        <f>PROPER(TRIM(Sales_data!F162))</f>
        <v>Amit Sharma</v>
      </c>
      <c r="G162" s="30" t="s">
        <v>76</v>
      </c>
      <c r="H162" s="24" t="s">
        <v>331</v>
      </c>
      <c r="I162" s="24" t="s">
        <v>114</v>
      </c>
      <c r="J162" s="24" t="s">
        <v>106</v>
      </c>
      <c r="K162" s="24" t="s">
        <v>2109</v>
      </c>
      <c r="L162" s="24" t="s">
        <v>46</v>
      </c>
      <c r="M162" s="34" t="s">
        <v>189</v>
      </c>
      <c r="N162" s="37">
        <v>11</v>
      </c>
      <c r="O162" s="44">
        <v>525</v>
      </c>
      <c r="P162" s="35">
        <v>0.2</v>
      </c>
      <c r="Q162" s="34">
        <v>4620</v>
      </c>
      <c r="R162" s="24">
        <v>4</v>
      </c>
      <c r="S162" s="24" t="s">
        <v>34</v>
      </c>
      <c r="T162" s="24" t="s">
        <v>151</v>
      </c>
      <c r="U162" s="34" t="str">
        <f>Sales_data!T162</f>
        <v>amit.sharma@company.com</v>
      </c>
      <c r="V162" s="24">
        <v>9942010833</v>
      </c>
      <c r="W162" s="34" t="s">
        <v>2100</v>
      </c>
      <c r="X162" s="24">
        <v>24</v>
      </c>
      <c r="Y162" s="30" t="s">
        <v>2108</v>
      </c>
      <c r="Z162" s="29">
        <v>46569</v>
      </c>
      <c r="AA162" s="24" t="s">
        <v>2171</v>
      </c>
      <c r="AB162" s="24" t="s">
        <v>2108</v>
      </c>
      <c r="AC162" s="136" t="str">
        <f t="shared" si="4"/>
        <v>Ami001Pu</v>
      </c>
      <c r="AD162" s="136" t="str">
        <f t="shared" si="5"/>
        <v>amit.sharma@company.com</v>
      </c>
    </row>
    <row r="163" spans="1:30">
      <c r="A163" s="24" t="s">
        <v>856</v>
      </c>
      <c r="B163" s="24" t="s">
        <v>168</v>
      </c>
      <c r="C163" s="24" t="s">
        <v>72</v>
      </c>
      <c r="D163" s="30">
        <v>45980</v>
      </c>
      <c r="E163" s="24" t="s">
        <v>816</v>
      </c>
      <c r="F163" s="136" t="str">
        <f>PROPER(TRIM(Sales_data!F163))</f>
        <v>Anita Gupta</v>
      </c>
      <c r="G163" s="30" t="s">
        <v>28</v>
      </c>
      <c r="H163" s="24" t="s">
        <v>173</v>
      </c>
      <c r="I163" s="24" t="s">
        <v>114</v>
      </c>
      <c r="J163" s="24" t="s">
        <v>106</v>
      </c>
      <c r="K163" s="24" t="s">
        <v>2111</v>
      </c>
      <c r="L163" s="24" t="s">
        <v>46</v>
      </c>
      <c r="M163" s="34" t="s">
        <v>78</v>
      </c>
      <c r="N163" s="37">
        <v>16</v>
      </c>
      <c r="O163" s="44">
        <v>900</v>
      </c>
      <c r="P163" s="35">
        <v>0.05</v>
      </c>
      <c r="Q163" s="34">
        <v>13680</v>
      </c>
      <c r="R163" s="24">
        <v>1</v>
      </c>
      <c r="S163" s="24" t="s">
        <v>79</v>
      </c>
      <c r="T163" s="24" t="s">
        <v>35</v>
      </c>
      <c r="U163" s="34" t="str">
        <f>Sales_data!T163</f>
        <v>anita.gupta@company.com</v>
      </c>
      <c r="V163" s="24">
        <v>9347718932</v>
      </c>
      <c r="W163" s="34" t="s">
        <v>2100</v>
      </c>
      <c r="X163" s="24">
        <v>6</v>
      </c>
      <c r="Y163" s="30" t="s">
        <v>2112</v>
      </c>
      <c r="Z163" s="29">
        <v>46171</v>
      </c>
      <c r="AA163" s="24" t="s">
        <v>2177</v>
      </c>
      <c r="AB163" s="24" t="s">
        <v>2160</v>
      </c>
      <c r="AC163" s="136" t="str">
        <f t="shared" si="4"/>
        <v>Ani004Pu</v>
      </c>
      <c r="AD163" s="136" t="str">
        <f t="shared" si="5"/>
        <v>anita.gupta@company.com</v>
      </c>
    </row>
    <row r="164" spans="1:30">
      <c r="A164" s="24" t="s">
        <v>859</v>
      </c>
      <c r="B164" s="24" t="s">
        <v>168</v>
      </c>
      <c r="C164" s="24" t="s">
        <v>72</v>
      </c>
      <c r="D164" s="30">
        <v>45915</v>
      </c>
      <c r="E164" s="24" t="s">
        <v>860</v>
      </c>
      <c r="F164" s="136" t="str">
        <f>PROPER(TRIM(Sales_data!F164))</f>
        <v>Anita Gupta</v>
      </c>
      <c r="G164" s="30" t="s">
        <v>28</v>
      </c>
      <c r="H164" s="24" t="s">
        <v>173</v>
      </c>
      <c r="I164" s="24" t="s">
        <v>114</v>
      </c>
      <c r="J164" s="24" t="s">
        <v>106</v>
      </c>
      <c r="K164" s="24" t="s">
        <v>2111</v>
      </c>
      <c r="L164" s="24" t="s">
        <v>46</v>
      </c>
      <c r="M164" s="34" t="s">
        <v>78</v>
      </c>
      <c r="N164" s="37">
        <v>1</v>
      </c>
      <c r="O164" s="44">
        <v>900</v>
      </c>
      <c r="P164" s="35">
        <v>0.05</v>
      </c>
      <c r="Q164" s="34">
        <v>855</v>
      </c>
      <c r="R164" s="24">
        <v>4</v>
      </c>
      <c r="S164" s="24" t="s">
        <v>79</v>
      </c>
      <c r="T164" s="24" t="s">
        <v>35</v>
      </c>
      <c r="U164" s="34" t="str">
        <f>Sales_data!T164</f>
        <v>anita.gupta@company.com</v>
      </c>
      <c r="V164" s="24">
        <v>9274808844</v>
      </c>
      <c r="W164" s="34" t="s">
        <v>2100</v>
      </c>
      <c r="X164" s="24">
        <v>6</v>
      </c>
      <c r="Y164" s="30" t="s">
        <v>2112</v>
      </c>
      <c r="Z164" s="29">
        <v>46098</v>
      </c>
      <c r="AA164" s="24" t="s">
        <v>2177</v>
      </c>
      <c r="AB164" s="24" t="s">
        <v>2108</v>
      </c>
      <c r="AC164" s="136" t="str">
        <f t="shared" si="4"/>
        <v>Ani004Pu</v>
      </c>
      <c r="AD164" s="136" t="str">
        <f t="shared" si="5"/>
        <v>anita.gupta@company.com</v>
      </c>
    </row>
    <row r="165" spans="1:30">
      <c r="A165" s="24" t="s">
        <v>863</v>
      </c>
      <c r="B165" s="24" t="s">
        <v>327</v>
      </c>
      <c r="C165" s="24" t="s">
        <v>118</v>
      </c>
      <c r="D165" s="30">
        <v>45965</v>
      </c>
      <c r="E165" s="24" t="s">
        <v>865</v>
      </c>
      <c r="F165" s="136" t="str">
        <f>PROPER(TRIM(Sales_data!F165))</f>
        <v>Amit Sharma</v>
      </c>
      <c r="G165" s="30" t="s">
        <v>76</v>
      </c>
      <c r="H165" s="24" t="s">
        <v>331</v>
      </c>
      <c r="I165" s="24" t="s">
        <v>114</v>
      </c>
      <c r="J165" s="24" t="s">
        <v>106</v>
      </c>
      <c r="K165" s="24" t="s">
        <v>2109</v>
      </c>
      <c r="L165" s="24" t="s">
        <v>122</v>
      </c>
      <c r="M165" s="34" t="s">
        <v>123</v>
      </c>
      <c r="N165" s="37">
        <v>7</v>
      </c>
      <c r="O165" s="44">
        <v>45</v>
      </c>
      <c r="P165" s="35">
        <v>0</v>
      </c>
      <c r="Q165" s="34">
        <v>315</v>
      </c>
      <c r="R165" s="24">
        <v>2</v>
      </c>
      <c r="S165" s="24" t="s">
        <v>2149</v>
      </c>
      <c r="T165" s="24" t="s">
        <v>151</v>
      </c>
      <c r="U165" s="34" t="str">
        <f>Sales_data!T165</f>
        <v>amit.sharma@company.com</v>
      </c>
      <c r="V165" s="24">
        <v>9798996063</v>
      </c>
      <c r="W165" s="34" t="s">
        <v>2102</v>
      </c>
      <c r="X165" s="24">
        <v>12</v>
      </c>
      <c r="Y165" s="30" t="s">
        <v>2108</v>
      </c>
      <c r="Z165" s="29">
        <v>46339</v>
      </c>
      <c r="AA165" s="24" t="s">
        <v>2171</v>
      </c>
      <c r="AB165" s="24" t="s">
        <v>2160</v>
      </c>
      <c r="AC165" s="136" t="str">
        <f t="shared" si="4"/>
        <v>Ami001Pu</v>
      </c>
      <c r="AD165" s="136" t="str">
        <f t="shared" si="5"/>
        <v>amit.sharma@company.com</v>
      </c>
    </row>
    <row r="166" spans="1:30">
      <c r="A166" s="24" t="s">
        <v>868</v>
      </c>
      <c r="B166" s="24" t="s">
        <v>168</v>
      </c>
      <c r="C166" s="24" t="s">
        <v>24</v>
      </c>
      <c r="D166" s="30">
        <v>45660</v>
      </c>
      <c r="E166" s="24" t="s">
        <v>513</v>
      </c>
      <c r="F166" s="136" t="str">
        <f>PROPER(TRIM(Sales_data!F166))</f>
        <v>Anita Gupta</v>
      </c>
      <c r="G166" s="30" t="s">
        <v>28</v>
      </c>
      <c r="H166" s="24" t="s">
        <v>173</v>
      </c>
      <c r="I166" s="24" t="s">
        <v>114</v>
      </c>
      <c r="J166" s="24" t="s">
        <v>106</v>
      </c>
      <c r="K166" s="24" t="s">
        <v>2111</v>
      </c>
      <c r="L166" s="24" t="s">
        <v>32</v>
      </c>
      <c r="M166" s="34" t="s">
        <v>33</v>
      </c>
      <c r="N166" s="37">
        <v>14</v>
      </c>
      <c r="O166" s="44">
        <v>1650</v>
      </c>
      <c r="P166" s="35">
        <v>0</v>
      </c>
      <c r="Q166" s="34">
        <v>23100</v>
      </c>
      <c r="R166" s="24">
        <v>2</v>
      </c>
      <c r="S166" s="24" t="s">
        <v>2149</v>
      </c>
      <c r="T166" s="24" t="s">
        <v>35</v>
      </c>
      <c r="U166" s="34" t="str">
        <f>Sales_data!T166</f>
        <v>anita.gupta@company.com</v>
      </c>
      <c r="V166" s="24">
        <v>9145200936</v>
      </c>
      <c r="W166" s="34" t="s">
        <v>2101</v>
      </c>
      <c r="X166" s="24">
        <v>24</v>
      </c>
      <c r="Y166" s="30" t="s">
        <v>2112</v>
      </c>
      <c r="Z166" s="29">
        <v>46394</v>
      </c>
      <c r="AA166" s="24" t="s">
        <v>2177</v>
      </c>
      <c r="AB166" s="24" t="s">
        <v>2160</v>
      </c>
      <c r="AC166" s="136" t="str">
        <f t="shared" si="4"/>
        <v>Ani004Pu</v>
      </c>
      <c r="AD166" s="136" t="str">
        <f t="shared" si="5"/>
        <v>anita.gupta@company.com</v>
      </c>
    </row>
    <row r="167" spans="1:30">
      <c r="A167" s="24" t="s">
        <v>871</v>
      </c>
      <c r="B167" s="24" t="s">
        <v>168</v>
      </c>
      <c r="C167" s="24" t="s">
        <v>92</v>
      </c>
      <c r="D167" s="30">
        <v>45827</v>
      </c>
      <c r="E167" s="24" t="s">
        <v>488</v>
      </c>
      <c r="F167" s="136" t="str">
        <f>PROPER(TRIM(Sales_data!F167))</f>
        <v>Anita Gupta</v>
      </c>
      <c r="G167" s="30" t="s">
        <v>28</v>
      </c>
      <c r="H167" s="24" t="s">
        <v>173</v>
      </c>
      <c r="I167" s="24" t="s">
        <v>114</v>
      </c>
      <c r="J167" s="24" t="s">
        <v>106</v>
      </c>
      <c r="K167" s="24" t="s">
        <v>2111</v>
      </c>
      <c r="L167" s="24" t="s">
        <v>32</v>
      </c>
      <c r="M167" s="34" t="s">
        <v>97</v>
      </c>
      <c r="N167" s="37">
        <v>15</v>
      </c>
      <c r="O167" s="44">
        <v>2625</v>
      </c>
      <c r="P167" s="35">
        <v>0.15</v>
      </c>
      <c r="Q167" s="34">
        <v>33468.75</v>
      </c>
      <c r="R167" s="24">
        <v>2</v>
      </c>
      <c r="S167" s="24" t="s">
        <v>2149</v>
      </c>
      <c r="T167" s="24" t="s">
        <v>61</v>
      </c>
      <c r="U167" s="34" t="str">
        <f>Sales_data!T167</f>
        <v>anita.gupta@company.com</v>
      </c>
      <c r="V167" s="24">
        <v>9697654418</v>
      </c>
      <c r="W167" s="34" t="s">
        <v>2101</v>
      </c>
      <c r="X167" s="24">
        <v>6</v>
      </c>
      <c r="Y167" s="30" t="s">
        <v>2112</v>
      </c>
      <c r="Z167" s="29">
        <v>46018</v>
      </c>
      <c r="AA167" s="24" t="s">
        <v>2177</v>
      </c>
      <c r="AB167" s="24" t="s">
        <v>2160</v>
      </c>
      <c r="AC167" s="136" t="str">
        <f t="shared" si="4"/>
        <v>Ani004Pu</v>
      </c>
      <c r="AD167" s="136" t="str">
        <f t="shared" si="5"/>
        <v>anita.gupta@company.com</v>
      </c>
    </row>
    <row r="168" spans="1:30">
      <c r="A168" s="24" t="s">
        <v>875</v>
      </c>
      <c r="B168" s="24" t="s">
        <v>127</v>
      </c>
      <c r="C168" s="24" t="s">
        <v>92</v>
      </c>
      <c r="D168" s="30">
        <v>45742</v>
      </c>
      <c r="E168" s="24" t="s">
        <v>877</v>
      </c>
      <c r="F168" s="136" t="str">
        <f>PROPER(TRIM(Sales_data!F168))</f>
        <v>Rohit Singh</v>
      </c>
      <c r="G168" s="30" t="s">
        <v>76</v>
      </c>
      <c r="H168" s="24" t="s">
        <v>131</v>
      </c>
      <c r="I168" s="24" t="s">
        <v>44</v>
      </c>
      <c r="J168" s="24" t="s">
        <v>45</v>
      </c>
      <c r="K168" s="24" t="s">
        <v>2113</v>
      </c>
      <c r="L168" s="24" t="s">
        <v>32</v>
      </c>
      <c r="M168" s="34" t="s">
        <v>97</v>
      </c>
      <c r="N168" s="37">
        <v>19</v>
      </c>
      <c r="O168" s="44">
        <v>2625</v>
      </c>
      <c r="P168" s="35">
        <v>0.05</v>
      </c>
      <c r="Q168" s="34">
        <v>47381.25</v>
      </c>
      <c r="R168" s="24">
        <v>2</v>
      </c>
      <c r="S168" s="24" t="s">
        <v>34</v>
      </c>
      <c r="T168" s="24" t="s">
        <v>115</v>
      </c>
      <c r="U168" s="34" t="str">
        <f>Sales_data!T168</f>
        <v>rohit.singh@company.com</v>
      </c>
      <c r="V168" s="24">
        <v>9457923119</v>
      </c>
      <c r="W168" s="34" t="s">
        <v>2101</v>
      </c>
      <c r="X168" s="24">
        <v>6</v>
      </c>
      <c r="Y168" s="30" t="s">
        <v>2112</v>
      </c>
      <c r="Z168" s="29">
        <v>45936</v>
      </c>
      <c r="AA168" s="24" t="s">
        <v>2176</v>
      </c>
      <c r="AB168" s="24" t="s">
        <v>2160</v>
      </c>
      <c r="AC168" s="136" t="str">
        <f t="shared" si="4"/>
        <v>Roh003De</v>
      </c>
      <c r="AD168" s="136" t="str">
        <f t="shared" si="5"/>
        <v>rohit.singh@company.com</v>
      </c>
    </row>
    <row r="169" spans="1:30">
      <c r="A169" s="24" t="s">
        <v>880</v>
      </c>
      <c r="B169" s="24" t="s">
        <v>327</v>
      </c>
      <c r="C169" s="24" t="s">
        <v>54</v>
      </c>
      <c r="D169" s="30">
        <v>45844</v>
      </c>
      <c r="E169" s="24" t="s">
        <v>640</v>
      </c>
      <c r="F169" s="136" t="str">
        <f>PROPER(TRIM(Sales_data!F169))</f>
        <v>Amit Sharma</v>
      </c>
      <c r="G169" s="30" t="s">
        <v>76</v>
      </c>
      <c r="H169" s="24" t="s">
        <v>331</v>
      </c>
      <c r="I169" s="24" t="s">
        <v>114</v>
      </c>
      <c r="J169" s="24" t="s">
        <v>106</v>
      </c>
      <c r="K169" s="24" t="s">
        <v>2109</v>
      </c>
      <c r="L169" s="24" t="s">
        <v>46</v>
      </c>
      <c r="M169" s="34" t="s">
        <v>60</v>
      </c>
      <c r="N169" s="37">
        <v>12</v>
      </c>
      <c r="O169" s="44">
        <v>41250</v>
      </c>
      <c r="P169" s="35">
        <v>0.05</v>
      </c>
      <c r="Q169" s="34">
        <v>470250</v>
      </c>
      <c r="R169" s="24">
        <v>4</v>
      </c>
      <c r="S169" s="24" t="s">
        <v>79</v>
      </c>
      <c r="T169" s="24" t="s">
        <v>61</v>
      </c>
      <c r="U169" s="34" t="str">
        <f>Sales_data!T169</f>
        <v>amit.sharma@company.com</v>
      </c>
      <c r="V169" s="24">
        <v>9236111271</v>
      </c>
      <c r="W169" s="34" t="s">
        <v>2100</v>
      </c>
      <c r="X169" s="24">
        <v>12</v>
      </c>
      <c r="Y169" s="30" t="s">
        <v>2108</v>
      </c>
      <c r="Z169" s="29">
        <v>46213</v>
      </c>
      <c r="AA169" s="24" t="s">
        <v>2171</v>
      </c>
      <c r="AB169" s="24" t="s">
        <v>2110</v>
      </c>
      <c r="AC169" s="136" t="str">
        <f t="shared" si="4"/>
        <v>Ami001Pu</v>
      </c>
      <c r="AD169" s="136" t="str">
        <f t="shared" si="5"/>
        <v>amit.sharma@company.com</v>
      </c>
    </row>
    <row r="170" spans="1:30">
      <c r="A170" s="24" t="s">
        <v>884</v>
      </c>
      <c r="B170" s="24" t="s">
        <v>53</v>
      </c>
      <c r="C170" s="24" t="s">
        <v>72</v>
      </c>
      <c r="D170" s="30">
        <v>46040</v>
      </c>
      <c r="E170" s="24" t="s">
        <v>483</v>
      </c>
      <c r="F170" s="136" t="str">
        <f>PROPER(TRIM(Sales_data!F170))</f>
        <v>Pooja Shah</v>
      </c>
      <c r="G170" s="30" t="s">
        <v>28</v>
      </c>
      <c r="H170" s="24" t="s">
        <v>58</v>
      </c>
      <c r="I170" s="24" t="s">
        <v>59</v>
      </c>
      <c r="J170" s="24" t="s">
        <v>31</v>
      </c>
      <c r="K170" s="24" t="s">
        <v>2111</v>
      </c>
      <c r="L170" s="24" t="s">
        <v>46</v>
      </c>
      <c r="M170" s="34" t="s">
        <v>78</v>
      </c>
      <c r="N170" s="37">
        <v>6</v>
      </c>
      <c r="O170" s="44">
        <v>900</v>
      </c>
      <c r="P170" s="35">
        <v>0.1</v>
      </c>
      <c r="Q170" s="34">
        <v>4860</v>
      </c>
      <c r="R170" s="24">
        <v>5</v>
      </c>
      <c r="S170" s="24" t="s">
        <v>2148</v>
      </c>
      <c r="T170" s="24" t="s">
        <v>115</v>
      </c>
      <c r="U170" s="34" t="str">
        <f>Sales_data!T170</f>
        <v>pooja.shah@company.com</v>
      </c>
      <c r="V170" s="24">
        <v>9402569141</v>
      </c>
      <c r="W170" s="34" t="s">
        <v>2100</v>
      </c>
      <c r="X170" s="24">
        <v>6</v>
      </c>
      <c r="Y170" s="30" t="s">
        <v>2108</v>
      </c>
      <c r="Z170" s="29">
        <v>46229</v>
      </c>
      <c r="AA170" s="24" t="s">
        <v>2172</v>
      </c>
      <c r="AB170" s="24" t="s">
        <v>2108</v>
      </c>
      <c r="AC170" s="136" t="str">
        <f t="shared" si="4"/>
        <v>Poo010Be</v>
      </c>
      <c r="AD170" s="136" t="str">
        <f t="shared" si="5"/>
        <v>pooja.shah@company.com</v>
      </c>
    </row>
    <row r="171" spans="1:30">
      <c r="A171" s="24" t="s">
        <v>887</v>
      </c>
      <c r="B171" s="24" t="s">
        <v>251</v>
      </c>
      <c r="C171" s="24" t="s">
        <v>169</v>
      </c>
      <c r="D171" s="30">
        <v>45919</v>
      </c>
      <c r="E171" s="24" t="s">
        <v>247</v>
      </c>
      <c r="F171" s="136" t="str">
        <f>PROPER(TRIM(Sales_data!F171))</f>
        <v>Sneha Joshi</v>
      </c>
      <c r="G171" s="30" t="s">
        <v>28</v>
      </c>
      <c r="H171" s="24" t="s">
        <v>255</v>
      </c>
      <c r="I171" s="24" t="s">
        <v>114</v>
      </c>
      <c r="J171" s="24" t="s">
        <v>106</v>
      </c>
      <c r="K171" s="24" t="s">
        <v>2111</v>
      </c>
      <c r="L171" s="24" t="s">
        <v>32</v>
      </c>
      <c r="M171" s="34" t="s">
        <v>174</v>
      </c>
      <c r="N171" s="37">
        <v>1</v>
      </c>
      <c r="O171" s="44">
        <v>6375</v>
      </c>
      <c r="P171" s="35">
        <v>0</v>
      </c>
      <c r="Q171" s="34">
        <v>6375</v>
      </c>
      <c r="R171" s="24">
        <v>1</v>
      </c>
      <c r="S171" s="24" t="s">
        <v>2149</v>
      </c>
      <c r="T171" s="24" t="s">
        <v>151</v>
      </c>
      <c r="U171" s="34" t="str">
        <f>Sales_data!T171</f>
        <v>sneha.joshi@company.com</v>
      </c>
      <c r="V171" s="24">
        <v>9138184056</v>
      </c>
      <c r="W171" s="34" t="s">
        <v>2100</v>
      </c>
      <c r="X171" s="24">
        <v>24</v>
      </c>
      <c r="Y171" s="30" t="s">
        <v>2112</v>
      </c>
      <c r="Z171" s="29">
        <v>46650</v>
      </c>
      <c r="AA171" s="24" t="s">
        <v>2173</v>
      </c>
      <c r="AB171" s="24" t="s">
        <v>2160</v>
      </c>
      <c r="AC171" s="136" t="str">
        <f t="shared" si="4"/>
        <v>Sne006Pu</v>
      </c>
      <c r="AD171" s="136" t="str">
        <f t="shared" si="5"/>
        <v>sneha.joshi@company.com</v>
      </c>
    </row>
    <row r="172" spans="1:30">
      <c r="A172" s="24" t="s">
        <v>890</v>
      </c>
      <c r="B172" s="24" t="s">
        <v>127</v>
      </c>
      <c r="C172" s="24" t="s">
        <v>54</v>
      </c>
      <c r="D172" s="30">
        <v>46113</v>
      </c>
      <c r="E172" s="24" t="s">
        <v>892</v>
      </c>
      <c r="F172" s="136" t="str">
        <f>PROPER(TRIM(Sales_data!F172))</f>
        <v>Rohit Singh</v>
      </c>
      <c r="G172" s="30" t="s">
        <v>76</v>
      </c>
      <c r="H172" s="24" t="s">
        <v>131</v>
      </c>
      <c r="I172" s="24" t="s">
        <v>44</v>
      </c>
      <c r="J172" s="24" t="s">
        <v>45</v>
      </c>
      <c r="K172" s="24" t="s">
        <v>2113</v>
      </c>
      <c r="L172" s="24" t="s">
        <v>46</v>
      </c>
      <c r="M172" s="34" t="s">
        <v>60</v>
      </c>
      <c r="N172" s="37">
        <v>20</v>
      </c>
      <c r="O172" s="44">
        <v>41250</v>
      </c>
      <c r="P172" s="35">
        <v>0.1</v>
      </c>
      <c r="Q172" s="34">
        <v>742500</v>
      </c>
      <c r="R172" s="24">
        <v>5</v>
      </c>
      <c r="S172" s="24" t="s">
        <v>2148</v>
      </c>
      <c r="T172" s="24" t="s">
        <v>151</v>
      </c>
      <c r="U172" s="34" t="str">
        <f>Sales_data!T172</f>
        <v>rohit.singh@company.com</v>
      </c>
      <c r="V172" s="24">
        <v>9609598700</v>
      </c>
      <c r="W172" s="34" t="s">
        <v>2100</v>
      </c>
      <c r="X172" s="24">
        <v>12</v>
      </c>
      <c r="Y172" s="30" t="s">
        <v>2112</v>
      </c>
      <c r="Z172" s="29">
        <v>46484</v>
      </c>
      <c r="AA172" s="24" t="s">
        <v>2176</v>
      </c>
      <c r="AB172" s="24" t="s">
        <v>2110</v>
      </c>
      <c r="AC172" s="136" t="str">
        <f t="shared" si="4"/>
        <v>Roh003De</v>
      </c>
      <c r="AD172" s="136" t="str">
        <f t="shared" si="5"/>
        <v>rohit.singh@company.com</v>
      </c>
    </row>
    <row r="173" spans="1:30">
      <c r="A173" s="24" t="s">
        <v>895</v>
      </c>
      <c r="B173" s="24" t="s">
        <v>221</v>
      </c>
      <c r="C173" s="24" t="s">
        <v>72</v>
      </c>
      <c r="D173" s="30">
        <v>45958</v>
      </c>
      <c r="E173" s="24" t="s">
        <v>896</v>
      </c>
      <c r="F173" s="136" t="str">
        <f>PROPER(TRIM(Sales_data!F173))</f>
        <v>Vikas Mehta</v>
      </c>
      <c r="G173" s="30" t="s">
        <v>76</v>
      </c>
      <c r="H173" s="24" t="s">
        <v>226</v>
      </c>
      <c r="I173" s="24" t="s">
        <v>105</v>
      </c>
      <c r="J173" s="24" t="s">
        <v>106</v>
      </c>
      <c r="K173" s="24" t="s">
        <v>2113</v>
      </c>
      <c r="L173" s="24" t="s">
        <v>46</v>
      </c>
      <c r="M173" s="34" t="s">
        <v>78</v>
      </c>
      <c r="N173" s="37">
        <v>8</v>
      </c>
      <c r="O173" s="44">
        <v>900</v>
      </c>
      <c r="P173" s="35">
        <v>0.15</v>
      </c>
      <c r="Q173" s="34">
        <v>6120</v>
      </c>
      <c r="R173" s="24">
        <v>2</v>
      </c>
      <c r="S173" s="24" t="s">
        <v>2149</v>
      </c>
      <c r="T173" s="24" t="s">
        <v>115</v>
      </c>
      <c r="U173" s="34" t="str">
        <f>Sales_data!T173</f>
        <v>vikas.mehta@company.com</v>
      </c>
      <c r="V173" s="24">
        <v>9385894399</v>
      </c>
      <c r="W173" s="34" t="s">
        <v>2100</v>
      </c>
      <c r="X173" s="24">
        <v>6</v>
      </c>
      <c r="Y173" s="30" t="s">
        <v>2112</v>
      </c>
      <c r="Z173" s="29">
        <v>46141</v>
      </c>
      <c r="AA173" s="24" t="s">
        <v>2171</v>
      </c>
      <c r="AB173" s="24" t="s">
        <v>2160</v>
      </c>
      <c r="AC173" s="136" t="str">
        <f t="shared" si="4"/>
        <v>Vik005Mu</v>
      </c>
      <c r="AD173" s="136" t="str">
        <f t="shared" si="5"/>
        <v>vikas.mehta@company.com</v>
      </c>
    </row>
    <row r="174" spans="1:30">
      <c r="A174" s="24" t="s">
        <v>899</v>
      </c>
      <c r="B174" s="24" t="s">
        <v>23</v>
      </c>
      <c r="C174" s="24" t="s">
        <v>92</v>
      </c>
      <c r="D174" s="30">
        <v>45694</v>
      </c>
      <c r="E174" s="24" t="s">
        <v>901</v>
      </c>
      <c r="F174" s="136" t="str">
        <f>PROPER(TRIM(Sales_data!F174))</f>
        <v>Kavya Nair</v>
      </c>
      <c r="G174" s="30" t="s">
        <v>28</v>
      </c>
      <c r="H174" s="24" t="s">
        <v>29</v>
      </c>
      <c r="I174" s="24" t="s">
        <v>30</v>
      </c>
      <c r="J174" s="24" t="s">
        <v>31</v>
      </c>
      <c r="K174" s="24" t="s">
        <v>2111</v>
      </c>
      <c r="L174" s="24" t="s">
        <v>32</v>
      </c>
      <c r="M174" s="34" t="s">
        <v>97</v>
      </c>
      <c r="N174" s="37">
        <v>19</v>
      </c>
      <c r="O174" s="44">
        <v>2625</v>
      </c>
      <c r="P174" s="35">
        <v>0.05</v>
      </c>
      <c r="Q174" s="34">
        <v>47381.25</v>
      </c>
      <c r="R174" s="24">
        <v>4</v>
      </c>
      <c r="S174" s="24" t="s">
        <v>2149</v>
      </c>
      <c r="T174" s="24" t="s">
        <v>49</v>
      </c>
      <c r="U174" s="34" t="str">
        <f>Sales_data!T174</f>
        <v>kavya.nair@company.com</v>
      </c>
      <c r="V174" s="24">
        <v>9329448011</v>
      </c>
      <c r="W174" s="34" t="s">
        <v>2101</v>
      </c>
      <c r="X174" s="24">
        <v>6</v>
      </c>
      <c r="Y174" s="30" t="s">
        <v>2108</v>
      </c>
      <c r="Z174" s="29">
        <v>45886</v>
      </c>
      <c r="AA174" s="24" t="s">
        <v>2171</v>
      </c>
      <c r="AB174" s="24" t="s">
        <v>2108</v>
      </c>
      <c r="AC174" s="136" t="str">
        <f t="shared" si="4"/>
        <v>Kav008Hy</v>
      </c>
      <c r="AD174" s="136" t="str">
        <f t="shared" si="5"/>
        <v>kavya.nair@company.com</v>
      </c>
    </row>
    <row r="175" spans="1:30">
      <c r="A175" s="24" t="s">
        <v>904</v>
      </c>
      <c r="B175" s="24" t="s">
        <v>221</v>
      </c>
      <c r="C175" s="24" t="s">
        <v>259</v>
      </c>
      <c r="D175" s="30">
        <v>45774</v>
      </c>
      <c r="E175" s="24" t="s">
        <v>606</v>
      </c>
      <c r="F175" s="136" t="str">
        <f>PROPER(TRIM(Sales_data!F175))</f>
        <v>Vikas Mehta</v>
      </c>
      <c r="G175" s="30" t="s">
        <v>76</v>
      </c>
      <c r="H175" s="24" t="s">
        <v>226</v>
      </c>
      <c r="I175" s="24" t="s">
        <v>105</v>
      </c>
      <c r="J175" s="24" t="s">
        <v>106</v>
      </c>
      <c r="K175" s="24" t="s">
        <v>2113</v>
      </c>
      <c r="L175" s="24" t="s">
        <v>122</v>
      </c>
      <c r="M175" s="34" t="s">
        <v>263</v>
      </c>
      <c r="N175" s="37">
        <v>6</v>
      </c>
      <c r="O175" s="44">
        <v>33.75</v>
      </c>
      <c r="P175" s="35">
        <v>0.2</v>
      </c>
      <c r="Q175" s="34">
        <v>162</v>
      </c>
      <c r="R175" s="24">
        <v>1</v>
      </c>
      <c r="S175" s="24" t="s">
        <v>79</v>
      </c>
      <c r="T175" s="24" t="s">
        <v>49</v>
      </c>
      <c r="U175" s="34" t="str">
        <f>Sales_data!T175</f>
        <v>vikas.mehtacompany.com</v>
      </c>
      <c r="V175" s="24">
        <v>9889544104</v>
      </c>
      <c r="W175" s="34" t="s">
        <v>2100</v>
      </c>
      <c r="X175" s="24">
        <v>12</v>
      </c>
      <c r="Y175" s="30" t="s">
        <v>2112</v>
      </c>
      <c r="Z175" s="29">
        <v>46141</v>
      </c>
      <c r="AA175" s="24" t="s">
        <v>2171</v>
      </c>
      <c r="AB175" s="24" t="s">
        <v>2160</v>
      </c>
      <c r="AC175" s="136" t="str">
        <f t="shared" si="4"/>
        <v>Vik005Mu</v>
      </c>
      <c r="AD175" s="136" t="str">
        <f t="shared" si="5"/>
        <v>Invalid Email</v>
      </c>
    </row>
    <row r="176" spans="1:30">
      <c r="A176" s="24" t="s">
        <v>909</v>
      </c>
      <c r="B176" s="24" t="s">
        <v>251</v>
      </c>
      <c r="C176" s="24" t="s">
        <v>259</v>
      </c>
      <c r="D176" s="30">
        <v>45730</v>
      </c>
      <c r="E176" s="24" t="s">
        <v>119</v>
      </c>
      <c r="F176" s="136" t="str">
        <f>PROPER(TRIM(Sales_data!F176))</f>
        <v>Sneha Joshi</v>
      </c>
      <c r="G176" s="30" t="s">
        <v>28</v>
      </c>
      <c r="H176" s="24" t="s">
        <v>255</v>
      </c>
      <c r="I176" s="24" t="s">
        <v>114</v>
      </c>
      <c r="J176" s="24" t="s">
        <v>106</v>
      </c>
      <c r="K176" s="24" t="s">
        <v>2111</v>
      </c>
      <c r="L176" s="24" t="s">
        <v>122</v>
      </c>
      <c r="M176" s="34" t="s">
        <v>263</v>
      </c>
      <c r="N176" s="37">
        <v>17</v>
      </c>
      <c r="O176" s="44">
        <v>33.75</v>
      </c>
      <c r="P176" s="35">
        <v>0.15</v>
      </c>
      <c r="Q176" s="34">
        <v>487.6875</v>
      </c>
      <c r="R176" s="24">
        <v>5</v>
      </c>
      <c r="S176" s="24" t="s">
        <v>34</v>
      </c>
      <c r="T176" s="24" t="s">
        <v>115</v>
      </c>
      <c r="U176" s="34" t="str">
        <f>Sales_data!T176</f>
        <v>sneha.joshi@company.com</v>
      </c>
      <c r="V176" s="24">
        <v>9101861045</v>
      </c>
      <c r="W176" s="34" t="s">
        <v>2100</v>
      </c>
      <c r="X176" s="24">
        <v>12</v>
      </c>
      <c r="Y176" s="30" t="s">
        <v>2112</v>
      </c>
      <c r="Z176" s="29">
        <v>46106</v>
      </c>
      <c r="AA176" s="24" t="s">
        <v>2173</v>
      </c>
      <c r="AB176" s="24" t="s">
        <v>2108</v>
      </c>
      <c r="AC176" s="136" t="str">
        <f t="shared" si="4"/>
        <v>Sne006Pu</v>
      </c>
      <c r="AD176" s="136" t="str">
        <f t="shared" si="5"/>
        <v>sneha.joshi@company.com</v>
      </c>
    </row>
    <row r="177" spans="1:30">
      <c r="A177" s="24" t="s">
        <v>913</v>
      </c>
      <c r="B177" s="24" t="s">
        <v>23</v>
      </c>
      <c r="C177" s="24" t="s">
        <v>222</v>
      </c>
      <c r="D177" s="30">
        <v>45842</v>
      </c>
      <c r="E177" s="24" t="s">
        <v>914</v>
      </c>
      <c r="F177" s="136" t="str">
        <f>PROPER(TRIM(Sales_data!F177))</f>
        <v>Kavya Nair</v>
      </c>
      <c r="G177" s="30" t="s">
        <v>28</v>
      </c>
      <c r="H177" s="24" t="s">
        <v>29</v>
      </c>
      <c r="I177" s="24" t="s">
        <v>30</v>
      </c>
      <c r="J177" s="24" t="s">
        <v>31</v>
      </c>
      <c r="K177" s="24" t="s">
        <v>2111</v>
      </c>
      <c r="L177" s="24" t="s">
        <v>122</v>
      </c>
      <c r="M177" s="34" t="s">
        <v>227</v>
      </c>
      <c r="N177" s="37">
        <v>19</v>
      </c>
      <c r="O177" s="44">
        <v>15</v>
      </c>
      <c r="P177" s="35">
        <v>0.05</v>
      </c>
      <c r="Q177" s="34">
        <v>270.75</v>
      </c>
      <c r="R177" s="24">
        <v>4</v>
      </c>
      <c r="S177" s="24" t="s">
        <v>34</v>
      </c>
      <c r="T177" s="24" t="s">
        <v>35</v>
      </c>
      <c r="U177" s="34" t="str">
        <f>Sales_data!T177</f>
        <v>kavya.nair@company.com</v>
      </c>
      <c r="V177" s="24">
        <v>9364712105</v>
      </c>
      <c r="W177" s="34" t="s">
        <v>2103</v>
      </c>
      <c r="X177" s="24">
        <v>12</v>
      </c>
      <c r="Y177" s="30" t="s">
        <v>2108</v>
      </c>
      <c r="Z177" s="29">
        <v>46219</v>
      </c>
      <c r="AA177" s="24" t="s">
        <v>2171</v>
      </c>
      <c r="AB177" s="24" t="s">
        <v>2108</v>
      </c>
      <c r="AC177" s="136" t="str">
        <f t="shared" si="4"/>
        <v>Kav008Hy</v>
      </c>
      <c r="AD177" s="136" t="str">
        <f t="shared" si="5"/>
        <v>kavya.nair@company.com</v>
      </c>
    </row>
    <row r="178" spans="1:30">
      <c r="A178" s="24" t="s">
        <v>917</v>
      </c>
      <c r="B178" s="24" t="s">
        <v>251</v>
      </c>
      <c r="C178" s="24" t="s">
        <v>222</v>
      </c>
      <c r="D178" s="30">
        <v>45993</v>
      </c>
      <c r="E178" s="24" t="s">
        <v>352</v>
      </c>
      <c r="F178" s="136" t="str">
        <f>PROPER(TRIM(Sales_data!F178))</f>
        <v>Sneha Joshi</v>
      </c>
      <c r="G178" s="30" t="s">
        <v>28</v>
      </c>
      <c r="H178" s="24" t="s">
        <v>255</v>
      </c>
      <c r="I178" s="24" t="s">
        <v>114</v>
      </c>
      <c r="J178" s="24" t="s">
        <v>106</v>
      </c>
      <c r="K178" s="24" t="s">
        <v>2111</v>
      </c>
      <c r="L178" s="24" t="s">
        <v>122</v>
      </c>
      <c r="M178" s="34" t="s">
        <v>227</v>
      </c>
      <c r="N178" s="37">
        <v>11</v>
      </c>
      <c r="O178" s="44">
        <v>15</v>
      </c>
      <c r="P178" s="35">
        <v>0</v>
      </c>
      <c r="Q178" s="34">
        <v>165</v>
      </c>
      <c r="R178" s="24">
        <v>3</v>
      </c>
      <c r="S178" s="24" t="s">
        <v>2148</v>
      </c>
      <c r="T178" s="24" t="s">
        <v>49</v>
      </c>
      <c r="U178" s="34" t="str">
        <f>Sales_data!T178</f>
        <v>sneha.joshi@company.com</v>
      </c>
      <c r="V178" s="24">
        <v>9950206376</v>
      </c>
      <c r="W178" s="34" t="s">
        <v>2103</v>
      </c>
      <c r="X178" s="24">
        <v>12</v>
      </c>
      <c r="Y178" s="30" t="s">
        <v>2112</v>
      </c>
      <c r="Z178" s="29">
        <v>46359</v>
      </c>
      <c r="AA178" s="24" t="s">
        <v>2173</v>
      </c>
      <c r="AB178" s="24" t="s">
        <v>2108</v>
      </c>
      <c r="AC178" s="136" t="str">
        <f t="shared" si="4"/>
        <v>Sne006Pu</v>
      </c>
      <c r="AD178" s="136" t="str">
        <f t="shared" si="5"/>
        <v>sneha.joshi@company.com</v>
      </c>
    </row>
    <row r="179" spans="1:30">
      <c r="A179" s="24" t="s">
        <v>922</v>
      </c>
      <c r="B179" s="24" t="s">
        <v>168</v>
      </c>
      <c r="C179" s="24" t="s">
        <v>118</v>
      </c>
      <c r="D179" s="30">
        <v>46067</v>
      </c>
      <c r="E179" s="24" t="s">
        <v>923</v>
      </c>
      <c r="F179" s="136" t="str">
        <f>PROPER(TRIM(Sales_data!F179))</f>
        <v>Anita Gupta</v>
      </c>
      <c r="G179" s="30" t="s">
        <v>28</v>
      </c>
      <c r="H179" s="24" t="s">
        <v>173</v>
      </c>
      <c r="I179" s="24" t="s">
        <v>114</v>
      </c>
      <c r="J179" s="24" t="s">
        <v>106</v>
      </c>
      <c r="K179" s="24" t="s">
        <v>2111</v>
      </c>
      <c r="L179" s="24" t="s">
        <v>122</v>
      </c>
      <c r="M179" s="34" t="s">
        <v>123</v>
      </c>
      <c r="N179" s="37">
        <v>12</v>
      </c>
      <c r="O179" s="44">
        <v>45</v>
      </c>
      <c r="P179" s="35">
        <v>0</v>
      </c>
      <c r="Q179" s="34">
        <v>540</v>
      </c>
      <c r="R179" s="24">
        <v>2</v>
      </c>
      <c r="S179" s="24" t="s">
        <v>2148</v>
      </c>
      <c r="T179" s="24" t="s">
        <v>49</v>
      </c>
      <c r="U179" s="34" t="str">
        <f>Sales_data!T179</f>
        <v>anita.gupta@company.com</v>
      </c>
      <c r="V179" s="24">
        <v>9235822094</v>
      </c>
      <c r="W179" s="34" t="s">
        <v>2102</v>
      </c>
      <c r="X179" s="24">
        <v>12</v>
      </c>
      <c r="Y179" s="30" t="s">
        <v>2112</v>
      </c>
      <c r="Z179" s="29">
        <v>46439</v>
      </c>
      <c r="AA179" s="24" t="s">
        <v>2177</v>
      </c>
      <c r="AB179" s="24" t="s">
        <v>2160</v>
      </c>
      <c r="AC179" s="136" t="str">
        <f t="shared" si="4"/>
        <v>Ani004Pu</v>
      </c>
      <c r="AD179" s="136" t="str">
        <f t="shared" si="5"/>
        <v>anita.gupta@company.com</v>
      </c>
    </row>
    <row r="180" spans="1:30">
      <c r="A180" s="24" t="s">
        <v>926</v>
      </c>
      <c r="B180" s="24" t="s">
        <v>221</v>
      </c>
      <c r="C180" s="24" t="s">
        <v>259</v>
      </c>
      <c r="D180" s="30">
        <v>45970</v>
      </c>
      <c r="E180" s="24" t="s">
        <v>865</v>
      </c>
      <c r="F180" s="136" t="str">
        <f>PROPER(TRIM(Sales_data!F180))</f>
        <v>Priya Patel</v>
      </c>
      <c r="G180" s="30" t="s">
        <v>76</v>
      </c>
      <c r="H180" s="24" t="s">
        <v>226</v>
      </c>
      <c r="I180" s="24" t="s">
        <v>105</v>
      </c>
      <c r="J180" s="24" t="s">
        <v>106</v>
      </c>
      <c r="K180" s="24" t="s">
        <v>2113</v>
      </c>
      <c r="L180" s="24" t="s">
        <v>122</v>
      </c>
      <c r="M180" s="34" t="s">
        <v>263</v>
      </c>
      <c r="N180" s="37">
        <v>14</v>
      </c>
      <c r="O180" s="44">
        <v>33.75</v>
      </c>
      <c r="P180" s="35">
        <v>0.15</v>
      </c>
      <c r="Q180" s="34">
        <v>401.625</v>
      </c>
      <c r="R180" s="24">
        <v>5</v>
      </c>
      <c r="S180" s="24" t="s">
        <v>2149</v>
      </c>
      <c r="T180" s="24" t="s">
        <v>115</v>
      </c>
      <c r="U180" s="34" t="str">
        <f>Sales_data!T180</f>
        <v>vikas.mehta@company.com</v>
      </c>
      <c r="V180" s="24">
        <v>9311021344</v>
      </c>
      <c r="W180" s="34" t="s">
        <v>2100</v>
      </c>
      <c r="X180" s="24">
        <v>12</v>
      </c>
      <c r="Y180" s="30" t="s">
        <v>2112</v>
      </c>
      <c r="Z180" s="29">
        <v>46339</v>
      </c>
      <c r="AA180" s="24" t="s">
        <v>2171</v>
      </c>
      <c r="AB180" s="24" t="s">
        <v>2108</v>
      </c>
      <c r="AC180" s="136" t="str">
        <f t="shared" si="4"/>
        <v>Pri005Mu</v>
      </c>
      <c r="AD180" s="136" t="str">
        <f t="shared" si="5"/>
        <v>vikas.mehta@company.com</v>
      </c>
    </row>
    <row r="181" spans="1:30">
      <c r="A181" s="24" t="s">
        <v>931</v>
      </c>
      <c r="B181" s="24" t="s">
        <v>23</v>
      </c>
      <c r="C181" s="24" t="s">
        <v>184</v>
      </c>
      <c r="D181" s="30">
        <v>45695</v>
      </c>
      <c r="E181" s="24" t="s">
        <v>303</v>
      </c>
      <c r="F181" s="136" t="str">
        <f>PROPER(TRIM(Sales_data!F181))</f>
        <v>Kavya Nair</v>
      </c>
      <c r="G181" s="30" t="s">
        <v>28</v>
      </c>
      <c r="H181" s="24" t="s">
        <v>29</v>
      </c>
      <c r="I181" s="24" t="s">
        <v>30</v>
      </c>
      <c r="J181" s="24" t="s">
        <v>31</v>
      </c>
      <c r="K181" s="24" t="s">
        <v>2111</v>
      </c>
      <c r="L181" s="24" t="s">
        <v>46</v>
      </c>
      <c r="M181" s="34" t="s">
        <v>189</v>
      </c>
      <c r="N181" s="37">
        <v>15</v>
      </c>
      <c r="O181" s="44">
        <v>525</v>
      </c>
      <c r="P181" s="35">
        <v>0.1</v>
      </c>
      <c r="Q181" s="34">
        <v>7087.5</v>
      </c>
      <c r="R181" s="24">
        <v>3</v>
      </c>
      <c r="S181" s="24" t="s">
        <v>2148</v>
      </c>
      <c r="T181" s="24" t="s">
        <v>49</v>
      </c>
      <c r="U181" s="34" t="str">
        <f>Sales_data!T181</f>
        <v>kavya.nair@company.com</v>
      </c>
      <c r="V181" s="24">
        <v>9891358505</v>
      </c>
      <c r="W181" s="34" t="s">
        <v>2100</v>
      </c>
      <c r="X181" s="24">
        <v>24</v>
      </c>
      <c r="Y181" s="30" t="s">
        <v>2108</v>
      </c>
      <c r="Z181" s="29">
        <v>46437</v>
      </c>
      <c r="AA181" s="24" t="s">
        <v>2171</v>
      </c>
      <c r="AB181" s="24" t="s">
        <v>2108</v>
      </c>
      <c r="AC181" s="136" t="str">
        <f t="shared" si="4"/>
        <v>Kav008Hy</v>
      </c>
      <c r="AD181" s="136" t="str">
        <f t="shared" si="5"/>
        <v>kavya.nair@company.com</v>
      </c>
    </row>
    <row r="182" spans="1:30">
      <c r="A182" s="24" t="s">
        <v>935</v>
      </c>
      <c r="B182" s="24" t="s">
        <v>100</v>
      </c>
      <c r="C182" s="24" t="s">
        <v>169</v>
      </c>
      <c r="D182" s="30">
        <v>45803</v>
      </c>
      <c r="E182" s="24" t="s">
        <v>683</v>
      </c>
      <c r="F182" s="136" t="str">
        <f>PROPER(TRIM(Sales_data!F182))</f>
        <v>Priya Patel</v>
      </c>
      <c r="G182" s="30" t="s">
        <v>28</v>
      </c>
      <c r="H182" s="24" t="s">
        <v>104</v>
      </c>
      <c r="I182" s="24" t="s">
        <v>105</v>
      </c>
      <c r="J182" s="24" t="s">
        <v>106</v>
      </c>
      <c r="K182" s="24" t="s">
        <v>2111</v>
      </c>
      <c r="L182" s="24" t="s">
        <v>32</v>
      </c>
      <c r="M182" s="34" t="s">
        <v>174</v>
      </c>
      <c r="N182" s="37">
        <v>19</v>
      </c>
      <c r="O182" s="44">
        <v>6375</v>
      </c>
      <c r="P182" s="35">
        <v>0.15</v>
      </c>
      <c r="Q182" s="34">
        <v>102956.25</v>
      </c>
      <c r="R182" s="24">
        <v>2</v>
      </c>
      <c r="S182" s="24" t="s">
        <v>34</v>
      </c>
      <c r="T182" s="24" t="s">
        <v>35</v>
      </c>
      <c r="U182" s="34" t="str">
        <f>Sales_data!T182</f>
        <v>priya.patel@company.com</v>
      </c>
      <c r="V182" s="24">
        <v>9910085332</v>
      </c>
      <c r="W182" s="34" t="s">
        <v>2100</v>
      </c>
      <c r="X182" s="24">
        <v>24</v>
      </c>
      <c r="Y182" s="30" t="s">
        <v>2110</v>
      </c>
      <c r="Z182" s="29">
        <v>46537</v>
      </c>
      <c r="AA182" s="24" t="s">
        <v>2175</v>
      </c>
      <c r="AB182" s="24" t="s">
        <v>2160</v>
      </c>
      <c r="AC182" s="136" t="str">
        <f t="shared" si="4"/>
        <v>Pri002Mu</v>
      </c>
      <c r="AD182" s="136" t="str">
        <f t="shared" si="5"/>
        <v>priya.patel@company.com</v>
      </c>
    </row>
    <row r="183" spans="1:30">
      <c r="A183" s="24" t="s">
        <v>939</v>
      </c>
      <c r="B183" s="24" t="s">
        <v>251</v>
      </c>
      <c r="C183" s="24" t="s">
        <v>118</v>
      </c>
      <c r="D183" s="30">
        <v>45934</v>
      </c>
      <c r="E183" s="24" t="s">
        <v>941</v>
      </c>
      <c r="F183" s="136" t="str">
        <f>PROPER(TRIM(Sales_data!F183))</f>
        <v>Sneha Joshi</v>
      </c>
      <c r="G183" s="30" t="s">
        <v>28</v>
      </c>
      <c r="H183" s="24" t="s">
        <v>255</v>
      </c>
      <c r="I183" s="24" t="s">
        <v>114</v>
      </c>
      <c r="J183" s="24" t="s">
        <v>106</v>
      </c>
      <c r="K183" s="24" t="s">
        <v>2111</v>
      </c>
      <c r="L183" s="24" t="s">
        <v>122</v>
      </c>
      <c r="M183" s="34" t="s">
        <v>123</v>
      </c>
      <c r="N183" s="37">
        <v>19</v>
      </c>
      <c r="O183" s="44">
        <v>45</v>
      </c>
      <c r="P183" s="35">
        <v>0.2</v>
      </c>
      <c r="Q183" s="34">
        <v>684</v>
      </c>
      <c r="R183" s="24">
        <v>4</v>
      </c>
      <c r="S183" s="24" t="s">
        <v>79</v>
      </c>
      <c r="T183" s="24" t="s">
        <v>49</v>
      </c>
      <c r="U183" s="34" t="str">
        <f>Sales_data!T183</f>
        <v>sneha.joshi@company.com</v>
      </c>
      <c r="V183" s="24">
        <v>9756908023</v>
      </c>
      <c r="W183" s="34" t="s">
        <v>2102</v>
      </c>
      <c r="X183" s="24">
        <v>12</v>
      </c>
      <c r="Y183" s="30" t="s">
        <v>2112</v>
      </c>
      <c r="Z183" s="29">
        <v>46301</v>
      </c>
      <c r="AA183" s="24" t="s">
        <v>2173</v>
      </c>
      <c r="AB183" s="24" t="s">
        <v>2108</v>
      </c>
      <c r="AC183" s="136" t="str">
        <f t="shared" si="4"/>
        <v>Sne006Pu</v>
      </c>
      <c r="AD183" s="136" t="str">
        <f t="shared" si="5"/>
        <v>sneha.joshi@company.com</v>
      </c>
    </row>
    <row r="184" spans="1:30">
      <c r="A184" s="24" t="s">
        <v>943</v>
      </c>
      <c r="B184" s="24" t="s">
        <v>100</v>
      </c>
      <c r="C184" s="24" t="s">
        <v>259</v>
      </c>
      <c r="D184" s="30">
        <v>45792</v>
      </c>
      <c r="E184" s="24" t="s">
        <v>936</v>
      </c>
      <c r="F184" s="136" t="str">
        <f>PROPER(TRIM(Sales_data!F184))</f>
        <v>Priya Patel</v>
      </c>
      <c r="G184" s="30" t="s">
        <v>28</v>
      </c>
      <c r="H184" s="24" t="s">
        <v>104</v>
      </c>
      <c r="I184" s="24" t="s">
        <v>105</v>
      </c>
      <c r="J184" s="24" t="s">
        <v>106</v>
      </c>
      <c r="K184" s="24" t="s">
        <v>2111</v>
      </c>
      <c r="L184" s="24" t="s">
        <v>122</v>
      </c>
      <c r="M184" s="34" t="s">
        <v>263</v>
      </c>
      <c r="N184" s="37">
        <v>10</v>
      </c>
      <c r="O184" s="44">
        <v>33.75</v>
      </c>
      <c r="P184" s="35">
        <v>0.15</v>
      </c>
      <c r="Q184" s="34">
        <v>286.875</v>
      </c>
      <c r="R184" s="24">
        <v>4</v>
      </c>
      <c r="S184" s="24" t="s">
        <v>34</v>
      </c>
      <c r="T184" s="24" t="s">
        <v>151</v>
      </c>
      <c r="U184" s="34" t="str">
        <f>Sales_data!T184</f>
        <v>priya.patel@company.com</v>
      </c>
      <c r="V184" s="24">
        <v>9645913247</v>
      </c>
      <c r="W184" s="34" t="s">
        <v>2100</v>
      </c>
      <c r="X184" s="24">
        <v>12</v>
      </c>
      <c r="Y184" s="30" t="s">
        <v>2110</v>
      </c>
      <c r="Z184" s="29">
        <v>46168</v>
      </c>
      <c r="AA184" s="24" t="s">
        <v>2175</v>
      </c>
      <c r="AB184" s="24" t="s">
        <v>2108</v>
      </c>
      <c r="AC184" s="136" t="str">
        <f t="shared" si="4"/>
        <v>Pri002Mu</v>
      </c>
      <c r="AD184" s="136" t="str">
        <f t="shared" si="5"/>
        <v>priya.patel@company.com</v>
      </c>
    </row>
    <row r="185" spans="1:30">
      <c r="A185" s="24" t="s">
        <v>947</v>
      </c>
      <c r="B185" s="24" t="s">
        <v>71</v>
      </c>
      <c r="C185" s="24" t="s">
        <v>24</v>
      </c>
      <c r="D185" s="30">
        <v>45822</v>
      </c>
      <c r="E185" s="24" t="s">
        <v>949</v>
      </c>
      <c r="F185" s="136" t="str">
        <f>PROPER(TRIM(Sales_data!F185))</f>
        <v>Mohit Verma</v>
      </c>
      <c r="G185" s="30" t="s">
        <v>76</v>
      </c>
      <c r="H185" s="24" t="s">
        <v>77</v>
      </c>
      <c r="I185" s="24" t="s">
        <v>44</v>
      </c>
      <c r="J185" s="24" t="s">
        <v>45</v>
      </c>
      <c r="K185" s="24" t="s">
        <v>2114</v>
      </c>
      <c r="L185" s="24" t="s">
        <v>32</v>
      </c>
      <c r="M185" s="34" t="s">
        <v>33</v>
      </c>
      <c r="N185" s="37">
        <v>7</v>
      </c>
      <c r="O185" s="44">
        <v>1650</v>
      </c>
      <c r="P185" s="35">
        <v>0.2</v>
      </c>
      <c r="Q185" s="34">
        <v>9240</v>
      </c>
      <c r="R185" s="24">
        <v>5</v>
      </c>
      <c r="S185" s="24" t="s">
        <v>2149</v>
      </c>
      <c r="T185" s="24" t="s">
        <v>49</v>
      </c>
      <c r="U185" s="34" t="str">
        <f>Sales_data!T185</f>
        <v>mohit.verma@company.com</v>
      </c>
      <c r="V185" s="24">
        <v>9806914795</v>
      </c>
      <c r="W185" s="34" t="s">
        <v>2101</v>
      </c>
      <c r="X185" s="24">
        <v>24</v>
      </c>
      <c r="Y185" s="30" t="s">
        <v>2110</v>
      </c>
      <c r="Z185" s="29">
        <v>46561</v>
      </c>
      <c r="AA185" s="24" t="s">
        <v>2173</v>
      </c>
      <c r="AB185" s="24" t="s">
        <v>2108</v>
      </c>
      <c r="AC185" s="136" t="str">
        <f t="shared" si="4"/>
        <v>Moh009De</v>
      </c>
      <c r="AD185" s="136" t="str">
        <f t="shared" si="5"/>
        <v>mohit.verma@company.com</v>
      </c>
    </row>
    <row r="186" spans="1:30">
      <c r="A186" s="24" t="s">
        <v>952</v>
      </c>
      <c r="B186" s="24" t="s">
        <v>100</v>
      </c>
      <c r="C186" s="24" t="s">
        <v>169</v>
      </c>
      <c r="D186" s="30">
        <v>45769</v>
      </c>
      <c r="E186" s="24" t="s">
        <v>42</v>
      </c>
      <c r="F186" s="136" t="str">
        <f>PROPER(TRIM(Sales_data!F186))</f>
        <v>Priya Patel</v>
      </c>
      <c r="G186" s="30" t="s">
        <v>28</v>
      </c>
      <c r="H186" s="24" t="s">
        <v>104</v>
      </c>
      <c r="I186" s="24" t="s">
        <v>105</v>
      </c>
      <c r="J186" s="24" t="s">
        <v>106</v>
      </c>
      <c r="K186" s="24" t="s">
        <v>2111</v>
      </c>
      <c r="L186" s="24" t="s">
        <v>32</v>
      </c>
      <c r="M186" s="34" t="s">
        <v>174</v>
      </c>
      <c r="N186" s="37">
        <v>20</v>
      </c>
      <c r="O186" s="44">
        <v>6375</v>
      </c>
      <c r="P186" s="35">
        <v>0.2</v>
      </c>
      <c r="Q186" s="34">
        <v>102000</v>
      </c>
      <c r="R186" s="24">
        <v>4</v>
      </c>
      <c r="S186" s="24" t="s">
        <v>2148</v>
      </c>
      <c r="T186" s="24" t="s">
        <v>35</v>
      </c>
      <c r="U186" s="34" t="str">
        <f>Sales_data!T186</f>
        <v>priya.patel@company.com</v>
      </c>
      <c r="V186" s="24">
        <v>9276222829</v>
      </c>
      <c r="W186" s="34" t="s">
        <v>2100</v>
      </c>
      <c r="X186" s="24">
        <v>24</v>
      </c>
      <c r="Y186" s="30" t="s">
        <v>2110</v>
      </c>
      <c r="Z186" s="29">
        <v>46511</v>
      </c>
      <c r="AA186" s="24" t="s">
        <v>2175</v>
      </c>
      <c r="AB186" s="24" t="s">
        <v>2112</v>
      </c>
      <c r="AC186" s="136" t="str">
        <f t="shared" si="4"/>
        <v>Pri002Mu</v>
      </c>
      <c r="AD186" s="136" t="str">
        <f t="shared" si="5"/>
        <v>priya.patel@company.com</v>
      </c>
    </row>
    <row r="187" spans="1:30">
      <c r="A187" s="24" t="s">
        <v>956</v>
      </c>
      <c r="B187" s="24" t="s">
        <v>251</v>
      </c>
      <c r="C187" s="24" t="s">
        <v>24</v>
      </c>
      <c r="D187" s="30">
        <v>45679</v>
      </c>
      <c r="E187" s="24" t="s">
        <v>957</v>
      </c>
      <c r="F187" s="136" t="str">
        <f>PROPER(TRIM(Sales_data!F187))</f>
        <v>Sneha Joshi</v>
      </c>
      <c r="G187" s="30" t="s">
        <v>28</v>
      </c>
      <c r="H187" s="24" t="s">
        <v>255</v>
      </c>
      <c r="I187" s="24" t="s">
        <v>114</v>
      </c>
      <c r="J187" s="24" t="s">
        <v>106</v>
      </c>
      <c r="K187" s="24" t="s">
        <v>2111</v>
      </c>
      <c r="L187" s="24" t="s">
        <v>32</v>
      </c>
      <c r="M187" s="34" t="s">
        <v>33</v>
      </c>
      <c r="N187" s="37">
        <v>10</v>
      </c>
      <c r="O187" s="44">
        <v>1650</v>
      </c>
      <c r="P187" s="35">
        <v>0.05</v>
      </c>
      <c r="Q187" s="34">
        <v>15675</v>
      </c>
      <c r="R187" s="24">
        <v>2</v>
      </c>
      <c r="S187" s="24" t="s">
        <v>2148</v>
      </c>
      <c r="T187" s="24" t="s">
        <v>49</v>
      </c>
      <c r="U187" s="34" t="str">
        <f>Sales_data!T187</f>
        <v>sneha.joshi@company.com</v>
      </c>
      <c r="V187" s="24">
        <v>9533835528</v>
      </c>
      <c r="W187" s="34" t="s">
        <v>2101</v>
      </c>
      <c r="X187" s="24">
        <v>24</v>
      </c>
      <c r="Y187" s="30" t="s">
        <v>2112</v>
      </c>
      <c r="Z187" s="29">
        <v>46411</v>
      </c>
      <c r="AA187" s="24" t="s">
        <v>2173</v>
      </c>
      <c r="AB187" s="24" t="s">
        <v>2160</v>
      </c>
      <c r="AC187" s="136" t="str">
        <f t="shared" si="4"/>
        <v>Sne006Pu</v>
      </c>
      <c r="AD187" s="136" t="str">
        <f t="shared" si="5"/>
        <v>sneha.joshi@company.com</v>
      </c>
    </row>
    <row r="188" spans="1:30">
      <c r="A188" s="24" t="s">
        <v>960</v>
      </c>
      <c r="B188" s="24" t="s">
        <v>127</v>
      </c>
      <c r="C188" s="24" t="s">
        <v>118</v>
      </c>
      <c r="D188" s="30">
        <v>46007</v>
      </c>
      <c r="E188" s="24" t="s">
        <v>961</v>
      </c>
      <c r="F188" s="136" t="str">
        <f>PROPER(TRIM(Sales_data!F188))</f>
        <v>Rohit Singh</v>
      </c>
      <c r="G188" s="30" t="s">
        <v>76</v>
      </c>
      <c r="H188" s="24" t="s">
        <v>131</v>
      </c>
      <c r="I188" s="24" t="s">
        <v>44</v>
      </c>
      <c r="J188" s="24" t="s">
        <v>45</v>
      </c>
      <c r="K188" s="24" t="s">
        <v>2113</v>
      </c>
      <c r="L188" s="24" t="s">
        <v>122</v>
      </c>
      <c r="M188" s="34" t="s">
        <v>123</v>
      </c>
      <c r="N188" s="37">
        <v>15</v>
      </c>
      <c r="O188" s="44">
        <v>45</v>
      </c>
      <c r="P188" s="35">
        <v>0.2</v>
      </c>
      <c r="Q188" s="34">
        <v>540</v>
      </c>
      <c r="R188" s="24">
        <v>1</v>
      </c>
      <c r="S188" s="24" t="s">
        <v>79</v>
      </c>
      <c r="T188" s="24" t="s">
        <v>35</v>
      </c>
      <c r="U188" s="34" t="str">
        <f>Sales_data!T188</f>
        <v>rohit.singh@company.com</v>
      </c>
      <c r="V188" s="24">
        <v>9654885820</v>
      </c>
      <c r="W188" s="34" t="s">
        <v>2102</v>
      </c>
      <c r="X188" s="24">
        <v>12</v>
      </c>
      <c r="Y188" s="30" t="s">
        <v>2112</v>
      </c>
      <c r="Z188" s="29">
        <v>46382</v>
      </c>
      <c r="AA188" s="24" t="s">
        <v>2176</v>
      </c>
      <c r="AB188" s="24" t="s">
        <v>2160</v>
      </c>
      <c r="AC188" s="136" t="str">
        <f t="shared" si="4"/>
        <v>Roh003De</v>
      </c>
      <c r="AD188" s="136" t="str">
        <f t="shared" si="5"/>
        <v>rohit.singh@company.com</v>
      </c>
    </row>
    <row r="189" spans="1:30">
      <c r="A189" s="24" t="s">
        <v>964</v>
      </c>
      <c r="B189" s="24" t="s">
        <v>221</v>
      </c>
      <c r="C189" s="24" t="s">
        <v>92</v>
      </c>
      <c r="D189" s="30">
        <v>45832</v>
      </c>
      <c r="E189" s="24" t="s">
        <v>965</v>
      </c>
      <c r="F189" s="136" t="str">
        <f>PROPER(TRIM(Sales_data!F189))</f>
        <v>Vikas Mehta</v>
      </c>
      <c r="G189" s="30" t="s">
        <v>76</v>
      </c>
      <c r="H189" s="24" t="s">
        <v>226</v>
      </c>
      <c r="I189" s="24" t="s">
        <v>105</v>
      </c>
      <c r="J189" s="24" t="s">
        <v>106</v>
      </c>
      <c r="K189" s="24" t="s">
        <v>2113</v>
      </c>
      <c r="L189" s="24" t="s">
        <v>32</v>
      </c>
      <c r="M189" s="34" t="s">
        <v>97</v>
      </c>
      <c r="N189" s="37">
        <v>18</v>
      </c>
      <c r="O189" s="44">
        <v>2625</v>
      </c>
      <c r="P189" s="35">
        <v>0.05</v>
      </c>
      <c r="Q189" s="34">
        <v>44887.5</v>
      </c>
      <c r="R189" s="24">
        <v>1</v>
      </c>
      <c r="S189" s="24" t="s">
        <v>79</v>
      </c>
      <c r="T189" s="24" t="s">
        <v>49</v>
      </c>
      <c r="U189" s="34" t="str">
        <f>Sales_data!T189</f>
        <v>vikas.mehta@company.com</v>
      </c>
      <c r="V189" s="24">
        <v>9456029544</v>
      </c>
      <c r="W189" s="34" t="s">
        <v>2101</v>
      </c>
      <c r="X189" s="24">
        <v>6</v>
      </c>
      <c r="Y189" s="30" t="s">
        <v>2112</v>
      </c>
      <c r="Z189" s="29">
        <v>46019</v>
      </c>
      <c r="AA189" s="24" t="s">
        <v>2171</v>
      </c>
      <c r="AB189" s="24" t="s">
        <v>2160</v>
      </c>
      <c r="AC189" s="136" t="str">
        <f t="shared" si="4"/>
        <v>Vik005Mu</v>
      </c>
      <c r="AD189" s="136" t="str">
        <f t="shared" si="5"/>
        <v>vikas.mehta@company.com</v>
      </c>
    </row>
    <row r="190" spans="1:30">
      <c r="A190" s="24" t="s">
        <v>968</v>
      </c>
      <c r="B190" s="24" t="s">
        <v>327</v>
      </c>
      <c r="C190" s="24" t="s">
        <v>40</v>
      </c>
      <c r="D190" s="30">
        <v>46154</v>
      </c>
      <c r="E190" s="24" t="s">
        <v>970</v>
      </c>
      <c r="F190" s="136" t="str">
        <f>PROPER(TRIM(Sales_data!F190))</f>
        <v>Amit Sharma</v>
      </c>
      <c r="G190" s="30" t="s">
        <v>76</v>
      </c>
      <c r="H190" s="24" t="s">
        <v>331</v>
      </c>
      <c r="I190" s="24" t="s">
        <v>114</v>
      </c>
      <c r="J190" s="24" t="s">
        <v>106</v>
      </c>
      <c r="K190" s="24" t="s">
        <v>2109</v>
      </c>
      <c r="L190" s="24" t="s">
        <v>46</v>
      </c>
      <c r="M190" s="34" t="s">
        <v>47</v>
      </c>
      <c r="N190" s="37">
        <v>6</v>
      </c>
      <c r="O190" s="44">
        <v>9000</v>
      </c>
      <c r="P190" s="35">
        <v>0.05</v>
      </c>
      <c r="Q190" s="34">
        <v>51300</v>
      </c>
      <c r="R190" s="24">
        <v>1</v>
      </c>
      <c r="S190" s="24" t="s">
        <v>2148</v>
      </c>
      <c r="T190" s="24" t="s">
        <v>49</v>
      </c>
      <c r="U190" s="34" t="str">
        <f>Sales_data!T190</f>
        <v>amit.sharma@company.com</v>
      </c>
      <c r="V190" s="24">
        <v>9914571493</v>
      </c>
      <c r="W190" s="34" t="s">
        <v>2101</v>
      </c>
      <c r="X190" s="24">
        <v>24</v>
      </c>
      <c r="Y190" s="30" t="s">
        <v>2108</v>
      </c>
      <c r="Z190" s="29">
        <v>46895</v>
      </c>
      <c r="AA190" s="24" t="s">
        <v>2171</v>
      </c>
      <c r="AB190" s="24" t="s">
        <v>2160</v>
      </c>
      <c r="AC190" s="136" t="str">
        <f t="shared" si="4"/>
        <v>Ami001Pu</v>
      </c>
      <c r="AD190" s="136" t="str">
        <f t="shared" si="5"/>
        <v>amit.sharma@company.com</v>
      </c>
    </row>
    <row r="191" spans="1:30">
      <c r="A191" s="24" t="s">
        <v>973</v>
      </c>
      <c r="B191" s="24" t="s">
        <v>327</v>
      </c>
      <c r="C191" s="24" t="s">
        <v>222</v>
      </c>
      <c r="D191" s="30">
        <v>46067</v>
      </c>
      <c r="E191" s="24" t="s">
        <v>479</v>
      </c>
      <c r="F191" s="136" t="str">
        <f>PROPER(TRIM(Sales_data!F191))</f>
        <v>Amit Sharma</v>
      </c>
      <c r="G191" s="30" t="s">
        <v>76</v>
      </c>
      <c r="H191" s="24" t="s">
        <v>331</v>
      </c>
      <c r="I191" s="24" t="s">
        <v>114</v>
      </c>
      <c r="J191" s="24" t="s">
        <v>106</v>
      </c>
      <c r="K191" s="24" t="s">
        <v>2109</v>
      </c>
      <c r="L191" s="24" t="s">
        <v>122</v>
      </c>
      <c r="M191" s="34" t="s">
        <v>227</v>
      </c>
      <c r="N191" s="37">
        <v>19</v>
      </c>
      <c r="O191" s="44">
        <v>15</v>
      </c>
      <c r="P191" s="35">
        <v>0.1</v>
      </c>
      <c r="Q191" s="34">
        <v>256.5</v>
      </c>
      <c r="R191" s="24">
        <v>2</v>
      </c>
      <c r="S191" s="24" t="s">
        <v>2148</v>
      </c>
      <c r="T191" s="24" t="s">
        <v>35</v>
      </c>
      <c r="U191" s="34" t="str">
        <f>Sales_data!T191</f>
        <v>amit.sharma@company.com</v>
      </c>
      <c r="V191" s="24">
        <v>9270726986</v>
      </c>
      <c r="W191" s="34" t="s">
        <v>2103</v>
      </c>
      <c r="X191" s="24">
        <v>12</v>
      </c>
      <c r="Y191" s="30" t="s">
        <v>2108</v>
      </c>
      <c r="Z191" s="29">
        <v>46434</v>
      </c>
      <c r="AA191" s="24" t="s">
        <v>2171</v>
      </c>
      <c r="AB191" s="24" t="s">
        <v>2160</v>
      </c>
      <c r="AC191" s="136" t="str">
        <f t="shared" si="4"/>
        <v>Ami001Pu</v>
      </c>
      <c r="AD191" s="136" t="str">
        <f t="shared" si="5"/>
        <v>amit.sharma@company.com</v>
      </c>
    </row>
    <row r="192" spans="1:30">
      <c r="A192" s="24" t="s">
        <v>976</v>
      </c>
      <c r="B192" s="24" t="s">
        <v>221</v>
      </c>
      <c r="C192" s="24" t="s">
        <v>24</v>
      </c>
      <c r="D192" s="30">
        <v>46155</v>
      </c>
      <c r="E192" s="24" t="s">
        <v>427</v>
      </c>
      <c r="F192" s="136" t="str">
        <f>PROPER(TRIM(Sales_data!F192))</f>
        <v>Vikas Mehta</v>
      </c>
      <c r="G192" s="30" t="s">
        <v>76</v>
      </c>
      <c r="H192" s="24" t="s">
        <v>226</v>
      </c>
      <c r="I192" s="24" t="s">
        <v>105</v>
      </c>
      <c r="J192" s="24" t="s">
        <v>106</v>
      </c>
      <c r="K192" s="24" t="s">
        <v>2113</v>
      </c>
      <c r="L192" s="24" t="s">
        <v>32</v>
      </c>
      <c r="M192" s="34" t="s">
        <v>33</v>
      </c>
      <c r="N192" s="37">
        <v>7</v>
      </c>
      <c r="O192" s="44">
        <v>1650</v>
      </c>
      <c r="P192" s="35">
        <v>0</v>
      </c>
      <c r="Q192" s="34">
        <v>11550</v>
      </c>
      <c r="R192" s="24">
        <v>1</v>
      </c>
      <c r="S192" s="24" t="s">
        <v>79</v>
      </c>
      <c r="T192" s="24" t="s">
        <v>115</v>
      </c>
      <c r="U192" s="34" t="str">
        <f>Sales_data!T192</f>
        <v>vikas.mehta@company.com</v>
      </c>
      <c r="V192" s="24">
        <v>9570080664</v>
      </c>
      <c r="W192" s="34" t="s">
        <v>2101</v>
      </c>
      <c r="X192" s="24">
        <v>24</v>
      </c>
      <c r="Y192" s="30" t="s">
        <v>2112</v>
      </c>
      <c r="Z192" s="29">
        <v>46893</v>
      </c>
      <c r="AA192" s="24" t="s">
        <v>2171</v>
      </c>
      <c r="AB192" s="24" t="s">
        <v>2160</v>
      </c>
      <c r="AC192" s="136" t="str">
        <f t="shared" si="4"/>
        <v>Vik005Mu</v>
      </c>
      <c r="AD192" s="136" t="str">
        <f t="shared" si="5"/>
        <v>vikas.mehta@company.com</v>
      </c>
    </row>
    <row r="193" spans="1:30">
      <c r="A193" s="24" t="s">
        <v>979</v>
      </c>
      <c r="B193" s="24" t="s">
        <v>327</v>
      </c>
      <c r="C193" s="24" t="s">
        <v>40</v>
      </c>
      <c r="D193" s="30">
        <v>45977</v>
      </c>
      <c r="E193" s="24" t="s">
        <v>980</v>
      </c>
      <c r="F193" s="136" t="str">
        <f>PROPER(TRIM(Sales_data!F193))</f>
        <v>Amit Sharma</v>
      </c>
      <c r="G193" s="30" t="s">
        <v>76</v>
      </c>
      <c r="H193" s="24" t="s">
        <v>331</v>
      </c>
      <c r="I193" s="24" t="s">
        <v>114</v>
      </c>
      <c r="J193" s="24" t="s">
        <v>106</v>
      </c>
      <c r="K193" s="24" t="s">
        <v>2109</v>
      </c>
      <c r="L193" s="24" t="s">
        <v>46</v>
      </c>
      <c r="M193" s="34" t="s">
        <v>47</v>
      </c>
      <c r="N193" s="37">
        <v>3</v>
      </c>
      <c r="O193" s="44">
        <v>9000</v>
      </c>
      <c r="P193" s="35">
        <v>0.05</v>
      </c>
      <c r="Q193" s="34">
        <v>25650</v>
      </c>
      <c r="R193" s="24">
        <v>3</v>
      </c>
      <c r="S193" s="24" t="s">
        <v>79</v>
      </c>
      <c r="T193" s="24" t="s">
        <v>61</v>
      </c>
      <c r="U193" s="34" t="str">
        <f>Sales_data!T193</f>
        <v>amit.sharma@company.com</v>
      </c>
      <c r="V193" s="24">
        <v>9109009524</v>
      </c>
      <c r="W193" s="34" t="s">
        <v>2101</v>
      </c>
      <c r="X193" s="24">
        <v>24</v>
      </c>
      <c r="Y193" s="30" t="s">
        <v>2108</v>
      </c>
      <c r="Z193" s="29">
        <v>46711</v>
      </c>
      <c r="AA193" s="24" t="s">
        <v>2171</v>
      </c>
      <c r="AB193" s="24" t="s">
        <v>2108</v>
      </c>
      <c r="AC193" s="136" t="str">
        <f t="shared" si="4"/>
        <v>Ami001Pu</v>
      </c>
      <c r="AD193" s="136" t="str">
        <f t="shared" si="5"/>
        <v>amit.sharma@company.com</v>
      </c>
    </row>
    <row r="194" spans="1:30">
      <c r="A194" s="24" t="s">
        <v>983</v>
      </c>
      <c r="B194" s="24" t="s">
        <v>168</v>
      </c>
      <c r="C194" s="24" t="s">
        <v>24</v>
      </c>
      <c r="D194" s="30">
        <v>45953</v>
      </c>
      <c r="E194" s="24" t="s">
        <v>864</v>
      </c>
      <c r="F194" s="136" t="str">
        <f>PROPER(TRIM(Sales_data!F194))</f>
        <v>Anita Gupta</v>
      </c>
      <c r="G194" s="30" t="s">
        <v>28</v>
      </c>
      <c r="H194" s="24" t="s">
        <v>173</v>
      </c>
      <c r="I194" s="24" t="s">
        <v>114</v>
      </c>
      <c r="J194" s="24" t="s">
        <v>106</v>
      </c>
      <c r="K194" s="24" t="s">
        <v>2111</v>
      </c>
      <c r="L194" s="24" t="s">
        <v>32</v>
      </c>
      <c r="M194" s="34" t="s">
        <v>33</v>
      </c>
      <c r="N194" s="37">
        <v>16</v>
      </c>
      <c r="O194" s="44">
        <v>1650</v>
      </c>
      <c r="P194" s="35">
        <v>0</v>
      </c>
      <c r="Q194" s="34">
        <v>26400</v>
      </c>
      <c r="R194" s="24">
        <v>5</v>
      </c>
      <c r="S194" s="24" t="s">
        <v>79</v>
      </c>
      <c r="T194" s="24" t="s">
        <v>35</v>
      </c>
      <c r="U194" s="34" t="str">
        <f>Sales_data!T194</f>
        <v>anita.gupta@company.com</v>
      </c>
      <c r="V194" s="24">
        <v>9701276770</v>
      </c>
      <c r="W194" s="34" t="s">
        <v>2101</v>
      </c>
      <c r="X194" s="24">
        <v>24</v>
      </c>
      <c r="Y194" s="30" t="s">
        <v>2112</v>
      </c>
      <c r="Z194" s="29">
        <v>46695</v>
      </c>
      <c r="AA194" s="24" t="s">
        <v>2177</v>
      </c>
      <c r="AB194" s="24" t="s">
        <v>2108</v>
      </c>
      <c r="AC194" s="136" t="str">
        <f t="shared" si="4"/>
        <v>Ani004Pu</v>
      </c>
      <c r="AD194" s="136" t="str">
        <f t="shared" si="5"/>
        <v>anita.gupta@company.com</v>
      </c>
    </row>
    <row r="195" spans="1:30">
      <c r="A195" s="24" t="s">
        <v>986</v>
      </c>
      <c r="B195" s="24" t="s">
        <v>251</v>
      </c>
      <c r="C195" s="24" t="s">
        <v>24</v>
      </c>
      <c r="D195" s="30">
        <v>45704</v>
      </c>
      <c r="E195" s="24" t="s">
        <v>988</v>
      </c>
      <c r="F195" s="136" t="str">
        <f>PROPER(TRIM(Sales_data!F195))</f>
        <v>Sneha Joshi</v>
      </c>
      <c r="G195" s="30" t="s">
        <v>28</v>
      </c>
      <c r="H195" s="24" t="s">
        <v>255</v>
      </c>
      <c r="I195" s="24" t="s">
        <v>114</v>
      </c>
      <c r="J195" s="24" t="s">
        <v>106</v>
      </c>
      <c r="K195" s="24" t="s">
        <v>2111</v>
      </c>
      <c r="L195" s="24" t="s">
        <v>32</v>
      </c>
      <c r="M195" s="34" t="s">
        <v>33</v>
      </c>
      <c r="N195" s="37">
        <v>8</v>
      </c>
      <c r="O195" s="44">
        <v>1650</v>
      </c>
      <c r="P195" s="35">
        <v>0.05</v>
      </c>
      <c r="Q195" s="34">
        <v>12540</v>
      </c>
      <c r="R195" s="24">
        <v>2</v>
      </c>
      <c r="S195" s="24" t="s">
        <v>2149</v>
      </c>
      <c r="T195" s="24" t="s">
        <v>151</v>
      </c>
      <c r="U195" s="34" t="str">
        <f>Sales_data!T195</f>
        <v>sneha.joshi@company.com</v>
      </c>
      <c r="V195" s="24">
        <v>9298278507</v>
      </c>
      <c r="W195" s="34" t="s">
        <v>2101</v>
      </c>
      <c r="X195" s="24">
        <v>24</v>
      </c>
      <c r="Y195" s="30" t="s">
        <v>2112</v>
      </c>
      <c r="Z195" s="29">
        <v>46436</v>
      </c>
      <c r="AA195" s="24" t="s">
        <v>2173</v>
      </c>
      <c r="AB195" s="24" t="s">
        <v>2160</v>
      </c>
      <c r="AC195" s="136" t="str">
        <f t="shared" ref="AC195:AC258" si="6">PROPER(LEFT(TRIM(F195), 3)) &amp; RIGHT(TRIM(B195), 3) &amp; PROPER(LEFT(TRIM(I195), 2))</f>
        <v>Sne006Pu</v>
      </c>
      <c r="AD195" s="136" t="str">
        <f t="shared" ref="AD195:AD258" si="7">IF(ISNUMBER(SEARCH("@", U195)), LOWER(TRIM(U195)), "Invalid Email")</f>
        <v>sneha.joshi@company.com</v>
      </c>
    </row>
    <row r="196" spans="1:30">
      <c r="A196" s="24" t="s">
        <v>991</v>
      </c>
      <c r="B196" s="24" t="s">
        <v>251</v>
      </c>
      <c r="C196" s="24" t="s">
        <v>24</v>
      </c>
      <c r="D196" s="30">
        <v>46002</v>
      </c>
      <c r="E196" s="24" t="s">
        <v>454</v>
      </c>
      <c r="F196" s="136" t="str">
        <f>PROPER(TRIM(Sales_data!F196))</f>
        <v>Sneha Joshi</v>
      </c>
      <c r="G196" s="30" t="s">
        <v>28</v>
      </c>
      <c r="H196" s="24" t="s">
        <v>255</v>
      </c>
      <c r="I196" s="24" t="s">
        <v>114</v>
      </c>
      <c r="J196" s="24" t="s">
        <v>106</v>
      </c>
      <c r="K196" s="24" t="s">
        <v>2111</v>
      </c>
      <c r="L196" s="24" t="s">
        <v>32</v>
      </c>
      <c r="M196" s="34" t="s">
        <v>33</v>
      </c>
      <c r="N196" s="37">
        <v>10</v>
      </c>
      <c r="O196" s="44">
        <v>1650</v>
      </c>
      <c r="P196" s="35">
        <v>0.1</v>
      </c>
      <c r="Q196" s="34">
        <v>14850</v>
      </c>
      <c r="R196" s="24">
        <v>5</v>
      </c>
      <c r="S196" s="24" t="s">
        <v>2148</v>
      </c>
      <c r="T196" s="24" t="s">
        <v>115</v>
      </c>
      <c r="U196" s="34" t="str">
        <f>Sales_data!T196</f>
        <v>sneha.joshi@company.com</v>
      </c>
      <c r="V196" s="24">
        <v>9895908093</v>
      </c>
      <c r="W196" s="34" t="s">
        <v>2101</v>
      </c>
      <c r="X196" s="24">
        <v>24</v>
      </c>
      <c r="Y196" s="30" t="s">
        <v>2112</v>
      </c>
      <c r="Z196" s="29">
        <v>46735</v>
      </c>
      <c r="AA196" s="24" t="s">
        <v>2173</v>
      </c>
      <c r="AB196" s="24" t="s">
        <v>2108</v>
      </c>
      <c r="AC196" s="136" t="str">
        <f t="shared" si="6"/>
        <v>Sne006Pu</v>
      </c>
      <c r="AD196" s="136" t="str">
        <f t="shared" si="7"/>
        <v>sneha.joshi@company.com</v>
      </c>
    </row>
    <row r="197" spans="1:30">
      <c r="A197" s="24" t="s">
        <v>994</v>
      </c>
      <c r="B197" s="24" t="s">
        <v>83</v>
      </c>
      <c r="C197" s="24" t="s">
        <v>222</v>
      </c>
      <c r="D197" s="30">
        <v>45775</v>
      </c>
      <c r="E197" s="24" t="s">
        <v>596</v>
      </c>
      <c r="F197" s="136" t="str">
        <f>PROPER(TRIM(Sales_data!F197))</f>
        <v>Arjun Rao</v>
      </c>
      <c r="G197" s="30" t="s">
        <v>76</v>
      </c>
      <c r="H197" s="24" t="s">
        <v>87</v>
      </c>
      <c r="I197" s="24" t="s">
        <v>30</v>
      </c>
      <c r="J197" s="24" t="s">
        <v>31</v>
      </c>
      <c r="K197" s="24" t="s">
        <v>2109</v>
      </c>
      <c r="L197" s="24" t="s">
        <v>122</v>
      </c>
      <c r="M197" s="34" t="s">
        <v>227</v>
      </c>
      <c r="N197" s="37">
        <v>7</v>
      </c>
      <c r="O197" s="44">
        <v>15</v>
      </c>
      <c r="P197" s="35">
        <v>0.1</v>
      </c>
      <c r="Q197" s="34">
        <v>94.5</v>
      </c>
      <c r="R197" s="24">
        <v>4</v>
      </c>
      <c r="S197" s="24" t="s">
        <v>79</v>
      </c>
      <c r="T197" s="24" t="s">
        <v>61</v>
      </c>
      <c r="U197" s="34" t="str">
        <f>Sales_data!T197</f>
        <v>arjun.rao@company.com</v>
      </c>
      <c r="V197" s="24">
        <v>9734108795</v>
      </c>
      <c r="W197" s="34" t="s">
        <v>2103</v>
      </c>
      <c r="X197" s="24">
        <v>12</v>
      </c>
      <c r="Y197" s="30" t="s">
        <v>2108</v>
      </c>
      <c r="Z197" s="29">
        <v>46151</v>
      </c>
      <c r="AA197" s="24" t="s">
        <v>2174</v>
      </c>
      <c r="AB197" s="24" t="s">
        <v>2108</v>
      </c>
      <c r="AC197" s="136" t="str">
        <f t="shared" si="6"/>
        <v>Arj007Hy</v>
      </c>
      <c r="AD197" s="136" t="str">
        <f t="shared" si="7"/>
        <v>arjun.rao@company.com</v>
      </c>
    </row>
    <row r="198" spans="1:30">
      <c r="A198" s="24" t="s">
        <v>997</v>
      </c>
      <c r="B198" s="24" t="s">
        <v>221</v>
      </c>
      <c r="C198" s="24" t="s">
        <v>169</v>
      </c>
      <c r="D198" s="30">
        <v>46033</v>
      </c>
      <c r="E198" s="24" t="s">
        <v>998</v>
      </c>
      <c r="F198" s="136" t="str">
        <f>PROPER(TRIM(Sales_data!F198))</f>
        <v>Vikas Mehta</v>
      </c>
      <c r="G198" s="30" t="s">
        <v>76</v>
      </c>
      <c r="H198" s="24" t="s">
        <v>226</v>
      </c>
      <c r="I198" s="24" t="s">
        <v>105</v>
      </c>
      <c r="J198" s="24" t="s">
        <v>106</v>
      </c>
      <c r="K198" s="24" t="s">
        <v>2113</v>
      </c>
      <c r="L198" s="24" t="s">
        <v>32</v>
      </c>
      <c r="M198" s="34" t="s">
        <v>174</v>
      </c>
      <c r="N198" s="37">
        <v>19</v>
      </c>
      <c r="O198" s="44">
        <v>6375</v>
      </c>
      <c r="P198" s="35">
        <v>0.2</v>
      </c>
      <c r="Q198" s="34">
        <v>96900</v>
      </c>
      <c r="R198" s="24">
        <v>3</v>
      </c>
      <c r="S198" s="24" t="s">
        <v>2148</v>
      </c>
      <c r="T198" s="24" t="s">
        <v>61</v>
      </c>
      <c r="U198" s="34" t="str">
        <f>Sales_data!T198</f>
        <v>vikas.mehta@company.com</v>
      </c>
      <c r="V198" s="24">
        <v>9799597413</v>
      </c>
      <c r="W198" s="34" t="s">
        <v>2100</v>
      </c>
      <c r="X198" s="24">
        <v>24</v>
      </c>
      <c r="Y198" s="30" t="s">
        <v>2112</v>
      </c>
      <c r="Z198" s="29">
        <v>46766</v>
      </c>
      <c r="AA198" s="24" t="s">
        <v>2171</v>
      </c>
      <c r="AB198" s="24" t="s">
        <v>2112</v>
      </c>
      <c r="AC198" s="136" t="str">
        <f t="shared" si="6"/>
        <v>Vik005Mu</v>
      </c>
      <c r="AD198" s="136" t="str">
        <f t="shared" si="7"/>
        <v>vikas.mehta@company.com</v>
      </c>
    </row>
    <row r="199" spans="1:30">
      <c r="A199" s="24" t="s">
        <v>1001</v>
      </c>
      <c r="B199" s="24" t="s">
        <v>100</v>
      </c>
      <c r="C199" s="24" t="s">
        <v>118</v>
      </c>
      <c r="D199" s="30">
        <v>45717</v>
      </c>
      <c r="E199" s="24" t="s">
        <v>414</v>
      </c>
      <c r="F199" s="136" t="str">
        <f>PROPER(TRIM(Sales_data!F199))</f>
        <v>Priya Patel</v>
      </c>
      <c r="G199" s="30" t="s">
        <v>28</v>
      </c>
      <c r="H199" s="24" t="s">
        <v>104</v>
      </c>
      <c r="I199" s="24" t="s">
        <v>105</v>
      </c>
      <c r="J199" s="24" t="s">
        <v>106</v>
      </c>
      <c r="K199" s="24" t="s">
        <v>2111</v>
      </c>
      <c r="L199" s="24" t="s">
        <v>122</v>
      </c>
      <c r="M199" s="34" t="s">
        <v>123</v>
      </c>
      <c r="N199" s="37">
        <v>16</v>
      </c>
      <c r="O199" s="44">
        <v>45</v>
      </c>
      <c r="P199" s="35">
        <v>0</v>
      </c>
      <c r="Q199" s="34">
        <v>720</v>
      </c>
      <c r="R199" s="24">
        <v>2</v>
      </c>
      <c r="S199" s="24" t="s">
        <v>2148</v>
      </c>
      <c r="T199" s="24" t="s">
        <v>115</v>
      </c>
      <c r="U199" s="34" t="str">
        <f>Sales_data!T199</f>
        <v>priya.patel@company.com</v>
      </c>
      <c r="V199" s="24">
        <v>9688987266</v>
      </c>
      <c r="W199" s="34" t="s">
        <v>2102</v>
      </c>
      <c r="X199" s="24">
        <v>12</v>
      </c>
      <c r="Y199" s="30" t="s">
        <v>2110</v>
      </c>
      <c r="Z199" s="29">
        <v>46087</v>
      </c>
      <c r="AA199" s="24" t="s">
        <v>2175</v>
      </c>
      <c r="AB199" s="24" t="s">
        <v>2160</v>
      </c>
      <c r="AC199" s="136" t="str">
        <f t="shared" si="6"/>
        <v>Pri002Mu</v>
      </c>
      <c r="AD199" s="136" t="str">
        <f t="shared" si="7"/>
        <v>priya.patel@company.com</v>
      </c>
    </row>
    <row r="200" spans="1:30">
      <c r="A200" s="24" t="s">
        <v>1004</v>
      </c>
      <c r="B200" s="24" t="s">
        <v>221</v>
      </c>
      <c r="C200" s="24" t="s">
        <v>92</v>
      </c>
      <c r="D200" s="30">
        <v>46127</v>
      </c>
      <c r="E200" s="24" t="s">
        <v>731</v>
      </c>
      <c r="F200" s="136" t="str">
        <f>PROPER(TRIM(Sales_data!F200))</f>
        <v>Vikas Mehta</v>
      </c>
      <c r="G200" s="30" t="s">
        <v>76</v>
      </c>
      <c r="H200" s="24" t="s">
        <v>226</v>
      </c>
      <c r="I200" s="24" t="s">
        <v>105</v>
      </c>
      <c r="J200" s="24" t="s">
        <v>106</v>
      </c>
      <c r="K200" s="24" t="s">
        <v>2113</v>
      </c>
      <c r="L200" s="24" t="s">
        <v>32</v>
      </c>
      <c r="M200" s="34" t="s">
        <v>97</v>
      </c>
      <c r="N200" s="37">
        <v>18</v>
      </c>
      <c r="O200" s="44">
        <v>2625</v>
      </c>
      <c r="P200" s="35">
        <v>0.05</v>
      </c>
      <c r="Q200" s="34">
        <v>44887.5</v>
      </c>
      <c r="R200" s="24">
        <v>1</v>
      </c>
      <c r="S200" s="24" t="s">
        <v>2149</v>
      </c>
      <c r="T200" s="24" t="s">
        <v>115</v>
      </c>
      <c r="U200" s="34" t="str">
        <f>Sales_data!T200</f>
        <v>vikas.mehta@company.com</v>
      </c>
      <c r="V200" s="24">
        <v>9867169037</v>
      </c>
      <c r="W200" s="34" t="s">
        <v>2101</v>
      </c>
      <c r="X200" s="24">
        <v>6</v>
      </c>
      <c r="Y200" s="30" t="s">
        <v>2112</v>
      </c>
      <c r="Z200" s="29">
        <v>46322</v>
      </c>
      <c r="AA200" s="24" t="s">
        <v>2171</v>
      </c>
      <c r="AB200" s="24" t="s">
        <v>2160</v>
      </c>
      <c r="AC200" s="136" t="str">
        <f t="shared" si="6"/>
        <v>Vik005Mu</v>
      </c>
      <c r="AD200" s="136" t="str">
        <f t="shared" si="7"/>
        <v>vikas.mehta@company.com</v>
      </c>
    </row>
    <row r="201" spans="1:30">
      <c r="A201" s="24" t="s">
        <v>1009</v>
      </c>
      <c r="B201" s="24" t="s">
        <v>100</v>
      </c>
      <c r="C201" s="24" t="s">
        <v>54</v>
      </c>
      <c r="D201" s="30">
        <v>45708</v>
      </c>
      <c r="E201" s="24" t="s">
        <v>431</v>
      </c>
      <c r="F201" s="136" t="str">
        <f>PROPER(TRIM(Sales_data!F201))</f>
        <v>Priya Patel</v>
      </c>
      <c r="G201" s="30" t="s">
        <v>28</v>
      </c>
      <c r="H201" s="24" t="s">
        <v>104</v>
      </c>
      <c r="I201" s="24" t="s">
        <v>105</v>
      </c>
      <c r="J201" s="24" t="s">
        <v>106</v>
      </c>
      <c r="K201" s="24" t="s">
        <v>2111</v>
      </c>
      <c r="L201" s="24" t="s">
        <v>46</v>
      </c>
      <c r="M201" s="34" t="s">
        <v>60</v>
      </c>
      <c r="N201" s="37">
        <v>16</v>
      </c>
      <c r="O201" s="44">
        <v>41250</v>
      </c>
      <c r="P201" s="35">
        <v>0</v>
      </c>
      <c r="Q201" s="34">
        <v>660000</v>
      </c>
      <c r="R201" s="24">
        <v>1</v>
      </c>
      <c r="S201" s="24" t="s">
        <v>79</v>
      </c>
      <c r="T201" s="24" t="s">
        <v>61</v>
      </c>
      <c r="U201" s="34" t="str">
        <f>Sales_data!T201</f>
        <v>priya.patel@company.com</v>
      </c>
      <c r="V201" s="24">
        <v>9485547425</v>
      </c>
      <c r="W201" s="34" t="s">
        <v>2100</v>
      </c>
      <c r="X201" s="24">
        <v>12</v>
      </c>
      <c r="Y201" s="30" t="s">
        <v>2110</v>
      </c>
      <c r="Z201" s="29">
        <v>46082</v>
      </c>
      <c r="AA201" s="24" t="s">
        <v>2175</v>
      </c>
      <c r="AB201" s="24" t="s">
        <v>2160</v>
      </c>
      <c r="AC201" s="136" t="str">
        <f t="shared" si="6"/>
        <v>Pri002Mu</v>
      </c>
      <c r="AD201" s="136" t="str">
        <f t="shared" si="7"/>
        <v>priya.patel@company.com</v>
      </c>
    </row>
    <row r="202" spans="1:30">
      <c r="A202" s="24" t="s">
        <v>1013</v>
      </c>
      <c r="B202" s="24" t="s">
        <v>221</v>
      </c>
      <c r="C202" s="24" t="s">
        <v>72</v>
      </c>
      <c r="D202" s="30">
        <v>45694</v>
      </c>
      <c r="E202" s="24" t="s">
        <v>435</v>
      </c>
      <c r="F202" s="136" t="str">
        <f>PROPER(TRIM(Sales_data!F202))</f>
        <v>Vikas Mehta</v>
      </c>
      <c r="G202" s="30" t="s">
        <v>76</v>
      </c>
      <c r="H202" s="24" t="s">
        <v>226</v>
      </c>
      <c r="I202" s="24" t="s">
        <v>105</v>
      </c>
      <c r="J202" s="24" t="s">
        <v>106</v>
      </c>
      <c r="K202" s="24" t="s">
        <v>2113</v>
      </c>
      <c r="L202" s="24" t="s">
        <v>46</v>
      </c>
      <c r="M202" s="34" t="s">
        <v>78</v>
      </c>
      <c r="N202" s="37">
        <v>18</v>
      </c>
      <c r="O202" s="44">
        <v>900</v>
      </c>
      <c r="P202" s="35">
        <v>0.15</v>
      </c>
      <c r="Q202" s="34">
        <v>13770</v>
      </c>
      <c r="R202" s="24">
        <v>2</v>
      </c>
      <c r="S202" s="24" t="s">
        <v>2148</v>
      </c>
      <c r="T202" s="24" t="s">
        <v>35</v>
      </c>
      <c r="U202" s="34" t="str">
        <f>Sales_data!T202</f>
        <v>vikas.mehta@company.com</v>
      </c>
      <c r="V202" s="24">
        <v>9889733076</v>
      </c>
      <c r="W202" s="34" t="s">
        <v>2100</v>
      </c>
      <c r="X202" s="24">
        <v>6</v>
      </c>
      <c r="Y202" s="30" t="s">
        <v>2112</v>
      </c>
      <c r="Z202" s="29">
        <v>45878</v>
      </c>
      <c r="AA202" s="24" t="s">
        <v>2171</v>
      </c>
      <c r="AB202" s="24" t="s">
        <v>2160</v>
      </c>
      <c r="AC202" s="136" t="str">
        <f t="shared" si="6"/>
        <v>Vik005Mu</v>
      </c>
      <c r="AD202" s="136" t="str">
        <f t="shared" si="7"/>
        <v>vikas.mehta@company.com</v>
      </c>
    </row>
    <row r="203" spans="1:30">
      <c r="A203" s="24" t="s">
        <v>1016</v>
      </c>
      <c r="B203" s="24" t="s">
        <v>71</v>
      </c>
      <c r="C203" s="24" t="s">
        <v>259</v>
      </c>
      <c r="D203" s="30">
        <v>45801</v>
      </c>
      <c r="E203" s="24" t="s">
        <v>1018</v>
      </c>
      <c r="F203" s="136" t="str">
        <f>PROPER(TRIM(Sales_data!F203))</f>
        <v>Mohit Verma</v>
      </c>
      <c r="G203" s="30" t="s">
        <v>76</v>
      </c>
      <c r="H203" s="24" t="s">
        <v>77</v>
      </c>
      <c r="I203" s="24" t="s">
        <v>44</v>
      </c>
      <c r="J203" s="24" t="s">
        <v>45</v>
      </c>
      <c r="K203" s="24" t="s">
        <v>2114</v>
      </c>
      <c r="L203" s="24" t="s">
        <v>122</v>
      </c>
      <c r="M203" s="34" t="s">
        <v>263</v>
      </c>
      <c r="N203" s="37">
        <v>2</v>
      </c>
      <c r="O203" s="44">
        <v>33.75</v>
      </c>
      <c r="P203" s="35">
        <v>0.15</v>
      </c>
      <c r="Q203" s="34">
        <v>57.375</v>
      </c>
      <c r="R203" s="24">
        <v>5</v>
      </c>
      <c r="S203" s="24" t="s">
        <v>34</v>
      </c>
      <c r="T203" s="24" t="s">
        <v>61</v>
      </c>
      <c r="U203" s="34" t="str">
        <f>Sales_data!T203</f>
        <v>mohit.verma@company.com</v>
      </c>
      <c r="V203" s="24">
        <v>9145434449</v>
      </c>
      <c r="W203" s="34" t="s">
        <v>2100</v>
      </c>
      <c r="X203" s="24">
        <v>12</v>
      </c>
      <c r="Y203" s="30" t="s">
        <v>2110</v>
      </c>
      <c r="Z203" s="29">
        <v>46169</v>
      </c>
      <c r="AA203" s="24" t="s">
        <v>2173</v>
      </c>
      <c r="AB203" s="24" t="s">
        <v>2108</v>
      </c>
      <c r="AC203" s="136" t="str">
        <f t="shared" si="6"/>
        <v>Moh009De</v>
      </c>
      <c r="AD203" s="136" t="str">
        <f t="shared" si="7"/>
        <v>mohit.verma@company.com</v>
      </c>
    </row>
    <row r="204" spans="1:30">
      <c r="A204" s="24" t="s">
        <v>1021</v>
      </c>
      <c r="B204" s="24" t="s">
        <v>53</v>
      </c>
      <c r="C204" s="24" t="s">
        <v>169</v>
      </c>
      <c r="D204" s="30">
        <v>46028</v>
      </c>
      <c r="E204" s="24" t="s">
        <v>85</v>
      </c>
      <c r="F204" s="136" t="str">
        <f>PROPER(TRIM(Sales_data!F204))</f>
        <v>Pooja Shah</v>
      </c>
      <c r="G204" s="30" t="s">
        <v>28</v>
      </c>
      <c r="H204" s="24" t="s">
        <v>58</v>
      </c>
      <c r="I204" s="24" t="s">
        <v>59</v>
      </c>
      <c r="J204" s="24" t="s">
        <v>31</v>
      </c>
      <c r="K204" s="24" t="s">
        <v>2111</v>
      </c>
      <c r="L204" s="24" t="s">
        <v>32</v>
      </c>
      <c r="M204" s="34" t="s">
        <v>174</v>
      </c>
      <c r="N204" s="37">
        <v>20</v>
      </c>
      <c r="O204" s="44">
        <v>6375</v>
      </c>
      <c r="P204" s="35">
        <v>0</v>
      </c>
      <c r="Q204" s="34">
        <v>127500</v>
      </c>
      <c r="R204" s="24">
        <v>4</v>
      </c>
      <c r="S204" s="24" t="s">
        <v>2148</v>
      </c>
      <c r="T204" s="24" t="s">
        <v>61</v>
      </c>
      <c r="U204" s="34" t="str">
        <f>Sales_data!T204</f>
        <v>pooja.shah@company.com</v>
      </c>
      <c r="V204" s="24">
        <v>9598942148</v>
      </c>
      <c r="W204" s="34" t="s">
        <v>2100</v>
      </c>
      <c r="X204" s="24">
        <v>24</v>
      </c>
      <c r="Y204" s="30" t="s">
        <v>2108</v>
      </c>
      <c r="Z204" s="29">
        <v>46764</v>
      </c>
      <c r="AA204" s="24" t="s">
        <v>2172</v>
      </c>
      <c r="AB204" s="24" t="s">
        <v>2110</v>
      </c>
      <c r="AC204" s="136" t="str">
        <f t="shared" si="6"/>
        <v>Poo010Be</v>
      </c>
      <c r="AD204" s="136" t="str">
        <f t="shared" si="7"/>
        <v>pooja.shah@company.com</v>
      </c>
    </row>
    <row r="205" spans="1:30">
      <c r="A205" s="24" t="s">
        <v>1024</v>
      </c>
      <c r="B205" s="24" t="s">
        <v>127</v>
      </c>
      <c r="C205" s="24" t="s">
        <v>92</v>
      </c>
      <c r="D205" s="30">
        <v>46089</v>
      </c>
      <c r="E205" s="24" t="s">
        <v>1025</v>
      </c>
      <c r="F205" s="136" t="str">
        <f>PROPER(TRIM(Sales_data!F205))</f>
        <v>Rohit Singh</v>
      </c>
      <c r="G205" s="30" t="s">
        <v>76</v>
      </c>
      <c r="H205" s="24" t="s">
        <v>131</v>
      </c>
      <c r="I205" s="24" t="s">
        <v>44</v>
      </c>
      <c r="J205" s="24" t="s">
        <v>45</v>
      </c>
      <c r="K205" s="24" t="s">
        <v>2113</v>
      </c>
      <c r="L205" s="24" t="s">
        <v>32</v>
      </c>
      <c r="M205" s="34" t="s">
        <v>97</v>
      </c>
      <c r="N205" s="37">
        <v>6</v>
      </c>
      <c r="O205" s="44">
        <v>2625</v>
      </c>
      <c r="P205" s="35">
        <v>0.05</v>
      </c>
      <c r="Q205" s="34">
        <v>14962.5</v>
      </c>
      <c r="R205" s="24">
        <v>1</v>
      </c>
      <c r="S205" s="24" t="s">
        <v>34</v>
      </c>
      <c r="T205" s="24" t="s">
        <v>151</v>
      </c>
      <c r="U205" s="34" t="str">
        <f>Sales_data!T205</f>
        <v>rohit.singh@company.com</v>
      </c>
      <c r="V205" s="24">
        <v>9599252705</v>
      </c>
      <c r="W205" s="34" t="s">
        <v>2101</v>
      </c>
      <c r="X205" s="24">
        <v>6</v>
      </c>
      <c r="Y205" s="30" t="s">
        <v>2112</v>
      </c>
      <c r="Z205" s="29">
        <v>46274</v>
      </c>
      <c r="AA205" s="24" t="s">
        <v>2176</v>
      </c>
      <c r="AB205" s="24" t="s">
        <v>2160</v>
      </c>
      <c r="AC205" s="136" t="str">
        <f t="shared" si="6"/>
        <v>Roh003De</v>
      </c>
      <c r="AD205" s="136" t="str">
        <f t="shared" si="7"/>
        <v>rohit.singh@company.com</v>
      </c>
    </row>
    <row r="206" spans="1:30">
      <c r="A206" s="24" t="s">
        <v>1027</v>
      </c>
      <c r="B206" s="24" t="s">
        <v>168</v>
      </c>
      <c r="C206" s="24" t="s">
        <v>259</v>
      </c>
      <c r="D206" s="30">
        <v>45935</v>
      </c>
      <c r="E206" s="24" t="s">
        <v>281</v>
      </c>
      <c r="F206" s="136" t="str">
        <f>PROPER(TRIM(Sales_data!F206))</f>
        <v>Anita Gupta</v>
      </c>
      <c r="G206" s="30" t="s">
        <v>28</v>
      </c>
      <c r="H206" s="24" t="s">
        <v>173</v>
      </c>
      <c r="I206" s="24" t="s">
        <v>114</v>
      </c>
      <c r="J206" s="24" t="s">
        <v>106</v>
      </c>
      <c r="K206" s="24" t="s">
        <v>2111</v>
      </c>
      <c r="L206" s="24" t="s">
        <v>122</v>
      </c>
      <c r="M206" s="34" t="s">
        <v>263</v>
      </c>
      <c r="N206" s="37">
        <v>8</v>
      </c>
      <c r="O206" s="44">
        <v>33.75</v>
      </c>
      <c r="P206" s="35">
        <v>0.05</v>
      </c>
      <c r="Q206" s="34">
        <v>256.5</v>
      </c>
      <c r="R206" s="24">
        <v>2</v>
      </c>
      <c r="S206" s="24" t="s">
        <v>34</v>
      </c>
      <c r="T206" s="24" t="s">
        <v>49</v>
      </c>
      <c r="U206" s="34" t="str">
        <f>Sales_data!T206</f>
        <v>anita.gupta@company.com</v>
      </c>
      <c r="V206" s="24">
        <v>9626843681</v>
      </c>
      <c r="W206" s="34" t="s">
        <v>2100</v>
      </c>
      <c r="X206" s="24">
        <v>12</v>
      </c>
      <c r="Y206" s="30" t="s">
        <v>2112</v>
      </c>
      <c r="Z206" s="29">
        <v>46304</v>
      </c>
      <c r="AA206" s="24" t="s">
        <v>2177</v>
      </c>
      <c r="AB206" s="24" t="s">
        <v>2160</v>
      </c>
      <c r="AC206" s="136" t="str">
        <f t="shared" si="6"/>
        <v>Ani004Pu</v>
      </c>
      <c r="AD206" s="136" t="str">
        <f t="shared" si="7"/>
        <v>anita.gupta@company.com</v>
      </c>
    </row>
    <row r="207" spans="1:30">
      <c r="A207" s="24" t="s">
        <v>1030</v>
      </c>
      <c r="B207" s="24" t="s">
        <v>327</v>
      </c>
      <c r="C207" s="24" t="s">
        <v>24</v>
      </c>
      <c r="D207" s="30">
        <v>45722</v>
      </c>
      <c r="E207" s="24" t="s">
        <v>1031</v>
      </c>
      <c r="F207" s="136" t="str">
        <f>PROPER(TRIM(Sales_data!F207))</f>
        <v>Amit Sharma</v>
      </c>
      <c r="G207" s="30" t="s">
        <v>76</v>
      </c>
      <c r="H207" s="24" t="s">
        <v>331</v>
      </c>
      <c r="I207" s="24" t="s">
        <v>114</v>
      </c>
      <c r="J207" s="24" t="s">
        <v>106</v>
      </c>
      <c r="K207" s="24" t="s">
        <v>2109</v>
      </c>
      <c r="L207" s="24" t="s">
        <v>32</v>
      </c>
      <c r="M207" s="34" t="s">
        <v>33</v>
      </c>
      <c r="N207" s="37">
        <v>18</v>
      </c>
      <c r="O207" s="44">
        <v>1650</v>
      </c>
      <c r="P207" s="35">
        <v>0.15</v>
      </c>
      <c r="Q207" s="34">
        <v>25245</v>
      </c>
      <c r="R207" s="24">
        <v>4</v>
      </c>
      <c r="S207" s="24" t="s">
        <v>79</v>
      </c>
      <c r="T207" s="24" t="s">
        <v>61</v>
      </c>
      <c r="U207" s="34" t="str">
        <f>Sales_data!T207</f>
        <v>amit.sharma@company.com</v>
      </c>
      <c r="V207" s="24">
        <v>9934933215</v>
      </c>
      <c r="W207" s="34" t="s">
        <v>2101</v>
      </c>
      <c r="X207" s="24">
        <v>24</v>
      </c>
      <c r="Y207" s="30" t="s">
        <v>2108</v>
      </c>
      <c r="Z207" s="29">
        <v>46458</v>
      </c>
      <c r="AA207" s="24" t="s">
        <v>2171</v>
      </c>
      <c r="AB207" s="24" t="s">
        <v>2108</v>
      </c>
      <c r="AC207" s="136" t="str">
        <f t="shared" si="6"/>
        <v>Ami001Pu</v>
      </c>
      <c r="AD207" s="136" t="str">
        <f t="shared" si="7"/>
        <v>amit.sharma@company.com</v>
      </c>
    </row>
    <row r="208" spans="1:30">
      <c r="A208" s="24" t="s">
        <v>1034</v>
      </c>
      <c r="B208" s="24" t="s">
        <v>221</v>
      </c>
      <c r="C208" s="24" t="s">
        <v>184</v>
      </c>
      <c r="D208" s="30">
        <v>46118</v>
      </c>
      <c r="E208" s="24" t="s">
        <v>1005</v>
      </c>
      <c r="F208" s="136" t="str">
        <f>PROPER(TRIM(Sales_data!F208))</f>
        <v>Vikas Mehta</v>
      </c>
      <c r="G208" s="30" t="s">
        <v>76</v>
      </c>
      <c r="H208" s="24" t="s">
        <v>226</v>
      </c>
      <c r="I208" s="24" t="s">
        <v>105</v>
      </c>
      <c r="J208" s="24" t="s">
        <v>106</v>
      </c>
      <c r="K208" s="24" t="s">
        <v>2113</v>
      </c>
      <c r="L208" s="24" t="s">
        <v>46</v>
      </c>
      <c r="M208" s="34" t="s">
        <v>189</v>
      </c>
      <c r="N208" s="37">
        <v>18</v>
      </c>
      <c r="O208" s="44">
        <v>525</v>
      </c>
      <c r="P208" s="35">
        <v>0.15</v>
      </c>
      <c r="Q208" s="34">
        <v>8032.5</v>
      </c>
      <c r="R208" s="24">
        <v>3</v>
      </c>
      <c r="S208" s="24" t="s">
        <v>79</v>
      </c>
      <c r="T208" s="24" t="s">
        <v>151</v>
      </c>
      <c r="U208" s="34" t="str">
        <f>Sales_data!T208</f>
        <v>vikas.mehta@company.com</v>
      </c>
      <c r="V208" s="24">
        <v>9508025585</v>
      </c>
      <c r="W208" s="34" t="s">
        <v>2100</v>
      </c>
      <c r="X208" s="24">
        <v>24</v>
      </c>
      <c r="Y208" s="30" t="s">
        <v>2112</v>
      </c>
      <c r="Z208" s="29">
        <v>46858</v>
      </c>
      <c r="AA208" s="24" t="s">
        <v>2171</v>
      </c>
      <c r="AB208" s="24" t="s">
        <v>2108</v>
      </c>
      <c r="AC208" s="136" t="str">
        <f t="shared" si="6"/>
        <v>Vik005Mu</v>
      </c>
      <c r="AD208" s="136" t="str">
        <f t="shared" si="7"/>
        <v>vikas.mehta@company.com</v>
      </c>
    </row>
    <row r="209" spans="1:30">
      <c r="A209" s="24" t="s">
        <v>1038</v>
      </c>
      <c r="B209" s="24" t="s">
        <v>327</v>
      </c>
      <c r="C209" s="24" t="s">
        <v>54</v>
      </c>
      <c r="D209" s="30">
        <v>46039</v>
      </c>
      <c r="E209" s="24" t="s">
        <v>1040</v>
      </c>
      <c r="F209" s="136" t="str">
        <f>PROPER(TRIM(Sales_data!F209))</f>
        <v>Amit Sharma</v>
      </c>
      <c r="G209" s="30" t="s">
        <v>76</v>
      </c>
      <c r="H209" s="24" t="s">
        <v>331</v>
      </c>
      <c r="I209" s="24" t="s">
        <v>114</v>
      </c>
      <c r="J209" s="24" t="s">
        <v>106</v>
      </c>
      <c r="K209" s="24" t="s">
        <v>2109</v>
      </c>
      <c r="L209" s="24" t="s">
        <v>46</v>
      </c>
      <c r="M209" s="34" t="s">
        <v>60</v>
      </c>
      <c r="N209" s="37">
        <v>12</v>
      </c>
      <c r="O209" s="44">
        <v>41250</v>
      </c>
      <c r="P209" s="35">
        <v>0</v>
      </c>
      <c r="Q209" s="34">
        <v>495000</v>
      </c>
      <c r="R209" s="24">
        <v>2</v>
      </c>
      <c r="S209" s="24" t="s">
        <v>2149</v>
      </c>
      <c r="T209" s="24" t="s">
        <v>49</v>
      </c>
      <c r="U209" s="34" t="str">
        <f>Sales_data!T209</f>
        <v>amit.sharma@company.com</v>
      </c>
      <c r="V209" s="24">
        <v>9364681052</v>
      </c>
      <c r="W209" s="34" t="s">
        <v>2100</v>
      </c>
      <c r="X209" s="24">
        <v>12</v>
      </c>
      <c r="Y209" s="30" t="s">
        <v>2108</v>
      </c>
      <c r="Z209" s="29">
        <v>46407</v>
      </c>
      <c r="AA209" s="24" t="s">
        <v>2171</v>
      </c>
      <c r="AB209" s="24" t="s">
        <v>2160</v>
      </c>
      <c r="AC209" s="136" t="str">
        <f t="shared" si="6"/>
        <v>Ami001Pu</v>
      </c>
      <c r="AD209" s="136" t="str">
        <f t="shared" si="7"/>
        <v>amit.sharma@company.com</v>
      </c>
    </row>
    <row r="210" spans="1:30">
      <c r="A210" s="24" t="s">
        <v>1043</v>
      </c>
      <c r="B210" s="24" t="s">
        <v>23</v>
      </c>
      <c r="C210" s="24" t="s">
        <v>40</v>
      </c>
      <c r="D210" s="30">
        <v>45976</v>
      </c>
      <c r="E210" s="24" t="s">
        <v>1044</v>
      </c>
      <c r="F210" s="136" t="str">
        <f>PROPER(TRIM(Sales_data!F210))</f>
        <v>Kavya Nair</v>
      </c>
      <c r="G210" s="30" t="s">
        <v>28</v>
      </c>
      <c r="H210" s="24" t="s">
        <v>29</v>
      </c>
      <c r="I210" s="24" t="s">
        <v>30</v>
      </c>
      <c r="J210" s="24" t="s">
        <v>31</v>
      </c>
      <c r="K210" s="24" t="s">
        <v>2111</v>
      </c>
      <c r="L210" s="24" t="s">
        <v>46</v>
      </c>
      <c r="M210" s="34" t="s">
        <v>47</v>
      </c>
      <c r="N210" s="37">
        <v>7</v>
      </c>
      <c r="O210" s="44">
        <v>9000</v>
      </c>
      <c r="P210" s="35">
        <v>0.05</v>
      </c>
      <c r="Q210" s="34">
        <v>59850</v>
      </c>
      <c r="R210" s="24">
        <v>3</v>
      </c>
      <c r="S210" s="24" t="s">
        <v>79</v>
      </c>
      <c r="T210" s="24" t="s">
        <v>151</v>
      </c>
      <c r="U210" s="34" t="str">
        <f>Sales_data!T210</f>
        <v>kavya.nair@company.com</v>
      </c>
      <c r="V210" s="24">
        <v>9117102884</v>
      </c>
      <c r="W210" s="34" t="s">
        <v>2101</v>
      </c>
      <c r="X210" s="24">
        <v>24</v>
      </c>
      <c r="Y210" s="30" t="s">
        <v>2108</v>
      </c>
      <c r="Z210" s="29">
        <v>46715</v>
      </c>
      <c r="AA210" s="24" t="s">
        <v>2171</v>
      </c>
      <c r="AB210" s="24" t="s">
        <v>2112</v>
      </c>
      <c r="AC210" s="136" t="str">
        <f t="shared" si="6"/>
        <v>Kav008Hy</v>
      </c>
      <c r="AD210" s="136" t="str">
        <f t="shared" si="7"/>
        <v>kavya.nair@company.com</v>
      </c>
    </row>
    <row r="211" spans="1:30">
      <c r="A211" s="24" t="s">
        <v>1047</v>
      </c>
      <c r="B211" s="24" t="s">
        <v>251</v>
      </c>
      <c r="C211" s="24" t="s">
        <v>40</v>
      </c>
      <c r="D211" s="30">
        <v>45921</v>
      </c>
      <c r="E211" s="24" t="s">
        <v>129</v>
      </c>
      <c r="F211" s="136" t="str">
        <f>PROPER(TRIM(Sales_data!F211))</f>
        <v>Sneha Joshi</v>
      </c>
      <c r="G211" s="30" t="s">
        <v>28</v>
      </c>
      <c r="H211" s="24" t="s">
        <v>255</v>
      </c>
      <c r="I211" s="24" t="s">
        <v>114</v>
      </c>
      <c r="J211" s="24" t="s">
        <v>106</v>
      </c>
      <c r="K211" s="24" t="s">
        <v>2111</v>
      </c>
      <c r="L211" s="24" t="s">
        <v>46</v>
      </c>
      <c r="M211" s="34" t="s">
        <v>47</v>
      </c>
      <c r="N211" s="37">
        <v>8</v>
      </c>
      <c r="O211" s="44">
        <v>9000</v>
      </c>
      <c r="P211" s="35">
        <v>0.15</v>
      </c>
      <c r="Q211" s="34">
        <v>61200</v>
      </c>
      <c r="R211" s="24">
        <v>4</v>
      </c>
      <c r="S211" s="24" t="s">
        <v>79</v>
      </c>
      <c r="T211" s="24" t="s">
        <v>49</v>
      </c>
      <c r="U211" s="34" t="str">
        <f>Sales_data!T211</f>
        <v>sneha.joshi@company.com</v>
      </c>
      <c r="V211" s="24">
        <v>9819453185</v>
      </c>
      <c r="W211" s="34" t="s">
        <v>2101</v>
      </c>
      <c r="X211" s="24">
        <v>24</v>
      </c>
      <c r="Y211" s="30" t="s">
        <v>2112</v>
      </c>
      <c r="Z211" s="29">
        <v>46653</v>
      </c>
      <c r="AA211" s="24" t="s">
        <v>2173</v>
      </c>
      <c r="AB211" s="24" t="s">
        <v>2112</v>
      </c>
      <c r="AC211" s="136" t="str">
        <f t="shared" si="6"/>
        <v>Sne006Pu</v>
      </c>
      <c r="AD211" s="136" t="str">
        <f t="shared" si="7"/>
        <v>sneha.joshi@company.com</v>
      </c>
    </row>
    <row r="212" spans="1:30">
      <c r="A212" s="24" t="s">
        <v>1051</v>
      </c>
      <c r="B212" s="24" t="s">
        <v>327</v>
      </c>
      <c r="C212" s="24" t="s">
        <v>92</v>
      </c>
      <c r="D212" s="30">
        <v>46009</v>
      </c>
      <c r="E212" s="24" t="s">
        <v>1052</v>
      </c>
      <c r="F212" s="136" t="str">
        <f>PROPER(TRIM(Sales_data!F212))</f>
        <v>Amit Sharma</v>
      </c>
      <c r="G212" s="30" t="s">
        <v>76</v>
      </c>
      <c r="H212" s="24" t="s">
        <v>331</v>
      </c>
      <c r="I212" s="24" t="s">
        <v>114</v>
      </c>
      <c r="J212" s="24" t="s">
        <v>106</v>
      </c>
      <c r="K212" s="24" t="s">
        <v>2109</v>
      </c>
      <c r="L212" s="24" t="s">
        <v>32</v>
      </c>
      <c r="M212" s="34" t="s">
        <v>97</v>
      </c>
      <c r="N212" s="37">
        <v>19</v>
      </c>
      <c r="O212" s="44">
        <v>2625</v>
      </c>
      <c r="P212" s="35">
        <v>0.05</v>
      </c>
      <c r="Q212" s="34">
        <v>47381.25</v>
      </c>
      <c r="R212" s="24">
        <v>3</v>
      </c>
      <c r="S212" s="24" t="s">
        <v>79</v>
      </c>
      <c r="T212" s="24" t="s">
        <v>61</v>
      </c>
      <c r="U212" s="34" t="str">
        <f>Sales_data!T212</f>
        <v>amit.sharma@company.com</v>
      </c>
      <c r="V212" s="24">
        <v>9511806701</v>
      </c>
      <c r="W212" s="34" t="s">
        <v>2101</v>
      </c>
      <c r="X212" s="24">
        <v>6</v>
      </c>
      <c r="Y212" s="30" t="s">
        <v>2108</v>
      </c>
      <c r="Z212" s="29">
        <v>46200</v>
      </c>
      <c r="AA212" s="24" t="s">
        <v>2171</v>
      </c>
      <c r="AB212" s="24" t="s">
        <v>2108</v>
      </c>
      <c r="AC212" s="136" t="str">
        <f t="shared" si="6"/>
        <v>Ami001Pu</v>
      </c>
      <c r="AD212" s="136" t="str">
        <f t="shared" si="7"/>
        <v>amit.sharma@company.com</v>
      </c>
    </row>
    <row r="213" spans="1:30">
      <c r="A213" s="24" t="s">
        <v>1055</v>
      </c>
      <c r="B213" s="24" t="s">
        <v>251</v>
      </c>
      <c r="C213" s="24" t="s">
        <v>259</v>
      </c>
      <c r="D213" s="30">
        <v>45694</v>
      </c>
      <c r="E213" s="24" t="s">
        <v>987</v>
      </c>
      <c r="F213" s="136" t="str">
        <f>PROPER(TRIM(Sales_data!F213))</f>
        <v>Sneha Joshi</v>
      </c>
      <c r="G213" s="30" t="s">
        <v>28</v>
      </c>
      <c r="H213" s="24" t="s">
        <v>255</v>
      </c>
      <c r="I213" s="24" t="s">
        <v>114</v>
      </c>
      <c r="J213" s="24" t="s">
        <v>106</v>
      </c>
      <c r="K213" s="24" t="s">
        <v>2111</v>
      </c>
      <c r="L213" s="24" t="s">
        <v>122</v>
      </c>
      <c r="M213" s="34" t="s">
        <v>263</v>
      </c>
      <c r="N213" s="37">
        <v>7</v>
      </c>
      <c r="O213" s="44">
        <v>33.75</v>
      </c>
      <c r="P213" s="35">
        <v>0.05</v>
      </c>
      <c r="Q213" s="34">
        <v>224.4375</v>
      </c>
      <c r="R213" s="24">
        <v>3</v>
      </c>
      <c r="S213" s="24" t="s">
        <v>79</v>
      </c>
      <c r="T213" s="24" t="s">
        <v>35</v>
      </c>
      <c r="U213" s="34" t="str">
        <f>Sales_data!T213</f>
        <v>sneha.joshi@company.com</v>
      </c>
      <c r="V213" s="24">
        <v>9875249891</v>
      </c>
      <c r="W213" s="34" t="s">
        <v>2100</v>
      </c>
      <c r="X213" s="24">
        <v>12</v>
      </c>
      <c r="Y213" s="30" t="s">
        <v>2112</v>
      </c>
      <c r="Z213" s="29">
        <v>46069</v>
      </c>
      <c r="AA213" s="24" t="s">
        <v>2173</v>
      </c>
      <c r="AB213" s="24" t="s">
        <v>2108</v>
      </c>
      <c r="AC213" s="136" t="str">
        <f t="shared" si="6"/>
        <v>Sne006Pu</v>
      </c>
      <c r="AD213" s="136" t="str">
        <f t="shared" si="7"/>
        <v>sneha.joshi@company.com</v>
      </c>
    </row>
    <row r="214" spans="1:30">
      <c r="A214" s="24" t="s">
        <v>1058</v>
      </c>
      <c r="B214" s="24" t="s">
        <v>23</v>
      </c>
      <c r="C214" s="24" t="s">
        <v>118</v>
      </c>
      <c r="D214" s="30">
        <v>45810</v>
      </c>
      <c r="E214" s="24" t="s">
        <v>750</v>
      </c>
      <c r="F214" s="136" t="str">
        <f>PROPER(TRIM(Sales_data!F214))</f>
        <v>Kavya Nair</v>
      </c>
      <c r="G214" s="30" t="s">
        <v>28</v>
      </c>
      <c r="H214" s="24" t="s">
        <v>29</v>
      </c>
      <c r="I214" s="24" t="s">
        <v>30</v>
      </c>
      <c r="J214" s="24" t="s">
        <v>31</v>
      </c>
      <c r="K214" s="24" t="s">
        <v>2111</v>
      </c>
      <c r="L214" s="24" t="s">
        <v>122</v>
      </c>
      <c r="M214" s="34" t="s">
        <v>123</v>
      </c>
      <c r="N214" s="37">
        <v>3</v>
      </c>
      <c r="O214" s="44">
        <v>45</v>
      </c>
      <c r="P214" s="35">
        <v>0.15</v>
      </c>
      <c r="Q214" s="34">
        <v>114.75</v>
      </c>
      <c r="R214" s="24">
        <v>3</v>
      </c>
      <c r="S214" s="24" t="s">
        <v>2148</v>
      </c>
      <c r="T214" s="24" t="s">
        <v>49</v>
      </c>
      <c r="U214" s="34" t="str">
        <f>Sales_data!T214</f>
        <v>kavya.nair@company.com</v>
      </c>
      <c r="V214" s="24">
        <v>9438232503</v>
      </c>
      <c r="W214" s="34" t="s">
        <v>2102</v>
      </c>
      <c r="X214" s="24">
        <v>12</v>
      </c>
      <c r="Y214" s="30" t="s">
        <v>2108</v>
      </c>
      <c r="Z214" s="29">
        <v>46181</v>
      </c>
      <c r="AA214" s="24" t="s">
        <v>2171</v>
      </c>
      <c r="AB214" s="24" t="s">
        <v>2108</v>
      </c>
      <c r="AC214" s="136" t="str">
        <f t="shared" si="6"/>
        <v>Kav008Hy</v>
      </c>
      <c r="AD214" s="136" t="str">
        <f t="shared" si="7"/>
        <v>kavya.nair@company.com</v>
      </c>
    </row>
    <row r="215" spans="1:30">
      <c r="A215" s="24" t="s">
        <v>1060</v>
      </c>
      <c r="B215" s="24" t="s">
        <v>53</v>
      </c>
      <c r="C215" s="24" t="s">
        <v>259</v>
      </c>
      <c r="D215" s="30">
        <v>46134</v>
      </c>
      <c r="E215" s="24" t="s">
        <v>582</v>
      </c>
      <c r="F215" s="136" t="str">
        <f>PROPER(TRIM(Sales_data!F215))</f>
        <v>Pooja Shah</v>
      </c>
      <c r="G215" s="30" t="s">
        <v>28</v>
      </c>
      <c r="H215" s="24" t="s">
        <v>58</v>
      </c>
      <c r="I215" s="24" t="s">
        <v>59</v>
      </c>
      <c r="J215" s="24" t="s">
        <v>31</v>
      </c>
      <c r="K215" s="24" t="s">
        <v>2111</v>
      </c>
      <c r="L215" s="24" t="s">
        <v>122</v>
      </c>
      <c r="M215" s="34" t="s">
        <v>263</v>
      </c>
      <c r="N215" s="37">
        <v>19</v>
      </c>
      <c r="O215" s="44">
        <v>33.75</v>
      </c>
      <c r="P215" s="35">
        <v>0</v>
      </c>
      <c r="Q215" s="34">
        <v>641.25</v>
      </c>
      <c r="R215" s="24">
        <v>2</v>
      </c>
      <c r="S215" s="24" t="s">
        <v>34</v>
      </c>
      <c r="T215" s="24" t="s">
        <v>61</v>
      </c>
      <c r="U215" s="34" t="str">
        <f>Sales_data!T215</f>
        <v>pooja.shah@company.com</v>
      </c>
      <c r="V215" s="24">
        <v>9449953754</v>
      </c>
      <c r="W215" s="34" t="s">
        <v>2100</v>
      </c>
      <c r="X215" s="24">
        <v>12</v>
      </c>
      <c r="Y215" s="30" t="s">
        <v>2108</v>
      </c>
      <c r="Z215" s="29">
        <v>46511</v>
      </c>
      <c r="AA215" s="24" t="s">
        <v>2172</v>
      </c>
      <c r="AB215" s="24" t="s">
        <v>2160</v>
      </c>
      <c r="AC215" s="136" t="str">
        <f t="shared" si="6"/>
        <v>Poo010Be</v>
      </c>
      <c r="AD215" s="136" t="str">
        <f t="shared" si="7"/>
        <v>pooja.shah@company.com</v>
      </c>
    </row>
    <row r="216" spans="1:30">
      <c r="A216" s="24" t="s">
        <v>1064</v>
      </c>
      <c r="B216" s="24" t="s">
        <v>100</v>
      </c>
      <c r="C216" s="24" t="s">
        <v>40</v>
      </c>
      <c r="D216" s="30">
        <v>46087</v>
      </c>
      <c r="E216" s="24" t="s">
        <v>543</v>
      </c>
      <c r="F216" s="136" t="str">
        <f>PROPER(TRIM(Sales_data!F216))</f>
        <v>Priya Patel</v>
      </c>
      <c r="G216" s="30" t="s">
        <v>28</v>
      </c>
      <c r="H216" s="24" t="s">
        <v>104</v>
      </c>
      <c r="I216" s="24" t="s">
        <v>105</v>
      </c>
      <c r="J216" s="24" t="s">
        <v>106</v>
      </c>
      <c r="K216" s="24" t="s">
        <v>2111</v>
      </c>
      <c r="L216" s="24" t="s">
        <v>46</v>
      </c>
      <c r="M216" s="34" t="s">
        <v>47</v>
      </c>
      <c r="N216" s="37">
        <v>10</v>
      </c>
      <c r="O216" s="44">
        <v>9000</v>
      </c>
      <c r="P216" s="35">
        <v>0.05</v>
      </c>
      <c r="Q216" s="34">
        <v>85500</v>
      </c>
      <c r="R216" s="24">
        <v>1</v>
      </c>
      <c r="S216" s="24" t="s">
        <v>79</v>
      </c>
      <c r="T216" s="24" t="s">
        <v>115</v>
      </c>
      <c r="U216" s="34" t="str">
        <f>Sales_data!T216</f>
        <v>priya.patel@company.com</v>
      </c>
      <c r="V216" s="24">
        <v>9833801891</v>
      </c>
      <c r="W216" s="34" t="s">
        <v>2101</v>
      </c>
      <c r="X216" s="24">
        <v>24</v>
      </c>
      <c r="Y216" s="30" t="s">
        <v>2110</v>
      </c>
      <c r="Z216" s="29">
        <v>46828</v>
      </c>
      <c r="AA216" s="24" t="s">
        <v>2175</v>
      </c>
      <c r="AB216" s="24" t="s">
        <v>2160</v>
      </c>
      <c r="AC216" s="136" t="str">
        <f t="shared" si="6"/>
        <v>Pri002Mu</v>
      </c>
      <c r="AD216" s="136" t="str">
        <f t="shared" si="7"/>
        <v>priya.patel@company.com</v>
      </c>
    </row>
    <row r="217" spans="1:30">
      <c r="A217" s="24" t="s">
        <v>1068</v>
      </c>
      <c r="B217" s="24" t="s">
        <v>23</v>
      </c>
      <c r="C217" s="24" t="s">
        <v>72</v>
      </c>
      <c r="D217" s="30">
        <v>45716</v>
      </c>
      <c r="E217" s="24" t="s">
        <v>1031</v>
      </c>
      <c r="F217" s="136" t="str">
        <f>PROPER(TRIM(Sales_data!F217))</f>
        <v>Kavya Nair</v>
      </c>
      <c r="G217" s="30" t="s">
        <v>28</v>
      </c>
      <c r="H217" s="24" t="s">
        <v>29</v>
      </c>
      <c r="I217" s="24" t="s">
        <v>30</v>
      </c>
      <c r="J217" s="24" t="s">
        <v>31</v>
      </c>
      <c r="K217" s="24" t="s">
        <v>2111</v>
      </c>
      <c r="L217" s="24" t="s">
        <v>46</v>
      </c>
      <c r="M217" s="34" t="s">
        <v>78</v>
      </c>
      <c r="N217" s="37">
        <v>4</v>
      </c>
      <c r="O217" s="44">
        <v>900</v>
      </c>
      <c r="P217" s="35">
        <v>0</v>
      </c>
      <c r="Q217" s="34">
        <v>3600</v>
      </c>
      <c r="R217" s="24">
        <v>4</v>
      </c>
      <c r="S217" s="24" t="s">
        <v>34</v>
      </c>
      <c r="T217" s="24" t="s">
        <v>61</v>
      </c>
      <c r="U217" s="34" t="str">
        <f>Sales_data!T217</f>
        <v>kavya.nair@company.com</v>
      </c>
      <c r="V217" s="24">
        <v>9183949273</v>
      </c>
      <c r="W217" s="34" t="s">
        <v>2100</v>
      </c>
      <c r="X217" s="24">
        <v>6</v>
      </c>
      <c r="Y217" s="30" t="s">
        <v>2108</v>
      </c>
      <c r="Z217" s="29">
        <v>45912</v>
      </c>
      <c r="AA217" s="24" t="s">
        <v>2171</v>
      </c>
      <c r="AB217" s="24" t="s">
        <v>2108</v>
      </c>
      <c r="AC217" s="136" t="str">
        <f t="shared" si="6"/>
        <v>Kav008Hy</v>
      </c>
      <c r="AD217" s="136" t="str">
        <f t="shared" si="7"/>
        <v>kavya.nair@company.com</v>
      </c>
    </row>
    <row r="218" spans="1:30">
      <c r="A218" s="24" t="s">
        <v>1072</v>
      </c>
      <c r="B218" s="24" t="s">
        <v>221</v>
      </c>
      <c r="C218" s="24" t="s">
        <v>169</v>
      </c>
      <c r="D218" s="30">
        <v>45961</v>
      </c>
      <c r="E218" s="24" t="s">
        <v>1073</v>
      </c>
      <c r="F218" s="136" t="str">
        <f>PROPER(TRIM(Sales_data!F218))</f>
        <v>Vikas Mehta</v>
      </c>
      <c r="G218" s="30" t="s">
        <v>76</v>
      </c>
      <c r="H218" s="24" t="s">
        <v>226</v>
      </c>
      <c r="I218" s="24" t="s">
        <v>105</v>
      </c>
      <c r="J218" s="24" t="s">
        <v>106</v>
      </c>
      <c r="K218" s="24" t="s">
        <v>2113</v>
      </c>
      <c r="L218" s="24" t="s">
        <v>32</v>
      </c>
      <c r="M218" s="34" t="s">
        <v>174</v>
      </c>
      <c r="N218" s="37">
        <v>2</v>
      </c>
      <c r="O218" s="44">
        <v>6375</v>
      </c>
      <c r="P218" s="35">
        <v>0.2</v>
      </c>
      <c r="Q218" s="34">
        <v>10200</v>
      </c>
      <c r="R218" s="24">
        <v>3</v>
      </c>
      <c r="S218" s="24" t="s">
        <v>79</v>
      </c>
      <c r="T218" s="24" t="s">
        <v>151</v>
      </c>
      <c r="U218" s="34" t="str">
        <f>Sales_data!T218</f>
        <v>vikas.mehta@company.com</v>
      </c>
      <c r="V218" s="24">
        <v>9168257367</v>
      </c>
      <c r="W218" s="34" t="s">
        <v>2100</v>
      </c>
      <c r="X218" s="24">
        <v>24</v>
      </c>
      <c r="Y218" s="30" t="s">
        <v>2112</v>
      </c>
      <c r="Z218" s="29">
        <v>46698</v>
      </c>
      <c r="AA218" s="24" t="s">
        <v>2171</v>
      </c>
      <c r="AB218" s="24" t="s">
        <v>2108</v>
      </c>
      <c r="AC218" s="136" t="str">
        <f t="shared" si="6"/>
        <v>Vik005Mu</v>
      </c>
      <c r="AD218" s="136" t="str">
        <f t="shared" si="7"/>
        <v>vikas.mehta@company.com</v>
      </c>
    </row>
    <row r="219" spans="1:30">
      <c r="A219" s="24" t="s">
        <v>1076</v>
      </c>
      <c r="B219" s="24" t="s">
        <v>83</v>
      </c>
      <c r="C219" s="24" t="s">
        <v>184</v>
      </c>
      <c r="D219" s="30">
        <v>46052</v>
      </c>
      <c r="E219" s="24" t="s">
        <v>322</v>
      </c>
      <c r="F219" s="136" t="str">
        <f>PROPER(TRIM(Sales_data!F219))</f>
        <v>Arjun Rao</v>
      </c>
      <c r="G219" s="30" t="s">
        <v>76</v>
      </c>
      <c r="H219" s="24" t="s">
        <v>87</v>
      </c>
      <c r="I219" s="24" t="s">
        <v>30</v>
      </c>
      <c r="J219" s="24" t="s">
        <v>31</v>
      </c>
      <c r="K219" s="24" t="s">
        <v>2109</v>
      </c>
      <c r="L219" s="24" t="s">
        <v>46</v>
      </c>
      <c r="M219" s="34" t="s">
        <v>189</v>
      </c>
      <c r="N219" s="37">
        <v>7</v>
      </c>
      <c r="O219" s="44">
        <v>525</v>
      </c>
      <c r="P219" s="35">
        <v>0.2</v>
      </c>
      <c r="Q219" s="34">
        <v>2940</v>
      </c>
      <c r="R219" s="24">
        <v>2</v>
      </c>
      <c r="S219" s="24" t="s">
        <v>79</v>
      </c>
      <c r="T219" s="24" t="s">
        <v>151</v>
      </c>
      <c r="U219" s="34" t="str">
        <f>Sales_data!T219</f>
        <v>arjun.rao@company.com</v>
      </c>
      <c r="V219" s="24">
        <v>9580903210</v>
      </c>
      <c r="W219" s="34" t="s">
        <v>2100</v>
      </c>
      <c r="X219" s="24">
        <v>24</v>
      </c>
      <c r="Y219" s="30" t="s">
        <v>2108</v>
      </c>
      <c r="Z219" s="29">
        <v>46791</v>
      </c>
      <c r="AA219" s="24" t="s">
        <v>2174</v>
      </c>
      <c r="AB219" s="24" t="s">
        <v>2160</v>
      </c>
      <c r="AC219" s="136" t="str">
        <f t="shared" si="6"/>
        <v>Arj007Hy</v>
      </c>
      <c r="AD219" s="136" t="str">
        <f t="shared" si="7"/>
        <v>arjun.rao@company.com</v>
      </c>
    </row>
    <row r="220" spans="1:30">
      <c r="A220" s="24" t="s">
        <v>1080</v>
      </c>
      <c r="B220" s="24" t="s">
        <v>53</v>
      </c>
      <c r="C220" s="24" t="s">
        <v>222</v>
      </c>
      <c r="D220" s="30">
        <v>46141</v>
      </c>
      <c r="E220" s="24" t="s">
        <v>518</v>
      </c>
      <c r="F220" s="136" t="str">
        <f>PROPER(TRIM(Sales_data!F220))</f>
        <v>Pooja Shah</v>
      </c>
      <c r="G220" s="30" t="s">
        <v>28</v>
      </c>
      <c r="H220" s="24" t="s">
        <v>58</v>
      </c>
      <c r="I220" s="24" t="s">
        <v>59</v>
      </c>
      <c r="J220" s="24" t="s">
        <v>31</v>
      </c>
      <c r="K220" s="24" t="s">
        <v>2111</v>
      </c>
      <c r="L220" s="24" t="s">
        <v>122</v>
      </c>
      <c r="M220" s="34" t="s">
        <v>227</v>
      </c>
      <c r="N220" s="37">
        <v>9</v>
      </c>
      <c r="O220" s="44">
        <v>15</v>
      </c>
      <c r="P220" s="35">
        <v>0.15</v>
      </c>
      <c r="Q220" s="34">
        <v>114.75</v>
      </c>
      <c r="R220" s="24">
        <v>3</v>
      </c>
      <c r="S220" s="24" t="s">
        <v>2148</v>
      </c>
      <c r="T220" s="24" t="s">
        <v>115</v>
      </c>
      <c r="U220" s="34" t="str">
        <f>Sales_data!T220</f>
        <v>pooja.shah@company.com</v>
      </c>
      <c r="V220" s="24">
        <v>9602152945</v>
      </c>
      <c r="W220" s="34" t="s">
        <v>2103</v>
      </c>
      <c r="X220" s="24">
        <v>12</v>
      </c>
      <c r="Y220" s="30" t="s">
        <v>2108</v>
      </c>
      <c r="Z220" s="29">
        <v>46510</v>
      </c>
      <c r="AA220" s="24" t="s">
        <v>2172</v>
      </c>
      <c r="AB220" s="24" t="s">
        <v>2108</v>
      </c>
      <c r="AC220" s="136" t="str">
        <f t="shared" si="6"/>
        <v>Poo010Be</v>
      </c>
      <c r="AD220" s="136" t="str">
        <f t="shared" si="7"/>
        <v>pooja.shah@company.com</v>
      </c>
    </row>
    <row r="221" spans="1:30">
      <c r="A221" s="24" t="s">
        <v>1084</v>
      </c>
      <c r="B221" s="24" t="s">
        <v>100</v>
      </c>
      <c r="C221" s="24" t="s">
        <v>169</v>
      </c>
      <c r="D221" s="30">
        <v>45795</v>
      </c>
      <c r="E221" s="24" t="s">
        <v>1086</v>
      </c>
      <c r="F221" s="136" t="str">
        <f>PROPER(TRIM(Sales_data!F221))</f>
        <v>Priya Patel</v>
      </c>
      <c r="G221" s="30" t="s">
        <v>28</v>
      </c>
      <c r="H221" s="24" t="s">
        <v>104</v>
      </c>
      <c r="I221" s="24" t="s">
        <v>105</v>
      </c>
      <c r="J221" s="24" t="s">
        <v>106</v>
      </c>
      <c r="K221" s="24" t="s">
        <v>2111</v>
      </c>
      <c r="L221" s="24" t="s">
        <v>32</v>
      </c>
      <c r="M221" s="34" t="s">
        <v>174</v>
      </c>
      <c r="N221" s="37">
        <v>16</v>
      </c>
      <c r="O221" s="44">
        <v>6375</v>
      </c>
      <c r="P221" s="35">
        <v>0</v>
      </c>
      <c r="Q221" s="34">
        <v>102000</v>
      </c>
      <c r="R221" s="24">
        <v>4</v>
      </c>
      <c r="S221" s="24" t="s">
        <v>2148</v>
      </c>
      <c r="T221" s="24" t="s">
        <v>35</v>
      </c>
      <c r="U221" s="34" t="str">
        <f>Sales_data!T221</f>
        <v>priya.patel@company.com</v>
      </c>
      <c r="V221" s="24">
        <v>9646917552</v>
      </c>
      <c r="W221" s="34" t="s">
        <v>2100</v>
      </c>
      <c r="X221" s="24">
        <v>24</v>
      </c>
      <c r="Y221" s="30" t="s">
        <v>2110</v>
      </c>
      <c r="Z221" s="29">
        <v>46527</v>
      </c>
      <c r="AA221" s="24" t="s">
        <v>2175</v>
      </c>
      <c r="AB221" s="24" t="s">
        <v>2110</v>
      </c>
      <c r="AC221" s="136" t="str">
        <f t="shared" si="6"/>
        <v>Pri002Mu</v>
      </c>
      <c r="AD221" s="136" t="str">
        <f t="shared" si="7"/>
        <v>priya.patel@company.com</v>
      </c>
    </row>
    <row r="222" spans="1:30">
      <c r="A222" s="24" t="s">
        <v>1089</v>
      </c>
      <c r="B222" s="24" t="s">
        <v>251</v>
      </c>
      <c r="C222" s="24" t="s">
        <v>92</v>
      </c>
      <c r="D222" s="30">
        <v>46107</v>
      </c>
      <c r="E222" s="24" t="s">
        <v>1090</v>
      </c>
      <c r="F222" s="136" t="str">
        <f>PROPER(TRIM(Sales_data!F222))</f>
        <v>Sneha Joshi</v>
      </c>
      <c r="G222" s="30" t="s">
        <v>28</v>
      </c>
      <c r="H222" s="24" t="s">
        <v>255</v>
      </c>
      <c r="I222" s="24" t="s">
        <v>114</v>
      </c>
      <c r="J222" s="24" t="s">
        <v>106</v>
      </c>
      <c r="K222" s="24" t="s">
        <v>2111</v>
      </c>
      <c r="L222" s="24" t="s">
        <v>32</v>
      </c>
      <c r="M222" s="34" t="s">
        <v>97</v>
      </c>
      <c r="N222" s="37">
        <v>10</v>
      </c>
      <c r="O222" s="44">
        <v>2625</v>
      </c>
      <c r="P222" s="35">
        <v>0.05</v>
      </c>
      <c r="Q222" s="34">
        <v>24937.5</v>
      </c>
      <c r="R222" s="24">
        <v>3</v>
      </c>
      <c r="S222" s="24" t="s">
        <v>2148</v>
      </c>
      <c r="T222" s="24" t="s">
        <v>115</v>
      </c>
      <c r="U222" s="34" t="str">
        <f>Sales_data!T222</f>
        <v>sneha.joshi@company.com</v>
      </c>
      <c r="V222" s="24">
        <v>9127548552</v>
      </c>
      <c r="W222" s="34" t="s">
        <v>2101</v>
      </c>
      <c r="X222" s="24">
        <v>6</v>
      </c>
      <c r="Y222" s="30" t="s">
        <v>2112</v>
      </c>
      <c r="Z222" s="29">
        <v>46293</v>
      </c>
      <c r="AA222" s="24" t="s">
        <v>2173</v>
      </c>
      <c r="AB222" s="24" t="s">
        <v>2108</v>
      </c>
      <c r="AC222" s="136" t="str">
        <f t="shared" si="6"/>
        <v>Sne006Pu</v>
      </c>
      <c r="AD222" s="136" t="str">
        <f t="shared" si="7"/>
        <v>sneha.joshi@company.com</v>
      </c>
    </row>
    <row r="223" spans="1:30">
      <c r="A223" s="24" t="s">
        <v>1093</v>
      </c>
      <c r="B223" s="24" t="s">
        <v>53</v>
      </c>
      <c r="C223" s="24" t="s">
        <v>40</v>
      </c>
      <c r="D223" s="30">
        <v>46041</v>
      </c>
      <c r="E223" s="24" t="s">
        <v>588</v>
      </c>
      <c r="F223" s="136" t="str">
        <f>PROPER(TRIM(Sales_data!F223))</f>
        <v>Pooja Shah</v>
      </c>
      <c r="G223" s="30" t="s">
        <v>28</v>
      </c>
      <c r="H223" s="24" t="s">
        <v>58</v>
      </c>
      <c r="I223" s="24" t="s">
        <v>59</v>
      </c>
      <c r="J223" s="24" t="s">
        <v>31</v>
      </c>
      <c r="K223" s="24" t="s">
        <v>2111</v>
      </c>
      <c r="L223" s="24" t="s">
        <v>46</v>
      </c>
      <c r="M223" s="34" t="s">
        <v>47</v>
      </c>
      <c r="N223" s="37">
        <v>1</v>
      </c>
      <c r="O223" s="44">
        <v>9000</v>
      </c>
      <c r="P223" s="35">
        <v>0</v>
      </c>
      <c r="Q223" s="34">
        <v>9000</v>
      </c>
      <c r="R223" s="24">
        <v>5</v>
      </c>
      <c r="S223" s="24" t="s">
        <v>2149</v>
      </c>
      <c r="T223" s="24" t="s">
        <v>115</v>
      </c>
      <c r="U223" s="34" t="str">
        <f>Sales_data!T223</f>
        <v>pooja.shah@company.com</v>
      </c>
      <c r="V223" s="24">
        <v>9712805603</v>
      </c>
      <c r="W223" s="34" t="s">
        <v>2101</v>
      </c>
      <c r="X223" s="24">
        <v>24</v>
      </c>
      <c r="Y223" s="30" t="s">
        <v>2108</v>
      </c>
      <c r="Z223" s="29">
        <v>46779</v>
      </c>
      <c r="AA223" s="24" t="s">
        <v>2172</v>
      </c>
      <c r="AB223" s="24" t="s">
        <v>2108</v>
      </c>
      <c r="AC223" s="136" t="str">
        <f t="shared" si="6"/>
        <v>Poo010Be</v>
      </c>
      <c r="AD223" s="136" t="str">
        <f t="shared" si="7"/>
        <v>pooja.shah@company.com</v>
      </c>
    </row>
    <row r="224" spans="1:30">
      <c r="A224" s="24" t="s">
        <v>1097</v>
      </c>
      <c r="B224" s="24" t="s">
        <v>327</v>
      </c>
      <c r="C224" s="24" t="s">
        <v>259</v>
      </c>
      <c r="D224" s="30">
        <v>46144</v>
      </c>
      <c r="E224" s="24" t="s">
        <v>601</v>
      </c>
      <c r="F224" s="136" t="str">
        <f>PROPER(TRIM(Sales_data!F224))</f>
        <v>Amit Sharma</v>
      </c>
      <c r="G224" s="30" t="s">
        <v>76</v>
      </c>
      <c r="H224" s="24" t="s">
        <v>331</v>
      </c>
      <c r="I224" s="24" t="s">
        <v>114</v>
      </c>
      <c r="J224" s="24" t="s">
        <v>106</v>
      </c>
      <c r="K224" s="24" t="s">
        <v>2109</v>
      </c>
      <c r="L224" s="24" t="s">
        <v>122</v>
      </c>
      <c r="M224" s="34" t="s">
        <v>263</v>
      </c>
      <c r="N224" s="37">
        <v>19</v>
      </c>
      <c r="O224" s="44">
        <v>33.75</v>
      </c>
      <c r="P224" s="35">
        <v>0.15</v>
      </c>
      <c r="Q224" s="34">
        <v>545.0625</v>
      </c>
      <c r="R224" s="24">
        <v>2</v>
      </c>
      <c r="S224" s="24" t="s">
        <v>2149</v>
      </c>
      <c r="T224" s="24" t="s">
        <v>151</v>
      </c>
      <c r="U224" s="34" t="str">
        <f>Sales_data!T224</f>
        <v>amit.sharma@company.com</v>
      </c>
      <c r="V224" s="24">
        <v>9798313682</v>
      </c>
      <c r="W224" s="34" t="s">
        <v>2100</v>
      </c>
      <c r="X224" s="24">
        <v>12</v>
      </c>
      <c r="Y224" s="30" t="s">
        <v>2108</v>
      </c>
      <c r="Z224" s="29">
        <v>46517</v>
      </c>
      <c r="AA224" s="24" t="s">
        <v>2171</v>
      </c>
      <c r="AB224" s="24" t="s">
        <v>2160</v>
      </c>
      <c r="AC224" s="136" t="str">
        <f t="shared" si="6"/>
        <v>Ami001Pu</v>
      </c>
      <c r="AD224" s="136" t="str">
        <f t="shared" si="7"/>
        <v>amit.sharma@company.com</v>
      </c>
    </row>
    <row r="225" spans="1:30">
      <c r="A225" s="24" t="s">
        <v>1101</v>
      </c>
      <c r="B225" s="24" t="s">
        <v>23</v>
      </c>
      <c r="C225" s="24" t="s">
        <v>54</v>
      </c>
      <c r="D225" s="30">
        <v>45961</v>
      </c>
      <c r="E225" s="24" t="s">
        <v>1102</v>
      </c>
      <c r="F225" s="136" t="str">
        <f>PROPER(TRIM(Sales_data!F225))</f>
        <v>Kavya Nair</v>
      </c>
      <c r="G225" s="30" t="s">
        <v>28</v>
      </c>
      <c r="H225" s="24" t="s">
        <v>29</v>
      </c>
      <c r="I225" s="24" t="s">
        <v>30</v>
      </c>
      <c r="J225" s="24" t="s">
        <v>31</v>
      </c>
      <c r="K225" s="24" t="s">
        <v>2111</v>
      </c>
      <c r="L225" s="24" t="s">
        <v>46</v>
      </c>
      <c r="M225" s="34" t="s">
        <v>60</v>
      </c>
      <c r="N225" s="37">
        <v>13</v>
      </c>
      <c r="O225" s="44">
        <v>41250</v>
      </c>
      <c r="P225" s="35">
        <v>0.05</v>
      </c>
      <c r="Q225" s="34">
        <v>509437.5</v>
      </c>
      <c r="R225" s="24">
        <v>4</v>
      </c>
      <c r="S225" s="24" t="s">
        <v>79</v>
      </c>
      <c r="T225" s="24" t="s">
        <v>49</v>
      </c>
      <c r="U225" s="34" t="str">
        <f>Sales_data!T225</f>
        <v>kavya.nair@company.com</v>
      </c>
      <c r="V225" s="24">
        <v>9642822397</v>
      </c>
      <c r="W225" s="34" t="s">
        <v>2100</v>
      </c>
      <c r="X225" s="24">
        <v>12</v>
      </c>
      <c r="Y225" s="30" t="s">
        <v>2108</v>
      </c>
      <c r="Z225" s="29">
        <v>46328</v>
      </c>
      <c r="AA225" s="24" t="s">
        <v>2171</v>
      </c>
      <c r="AB225" s="24" t="s">
        <v>2110</v>
      </c>
      <c r="AC225" s="136" t="str">
        <f t="shared" si="6"/>
        <v>Kav008Hy</v>
      </c>
      <c r="AD225" s="136" t="str">
        <f t="shared" si="7"/>
        <v>kavya.nair@company.com</v>
      </c>
    </row>
    <row r="226" spans="1:30">
      <c r="A226" s="24" t="s">
        <v>1105</v>
      </c>
      <c r="B226" s="24" t="s">
        <v>83</v>
      </c>
      <c r="C226" s="24" t="s">
        <v>259</v>
      </c>
      <c r="D226" s="30">
        <v>45858</v>
      </c>
      <c r="E226" s="24" t="s">
        <v>155</v>
      </c>
      <c r="F226" s="136" t="str">
        <f>PROPER(TRIM(Sales_data!F226))</f>
        <v>Arjun Rao</v>
      </c>
      <c r="G226" s="30" t="s">
        <v>76</v>
      </c>
      <c r="H226" s="24" t="s">
        <v>87</v>
      </c>
      <c r="I226" s="24" t="s">
        <v>30</v>
      </c>
      <c r="J226" s="24" t="s">
        <v>31</v>
      </c>
      <c r="K226" s="24" t="s">
        <v>2109</v>
      </c>
      <c r="L226" s="24" t="s">
        <v>122</v>
      </c>
      <c r="M226" s="34" t="s">
        <v>263</v>
      </c>
      <c r="N226" s="37">
        <v>2</v>
      </c>
      <c r="O226" s="44">
        <v>33.75</v>
      </c>
      <c r="P226" s="35">
        <v>0.15</v>
      </c>
      <c r="Q226" s="34">
        <v>57.375</v>
      </c>
      <c r="R226" s="24">
        <v>1</v>
      </c>
      <c r="S226" s="24" t="s">
        <v>2148</v>
      </c>
      <c r="T226" s="24" t="s">
        <v>115</v>
      </c>
      <c r="U226" s="34" t="str">
        <f>Sales_data!T226</f>
        <v>arjun.rao@company.com</v>
      </c>
      <c r="V226" s="24">
        <v>9490067655</v>
      </c>
      <c r="W226" s="34" t="s">
        <v>2100</v>
      </c>
      <c r="X226" s="24">
        <v>12</v>
      </c>
      <c r="Y226" s="30" t="s">
        <v>2108</v>
      </c>
      <c r="Z226" s="29">
        <v>46229</v>
      </c>
      <c r="AA226" s="24" t="s">
        <v>2174</v>
      </c>
      <c r="AB226" s="24" t="s">
        <v>2160</v>
      </c>
      <c r="AC226" s="136" t="str">
        <f t="shared" si="6"/>
        <v>Arj007Hy</v>
      </c>
      <c r="AD226" s="136" t="str">
        <f t="shared" si="7"/>
        <v>arjun.rao@company.com</v>
      </c>
    </row>
    <row r="227" spans="1:30">
      <c r="A227" s="24" t="s">
        <v>1109</v>
      </c>
      <c r="B227" s="24" t="s">
        <v>100</v>
      </c>
      <c r="C227" s="24" t="s">
        <v>222</v>
      </c>
      <c r="D227" s="30">
        <v>45707</v>
      </c>
      <c r="E227" s="24" t="s">
        <v>1110</v>
      </c>
      <c r="F227" s="136" t="str">
        <f>PROPER(TRIM(Sales_data!F227))</f>
        <v>Priya Patel</v>
      </c>
      <c r="G227" s="30" t="s">
        <v>28</v>
      </c>
      <c r="H227" s="24" t="s">
        <v>104</v>
      </c>
      <c r="I227" s="24" t="s">
        <v>105</v>
      </c>
      <c r="J227" s="24" t="s">
        <v>106</v>
      </c>
      <c r="K227" s="24" t="s">
        <v>2111</v>
      </c>
      <c r="L227" s="24" t="s">
        <v>122</v>
      </c>
      <c r="M227" s="34" t="s">
        <v>227</v>
      </c>
      <c r="N227" s="37">
        <v>8</v>
      </c>
      <c r="O227" s="44">
        <v>15</v>
      </c>
      <c r="P227" s="35">
        <v>0.15</v>
      </c>
      <c r="Q227" s="34">
        <v>102</v>
      </c>
      <c r="R227" s="24">
        <v>1</v>
      </c>
      <c r="S227" s="24" t="s">
        <v>79</v>
      </c>
      <c r="T227" s="24" t="s">
        <v>35</v>
      </c>
      <c r="U227" s="34" t="str">
        <f>Sales_data!T227</f>
        <v>priya.patel@company.com</v>
      </c>
      <c r="V227" s="24">
        <v>9389792144</v>
      </c>
      <c r="W227" s="34" t="s">
        <v>2103</v>
      </c>
      <c r="X227" s="24">
        <v>12</v>
      </c>
      <c r="Y227" s="30" t="s">
        <v>2110</v>
      </c>
      <c r="Z227" s="29">
        <v>46077</v>
      </c>
      <c r="AA227" s="24" t="s">
        <v>2175</v>
      </c>
      <c r="AB227" s="24" t="s">
        <v>2160</v>
      </c>
      <c r="AC227" s="136" t="str">
        <f t="shared" si="6"/>
        <v>Pri002Mu</v>
      </c>
      <c r="AD227" s="136" t="str">
        <f t="shared" si="7"/>
        <v>priya.patel@company.com</v>
      </c>
    </row>
    <row r="228" spans="1:30">
      <c r="A228" s="24" t="s">
        <v>1113</v>
      </c>
      <c r="B228" s="24" t="s">
        <v>168</v>
      </c>
      <c r="C228" s="24" t="s">
        <v>40</v>
      </c>
      <c r="D228" s="30">
        <v>45767</v>
      </c>
      <c r="E228" s="24" t="s">
        <v>1115</v>
      </c>
      <c r="F228" s="136" t="str">
        <f>PROPER(TRIM(Sales_data!F228))</f>
        <v>Anita Gupta</v>
      </c>
      <c r="G228" s="30" t="s">
        <v>28</v>
      </c>
      <c r="H228" s="24" t="s">
        <v>173</v>
      </c>
      <c r="I228" s="24" t="s">
        <v>114</v>
      </c>
      <c r="J228" s="24" t="s">
        <v>106</v>
      </c>
      <c r="K228" s="24" t="s">
        <v>2111</v>
      </c>
      <c r="L228" s="24" t="s">
        <v>46</v>
      </c>
      <c r="M228" s="34" t="s">
        <v>47</v>
      </c>
      <c r="N228" s="37">
        <v>9</v>
      </c>
      <c r="O228" s="44">
        <v>9000</v>
      </c>
      <c r="P228" s="35">
        <v>0.05</v>
      </c>
      <c r="Q228" s="34">
        <v>76950</v>
      </c>
      <c r="R228" s="24">
        <v>2</v>
      </c>
      <c r="S228" s="24" t="s">
        <v>79</v>
      </c>
      <c r="T228" s="24" t="s">
        <v>35</v>
      </c>
      <c r="U228" s="34" t="str">
        <f>Sales_data!T228</f>
        <v>anita.gupta@company.com</v>
      </c>
      <c r="V228" s="24">
        <v>9736113863</v>
      </c>
      <c r="W228" s="34" t="s">
        <v>2101</v>
      </c>
      <c r="X228" s="24">
        <v>24</v>
      </c>
      <c r="Y228" s="30" t="s">
        <v>2112</v>
      </c>
      <c r="Z228" s="29">
        <v>46508</v>
      </c>
      <c r="AA228" s="24" t="s">
        <v>2177</v>
      </c>
      <c r="AB228" s="24" t="s">
        <v>2160</v>
      </c>
      <c r="AC228" s="136" t="str">
        <f t="shared" si="6"/>
        <v>Ani004Pu</v>
      </c>
      <c r="AD228" s="136" t="str">
        <f t="shared" si="7"/>
        <v>anita.gupta@company.com</v>
      </c>
    </row>
    <row r="229" spans="1:30">
      <c r="A229" s="24" t="s">
        <v>1118</v>
      </c>
      <c r="B229" s="24" t="s">
        <v>71</v>
      </c>
      <c r="C229" s="24" t="s">
        <v>92</v>
      </c>
      <c r="D229" s="30">
        <v>45813</v>
      </c>
      <c r="E229" s="24" t="s">
        <v>1120</v>
      </c>
      <c r="F229" s="136" t="str">
        <f>PROPER(TRIM(Sales_data!F229))</f>
        <v>Mohit Verma</v>
      </c>
      <c r="G229" s="30" t="s">
        <v>76</v>
      </c>
      <c r="H229" s="24" t="s">
        <v>77</v>
      </c>
      <c r="I229" s="24" t="s">
        <v>44</v>
      </c>
      <c r="J229" s="24" t="s">
        <v>45</v>
      </c>
      <c r="K229" s="24" t="s">
        <v>2114</v>
      </c>
      <c r="L229" s="24" t="s">
        <v>32</v>
      </c>
      <c r="M229" s="34" t="s">
        <v>97</v>
      </c>
      <c r="N229" s="37">
        <v>3</v>
      </c>
      <c r="O229" s="44">
        <v>2625</v>
      </c>
      <c r="P229" s="35">
        <v>0.15</v>
      </c>
      <c r="Q229" s="34">
        <v>6693.75</v>
      </c>
      <c r="R229" s="24">
        <v>1</v>
      </c>
      <c r="S229" s="24" t="s">
        <v>34</v>
      </c>
      <c r="T229" s="24" t="s">
        <v>49</v>
      </c>
      <c r="U229" s="34" t="str">
        <f>Sales_data!T229</f>
        <v>mohit.verma@company.com</v>
      </c>
      <c r="V229" s="24">
        <v>9324634732</v>
      </c>
      <c r="W229" s="34" t="s">
        <v>2101</v>
      </c>
      <c r="X229" s="24">
        <v>6</v>
      </c>
      <c r="Y229" s="30" t="s">
        <v>2110</v>
      </c>
      <c r="Z229" s="29">
        <v>46004</v>
      </c>
      <c r="AA229" s="24" t="s">
        <v>2173</v>
      </c>
      <c r="AB229" s="24" t="s">
        <v>2160</v>
      </c>
      <c r="AC229" s="136" t="str">
        <f t="shared" si="6"/>
        <v>Moh009De</v>
      </c>
      <c r="AD229" s="136" t="str">
        <f t="shared" si="7"/>
        <v>mohit.verma@company.com</v>
      </c>
    </row>
    <row r="230" spans="1:30">
      <c r="A230" s="24" t="s">
        <v>1123</v>
      </c>
      <c r="B230" s="24" t="s">
        <v>100</v>
      </c>
      <c r="C230" s="24" t="s">
        <v>184</v>
      </c>
      <c r="D230" s="30">
        <v>45797</v>
      </c>
      <c r="E230" s="24" t="s">
        <v>1124</v>
      </c>
      <c r="F230" s="136" t="str">
        <f>PROPER(TRIM(Sales_data!F230))</f>
        <v>Priya Patel</v>
      </c>
      <c r="G230" s="30" t="s">
        <v>28</v>
      </c>
      <c r="H230" s="24" t="s">
        <v>104</v>
      </c>
      <c r="I230" s="24" t="s">
        <v>105</v>
      </c>
      <c r="J230" s="24" t="s">
        <v>106</v>
      </c>
      <c r="K230" s="24" t="s">
        <v>2111</v>
      </c>
      <c r="L230" s="24" t="s">
        <v>46</v>
      </c>
      <c r="M230" s="34" t="s">
        <v>189</v>
      </c>
      <c r="N230" s="37">
        <v>18</v>
      </c>
      <c r="O230" s="44">
        <v>525</v>
      </c>
      <c r="P230" s="35">
        <v>0.2</v>
      </c>
      <c r="Q230" s="34">
        <v>7560</v>
      </c>
      <c r="R230" s="24">
        <v>1</v>
      </c>
      <c r="S230" s="24" t="s">
        <v>79</v>
      </c>
      <c r="T230" s="24" t="s">
        <v>151</v>
      </c>
      <c r="U230" s="34" t="str">
        <f>Sales_data!T230</f>
        <v>priya.patel@company.com</v>
      </c>
      <c r="V230" s="24">
        <v>9529968110</v>
      </c>
      <c r="W230" s="34" t="s">
        <v>2100</v>
      </c>
      <c r="X230" s="24">
        <v>24</v>
      </c>
      <c r="Y230" s="30" t="s">
        <v>2110</v>
      </c>
      <c r="Z230" s="29">
        <v>46530</v>
      </c>
      <c r="AA230" s="24" t="s">
        <v>2175</v>
      </c>
      <c r="AB230" s="24" t="s">
        <v>2160</v>
      </c>
      <c r="AC230" s="136" t="str">
        <f t="shared" si="6"/>
        <v>Pri002Mu</v>
      </c>
      <c r="AD230" s="136" t="str">
        <f t="shared" si="7"/>
        <v>priya.patel@company.com</v>
      </c>
    </row>
    <row r="231" spans="1:30">
      <c r="A231" s="24" t="s">
        <v>1127</v>
      </c>
      <c r="B231" s="24" t="s">
        <v>71</v>
      </c>
      <c r="C231" s="24" t="s">
        <v>92</v>
      </c>
      <c r="D231" s="30">
        <v>46046</v>
      </c>
      <c r="E231" s="24" t="s">
        <v>110</v>
      </c>
      <c r="F231" s="136" t="str">
        <f>PROPER(TRIM(Sales_data!F231))</f>
        <v>Mohit Verma</v>
      </c>
      <c r="G231" s="30" t="s">
        <v>76</v>
      </c>
      <c r="H231" s="24" t="s">
        <v>77</v>
      </c>
      <c r="I231" s="24" t="s">
        <v>44</v>
      </c>
      <c r="J231" s="24" t="s">
        <v>45</v>
      </c>
      <c r="K231" s="24" t="s">
        <v>2114</v>
      </c>
      <c r="L231" s="24" t="s">
        <v>32</v>
      </c>
      <c r="M231" s="34" t="s">
        <v>97</v>
      </c>
      <c r="N231" s="37">
        <v>14</v>
      </c>
      <c r="O231" s="44">
        <v>2625</v>
      </c>
      <c r="P231" s="35">
        <v>0.05</v>
      </c>
      <c r="Q231" s="34">
        <v>34912.5</v>
      </c>
      <c r="R231" s="24">
        <v>1</v>
      </c>
      <c r="S231" s="24" t="s">
        <v>34</v>
      </c>
      <c r="T231" s="24" t="s">
        <v>61</v>
      </c>
      <c r="U231" s="34" t="str">
        <f>Sales_data!T231</f>
        <v>mohit.verma@company.com</v>
      </c>
      <c r="V231" s="24">
        <v>9102417647</v>
      </c>
      <c r="W231" s="34" t="s">
        <v>2101</v>
      </c>
      <c r="X231" s="24">
        <v>6</v>
      </c>
      <c r="Y231" s="30" t="s">
        <v>2110</v>
      </c>
      <c r="Z231" s="29">
        <v>46234</v>
      </c>
      <c r="AA231" s="24" t="s">
        <v>2173</v>
      </c>
      <c r="AB231" s="24" t="s">
        <v>2160</v>
      </c>
      <c r="AC231" s="136" t="str">
        <f t="shared" si="6"/>
        <v>Moh009De</v>
      </c>
      <c r="AD231" s="136" t="str">
        <f t="shared" si="7"/>
        <v>mohit.verma@company.com</v>
      </c>
    </row>
    <row r="232" spans="1:30">
      <c r="A232" s="24" t="s">
        <v>1131</v>
      </c>
      <c r="B232" s="24" t="s">
        <v>100</v>
      </c>
      <c r="C232" s="24" t="s">
        <v>184</v>
      </c>
      <c r="D232" s="30">
        <v>45810</v>
      </c>
      <c r="E232" s="24" t="s">
        <v>318</v>
      </c>
      <c r="F232" s="136" t="str">
        <f>PROPER(TRIM(Sales_data!F232))</f>
        <v>Priya Patel</v>
      </c>
      <c r="G232" s="30" t="s">
        <v>28</v>
      </c>
      <c r="H232" s="24" t="s">
        <v>104</v>
      </c>
      <c r="I232" s="24" t="s">
        <v>105</v>
      </c>
      <c r="J232" s="24" t="s">
        <v>106</v>
      </c>
      <c r="K232" s="24" t="s">
        <v>2111</v>
      </c>
      <c r="L232" s="24" t="s">
        <v>46</v>
      </c>
      <c r="M232" s="34" t="s">
        <v>189</v>
      </c>
      <c r="N232" s="37">
        <v>6</v>
      </c>
      <c r="O232" s="44">
        <v>525</v>
      </c>
      <c r="P232" s="35">
        <v>0.05</v>
      </c>
      <c r="Q232" s="34">
        <v>2992.5</v>
      </c>
      <c r="R232" s="24">
        <v>5</v>
      </c>
      <c r="S232" s="24" t="s">
        <v>34</v>
      </c>
      <c r="T232" s="24" t="s">
        <v>35</v>
      </c>
      <c r="U232" s="34" t="str">
        <f>Sales_data!T232</f>
        <v>priya.patel@company.com</v>
      </c>
      <c r="V232" s="24">
        <v>9630302865</v>
      </c>
      <c r="W232" s="34" t="s">
        <v>2100</v>
      </c>
      <c r="X232" s="24">
        <v>24</v>
      </c>
      <c r="Y232" s="30" t="s">
        <v>2110</v>
      </c>
      <c r="Z232" s="29">
        <v>46542</v>
      </c>
      <c r="AA232" s="24" t="s">
        <v>2175</v>
      </c>
      <c r="AB232" s="24" t="s">
        <v>2108</v>
      </c>
      <c r="AC232" s="136" t="str">
        <f t="shared" si="6"/>
        <v>Pri002Mu</v>
      </c>
      <c r="AD232" s="136" t="str">
        <f t="shared" si="7"/>
        <v>priya.patel@company.com</v>
      </c>
    </row>
    <row r="233" spans="1:30">
      <c r="A233" s="24" t="s">
        <v>1134</v>
      </c>
      <c r="B233" s="24" t="s">
        <v>100</v>
      </c>
      <c r="C233" s="24" t="s">
        <v>92</v>
      </c>
      <c r="D233" s="30">
        <v>45819</v>
      </c>
      <c r="E233" s="24" t="s">
        <v>872</v>
      </c>
      <c r="F233" s="136" t="str">
        <f>PROPER(TRIM(Sales_data!F233))</f>
        <v>Priya Patel</v>
      </c>
      <c r="G233" s="30" t="s">
        <v>28</v>
      </c>
      <c r="H233" s="24" t="s">
        <v>104</v>
      </c>
      <c r="I233" s="24" t="s">
        <v>105</v>
      </c>
      <c r="J233" s="24" t="s">
        <v>106</v>
      </c>
      <c r="K233" s="24" t="s">
        <v>2111</v>
      </c>
      <c r="L233" s="24" t="s">
        <v>32</v>
      </c>
      <c r="M233" s="34" t="s">
        <v>97</v>
      </c>
      <c r="N233" s="37">
        <v>17</v>
      </c>
      <c r="O233" s="44">
        <v>2625</v>
      </c>
      <c r="P233" s="35">
        <v>0.15</v>
      </c>
      <c r="Q233" s="34">
        <v>37931.25</v>
      </c>
      <c r="R233" s="24">
        <v>3</v>
      </c>
      <c r="S233" s="24" t="s">
        <v>2148</v>
      </c>
      <c r="T233" s="24" t="s">
        <v>49</v>
      </c>
      <c r="U233" s="34" t="str">
        <f>Sales_data!T233</f>
        <v>priya.patel@company.com</v>
      </c>
      <c r="V233" s="24">
        <v>9465353780</v>
      </c>
      <c r="W233" s="34" t="s">
        <v>2101</v>
      </c>
      <c r="X233" s="24">
        <v>6</v>
      </c>
      <c r="Y233" s="30" t="s">
        <v>2110</v>
      </c>
      <c r="Z233" s="29">
        <v>46010</v>
      </c>
      <c r="AA233" s="24" t="s">
        <v>2175</v>
      </c>
      <c r="AB233" s="24" t="s">
        <v>2108</v>
      </c>
      <c r="AC233" s="136" t="str">
        <f t="shared" si="6"/>
        <v>Pri002Mu</v>
      </c>
      <c r="AD233" s="136" t="str">
        <f t="shared" si="7"/>
        <v>priya.patel@company.com</v>
      </c>
    </row>
    <row r="234" spans="1:30">
      <c r="A234" s="24" t="s">
        <v>1137</v>
      </c>
      <c r="B234" s="24" t="s">
        <v>251</v>
      </c>
      <c r="C234" s="24" t="s">
        <v>222</v>
      </c>
      <c r="D234" s="30">
        <v>46038</v>
      </c>
      <c r="E234" s="24" t="s">
        <v>1128</v>
      </c>
      <c r="F234" s="136" t="str">
        <f>PROPER(TRIM(Sales_data!F234))</f>
        <v>Sneha Joshi</v>
      </c>
      <c r="G234" s="30" t="s">
        <v>28</v>
      </c>
      <c r="H234" s="24" t="s">
        <v>255</v>
      </c>
      <c r="I234" s="24" t="s">
        <v>114</v>
      </c>
      <c r="J234" s="24" t="s">
        <v>106</v>
      </c>
      <c r="K234" s="24" t="s">
        <v>2111</v>
      </c>
      <c r="L234" s="24" t="s">
        <v>122</v>
      </c>
      <c r="M234" s="34" t="s">
        <v>227</v>
      </c>
      <c r="N234" s="37">
        <v>7</v>
      </c>
      <c r="O234" s="44">
        <v>15</v>
      </c>
      <c r="P234" s="35">
        <v>0.05</v>
      </c>
      <c r="Q234" s="34">
        <v>99.75</v>
      </c>
      <c r="R234" s="24">
        <v>2</v>
      </c>
      <c r="S234" s="24" t="s">
        <v>2149</v>
      </c>
      <c r="T234" s="24" t="s">
        <v>151</v>
      </c>
      <c r="U234" s="34" t="str">
        <f>Sales_data!T234</f>
        <v>sneha.joshi@company.com</v>
      </c>
      <c r="V234" s="24">
        <v>9837426414</v>
      </c>
      <c r="W234" s="34" t="s">
        <v>2103</v>
      </c>
      <c r="X234" s="24">
        <v>12</v>
      </c>
      <c r="Y234" s="30" t="s">
        <v>2112</v>
      </c>
      <c r="Z234" s="29">
        <v>46411</v>
      </c>
      <c r="AA234" s="24" t="s">
        <v>2173</v>
      </c>
      <c r="AB234" s="24" t="s">
        <v>2160</v>
      </c>
      <c r="AC234" s="136" t="str">
        <f t="shared" si="6"/>
        <v>Sne006Pu</v>
      </c>
      <c r="AD234" s="136" t="str">
        <f t="shared" si="7"/>
        <v>sneha.joshi@company.com</v>
      </c>
    </row>
    <row r="235" spans="1:30">
      <c r="A235" s="24" t="s">
        <v>1140</v>
      </c>
      <c r="B235" s="24" t="s">
        <v>23</v>
      </c>
      <c r="C235" s="24" t="s">
        <v>24</v>
      </c>
      <c r="D235" s="30">
        <v>46073</v>
      </c>
      <c r="E235" s="24" t="s">
        <v>1142</v>
      </c>
      <c r="F235" s="136" t="str">
        <f>PROPER(TRIM(Sales_data!F235))</f>
        <v>Kavya Nair</v>
      </c>
      <c r="G235" s="30" t="s">
        <v>28</v>
      </c>
      <c r="H235" s="24" t="s">
        <v>29</v>
      </c>
      <c r="I235" s="24" t="s">
        <v>30</v>
      </c>
      <c r="J235" s="24" t="s">
        <v>31</v>
      </c>
      <c r="K235" s="24" t="s">
        <v>2111</v>
      </c>
      <c r="L235" s="24" t="s">
        <v>32</v>
      </c>
      <c r="M235" s="34" t="s">
        <v>33</v>
      </c>
      <c r="N235" s="37">
        <v>15</v>
      </c>
      <c r="O235" s="44">
        <v>1650</v>
      </c>
      <c r="P235" s="35">
        <v>0.2</v>
      </c>
      <c r="Q235" s="34">
        <v>19800</v>
      </c>
      <c r="R235" s="24">
        <v>2</v>
      </c>
      <c r="S235" s="24" t="s">
        <v>34</v>
      </c>
      <c r="T235" s="24" t="s">
        <v>61</v>
      </c>
      <c r="U235" s="34" t="str">
        <f>Sales_data!T235</f>
        <v>kavya.nair@company.com</v>
      </c>
      <c r="V235" s="24">
        <v>9249918272</v>
      </c>
      <c r="W235" s="34" t="s">
        <v>2101</v>
      </c>
      <c r="X235" s="24">
        <v>24</v>
      </c>
      <c r="Y235" s="30" t="s">
        <v>2108</v>
      </c>
      <c r="Z235" s="29">
        <v>46816</v>
      </c>
      <c r="AA235" s="24" t="s">
        <v>2171</v>
      </c>
      <c r="AB235" s="24" t="s">
        <v>2160</v>
      </c>
      <c r="AC235" s="136" t="str">
        <f t="shared" si="6"/>
        <v>Kav008Hy</v>
      </c>
      <c r="AD235" s="136" t="str">
        <f t="shared" si="7"/>
        <v>kavya.nair@company.com</v>
      </c>
    </row>
    <row r="236" spans="1:30">
      <c r="A236" s="24" t="s">
        <v>1145</v>
      </c>
      <c r="B236" s="24" t="s">
        <v>71</v>
      </c>
      <c r="C236" s="24" t="s">
        <v>222</v>
      </c>
      <c r="D236" s="30">
        <v>46070</v>
      </c>
      <c r="E236" s="24" t="s">
        <v>94</v>
      </c>
      <c r="F236" s="136" t="str">
        <f>PROPER(TRIM(Sales_data!F236))</f>
        <v>Mohit Verma</v>
      </c>
      <c r="G236" s="30" t="s">
        <v>76</v>
      </c>
      <c r="H236" s="24" t="s">
        <v>77</v>
      </c>
      <c r="I236" s="24" t="s">
        <v>44</v>
      </c>
      <c r="J236" s="24" t="s">
        <v>45</v>
      </c>
      <c r="K236" s="24" t="s">
        <v>2114</v>
      </c>
      <c r="L236" s="24" t="s">
        <v>122</v>
      </c>
      <c r="M236" s="34" t="s">
        <v>227</v>
      </c>
      <c r="N236" s="37">
        <v>5</v>
      </c>
      <c r="O236" s="44">
        <v>15</v>
      </c>
      <c r="P236" s="35">
        <v>0</v>
      </c>
      <c r="Q236" s="34">
        <v>75</v>
      </c>
      <c r="R236" s="24">
        <v>3</v>
      </c>
      <c r="S236" s="24" t="s">
        <v>34</v>
      </c>
      <c r="T236" s="24" t="s">
        <v>151</v>
      </c>
      <c r="U236" s="34" t="str">
        <f>Sales_data!T236</f>
        <v>mohit.verma@company.com</v>
      </c>
      <c r="V236" s="24">
        <v>9265580582</v>
      </c>
      <c r="W236" s="34" t="s">
        <v>2103</v>
      </c>
      <c r="X236" s="24">
        <v>12</v>
      </c>
      <c r="Y236" s="30" t="s">
        <v>2110</v>
      </c>
      <c r="Z236" s="29">
        <v>46443</v>
      </c>
      <c r="AA236" s="24" t="s">
        <v>2173</v>
      </c>
      <c r="AB236" s="24" t="s">
        <v>2108</v>
      </c>
      <c r="AC236" s="136" t="str">
        <f t="shared" si="6"/>
        <v>Moh009De</v>
      </c>
      <c r="AD236" s="136" t="str">
        <f t="shared" si="7"/>
        <v>mohit.verma@company.com</v>
      </c>
    </row>
    <row r="237" spans="1:30">
      <c r="A237" s="24" t="s">
        <v>1148</v>
      </c>
      <c r="B237" s="24" t="s">
        <v>127</v>
      </c>
      <c r="C237" s="24" t="s">
        <v>40</v>
      </c>
      <c r="D237" s="30">
        <v>45847</v>
      </c>
      <c r="E237" s="24" t="s">
        <v>779</v>
      </c>
      <c r="F237" s="136" t="str">
        <f>PROPER(TRIM(Sales_data!F237))</f>
        <v>Rohit Singh</v>
      </c>
      <c r="G237" s="30" t="s">
        <v>76</v>
      </c>
      <c r="H237" s="24" t="s">
        <v>131</v>
      </c>
      <c r="I237" s="24" t="s">
        <v>44</v>
      </c>
      <c r="J237" s="24" t="s">
        <v>45</v>
      </c>
      <c r="K237" s="24" t="s">
        <v>2113</v>
      </c>
      <c r="L237" s="24" t="s">
        <v>46</v>
      </c>
      <c r="M237" s="34" t="s">
        <v>47</v>
      </c>
      <c r="N237" s="37">
        <v>8</v>
      </c>
      <c r="O237" s="44">
        <v>9000</v>
      </c>
      <c r="P237" s="35">
        <v>0.2</v>
      </c>
      <c r="Q237" s="34">
        <v>57600</v>
      </c>
      <c r="R237" s="24">
        <v>3</v>
      </c>
      <c r="S237" s="24" t="s">
        <v>79</v>
      </c>
      <c r="T237" s="24" t="s">
        <v>61</v>
      </c>
      <c r="U237" s="34" t="str">
        <f>Sales_data!T237</f>
        <v>rohit.singh@company.com</v>
      </c>
      <c r="V237" s="24">
        <v>9751049833</v>
      </c>
      <c r="W237" s="34" t="s">
        <v>2101</v>
      </c>
      <c r="X237" s="24">
        <v>24</v>
      </c>
      <c r="Y237" s="30" t="s">
        <v>2112</v>
      </c>
      <c r="Z237" s="29">
        <v>46582</v>
      </c>
      <c r="AA237" s="24" t="s">
        <v>2176</v>
      </c>
      <c r="AB237" s="24" t="s">
        <v>2112</v>
      </c>
      <c r="AC237" s="136" t="str">
        <f t="shared" si="6"/>
        <v>Roh003De</v>
      </c>
      <c r="AD237" s="136" t="str">
        <f t="shared" si="7"/>
        <v>rohit.singh@company.com</v>
      </c>
    </row>
    <row r="238" spans="1:30">
      <c r="A238" s="24" t="s">
        <v>1152</v>
      </c>
      <c r="B238" s="24" t="s">
        <v>127</v>
      </c>
      <c r="C238" s="24" t="s">
        <v>92</v>
      </c>
      <c r="D238" s="30">
        <v>45696</v>
      </c>
      <c r="E238" s="24" t="s">
        <v>987</v>
      </c>
      <c r="F238" s="136" t="str">
        <f>PROPER(TRIM(Sales_data!F238))</f>
        <v>Rohit Singh</v>
      </c>
      <c r="G238" s="30" t="s">
        <v>76</v>
      </c>
      <c r="H238" s="24" t="s">
        <v>131</v>
      </c>
      <c r="I238" s="24" t="s">
        <v>44</v>
      </c>
      <c r="J238" s="24" t="s">
        <v>45</v>
      </c>
      <c r="K238" s="24" t="s">
        <v>2113</v>
      </c>
      <c r="L238" s="24" t="s">
        <v>32</v>
      </c>
      <c r="M238" s="34" t="s">
        <v>97</v>
      </c>
      <c r="N238" s="37">
        <v>4</v>
      </c>
      <c r="O238" s="44">
        <v>2625</v>
      </c>
      <c r="P238" s="35">
        <v>0.2</v>
      </c>
      <c r="Q238" s="34">
        <v>8400</v>
      </c>
      <c r="R238" s="24">
        <v>1</v>
      </c>
      <c r="S238" s="24" t="s">
        <v>79</v>
      </c>
      <c r="T238" s="24" t="s">
        <v>115</v>
      </c>
      <c r="U238" s="34" t="str">
        <f>Sales_data!T238</f>
        <v>rohit.singh@company.com</v>
      </c>
      <c r="V238" s="24">
        <v>9741671507</v>
      </c>
      <c r="W238" s="34" t="s">
        <v>2101</v>
      </c>
      <c r="X238" s="24">
        <v>6</v>
      </c>
      <c r="Y238" s="30" t="s">
        <v>2112</v>
      </c>
      <c r="Z238" s="29">
        <v>45885</v>
      </c>
      <c r="AA238" s="24" t="s">
        <v>2176</v>
      </c>
      <c r="AB238" s="24" t="s">
        <v>2160</v>
      </c>
      <c r="AC238" s="136" t="str">
        <f t="shared" si="6"/>
        <v>Roh003De</v>
      </c>
      <c r="AD238" s="136" t="str">
        <f t="shared" si="7"/>
        <v>rohit.singh@company.com</v>
      </c>
    </row>
    <row r="239" spans="1:30">
      <c r="A239" s="24" t="s">
        <v>1156</v>
      </c>
      <c r="B239" s="24" t="s">
        <v>221</v>
      </c>
      <c r="C239" s="24" t="s">
        <v>259</v>
      </c>
      <c r="D239" s="30">
        <v>45713</v>
      </c>
      <c r="E239" s="24" t="s">
        <v>1157</v>
      </c>
      <c r="F239" s="136" t="str">
        <f>PROPER(TRIM(Sales_data!F239))</f>
        <v>Vikas Mehta</v>
      </c>
      <c r="G239" s="30" t="s">
        <v>76</v>
      </c>
      <c r="H239" s="24" t="s">
        <v>226</v>
      </c>
      <c r="I239" s="24" t="s">
        <v>105</v>
      </c>
      <c r="J239" s="24" t="s">
        <v>106</v>
      </c>
      <c r="K239" s="24" t="s">
        <v>2113</v>
      </c>
      <c r="L239" s="24" t="s">
        <v>122</v>
      </c>
      <c r="M239" s="34" t="s">
        <v>263</v>
      </c>
      <c r="N239" s="37">
        <v>19</v>
      </c>
      <c r="O239" s="44">
        <v>33.75</v>
      </c>
      <c r="P239" s="35">
        <v>0.1</v>
      </c>
      <c r="Q239" s="34">
        <v>577.125</v>
      </c>
      <c r="R239" s="24">
        <v>1</v>
      </c>
      <c r="S239" s="24" t="s">
        <v>34</v>
      </c>
      <c r="T239" s="24" t="s">
        <v>115</v>
      </c>
      <c r="U239" s="34" t="str">
        <f>Sales_data!T239</f>
        <v>vikas.mehta@company.com</v>
      </c>
      <c r="V239" s="24">
        <v>9367541035</v>
      </c>
      <c r="W239" s="34" t="s">
        <v>2100</v>
      </c>
      <c r="X239" s="24">
        <v>12</v>
      </c>
      <c r="Y239" s="30" t="s">
        <v>2112</v>
      </c>
      <c r="Z239" s="29">
        <v>46085</v>
      </c>
      <c r="AA239" s="24" t="s">
        <v>2171</v>
      </c>
      <c r="AB239" s="24" t="s">
        <v>2160</v>
      </c>
      <c r="AC239" s="136" t="str">
        <f t="shared" si="6"/>
        <v>Vik005Mu</v>
      </c>
      <c r="AD239" s="136" t="str">
        <f t="shared" si="7"/>
        <v>vikas.mehta@company.com</v>
      </c>
    </row>
    <row r="240" spans="1:30">
      <c r="A240" s="24" t="s">
        <v>1160</v>
      </c>
      <c r="B240" s="24" t="s">
        <v>53</v>
      </c>
      <c r="C240" s="24" t="s">
        <v>259</v>
      </c>
      <c r="D240" s="30">
        <v>46049</v>
      </c>
      <c r="E240" s="24" t="s">
        <v>1161</v>
      </c>
      <c r="F240" s="136" t="str">
        <f>PROPER(TRIM(Sales_data!F240))</f>
        <v>Pooja Shah</v>
      </c>
      <c r="G240" s="30" t="s">
        <v>28</v>
      </c>
      <c r="H240" s="24" t="s">
        <v>58</v>
      </c>
      <c r="I240" s="24" t="s">
        <v>59</v>
      </c>
      <c r="J240" s="24" t="s">
        <v>31</v>
      </c>
      <c r="K240" s="24" t="s">
        <v>2111</v>
      </c>
      <c r="L240" s="24" t="s">
        <v>122</v>
      </c>
      <c r="M240" s="34" t="s">
        <v>263</v>
      </c>
      <c r="N240" s="37">
        <v>10</v>
      </c>
      <c r="O240" s="44">
        <v>33.75</v>
      </c>
      <c r="P240" s="35">
        <v>0</v>
      </c>
      <c r="Q240" s="34">
        <v>337.5</v>
      </c>
      <c r="R240" s="24">
        <v>4</v>
      </c>
      <c r="S240" s="24" t="s">
        <v>2149</v>
      </c>
      <c r="T240" s="24" t="s">
        <v>61</v>
      </c>
      <c r="U240" s="34" t="str">
        <f>Sales_data!T240</f>
        <v>pooja.shah@company.com</v>
      </c>
      <c r="V240" s="24">
        <v>9323696971</v>
      </c>
      <c r="W240" s="34" t="s">
        <v>2100</v>
      </c>
      <c r="X240" s="24">
        <v>12</v>
      </c>
      <c r="Y240" s="30" t="s">
        <v>2108</v>
      </c>
      <c r="Z240" s="29">
        <v>46424</v>
      </c>
      <c r="AA240" s="24" t="s">
        <v>2172</v>
      </c>
      <c r="AB240" s="24" t="s">
        <v>2108</v>
      </c>
      <c r="AC240" s="136" t="str">
        <f t="shared" si="6"/>
        <v>Poo010Be</v>
      </c>
      <c r="AD240" s="136" t="str">
        <f t="shared" si="7"/>
        <v>pooja.shah@company.com</v>
      </c>
    </row>
    <row r="241" spans="1:30">
      <c r="A241" s="24" t="s">
        <v>1164</v>
      </c>
      <c r="B241" s="24" t="s">
        <v>53</v>
      </c>
      <c r="C241" s="24" t="s">
        <v>259</v>
      </c>
      <c r="D241" s="30">
        <v>46030</v>
      </c>
      <c r="E241" s="24" t="s">
        <v>1039</v>
      </c>
      <c r="F241" s="136" t="str">
        <f>PROPER(TRIM(Sales_data!F241))</f>
        <v>Pooja Shah</v>
      </c>
      <c r="G241" s="30" t="s">
        <v>28</v>
      </c>
      <c r="H241" s="24" t="s">
        <v>58</v>
      </c>
      <c r="I241" s="24" t="s">
        <v>59</v>
      </c>
      <c r="J241" s="24" t="s">
        <v>31</v>
      </c>
      <c r="K241" s="24" t="s">
        <v>2111</v>
      </c>
      <c r="L241" s="24" t="s">
        <v>122</v>
      </c>
      <c r="M241" s="34" t="s">
        <v>263</v>
      </c>
      <c r="N241" s="37">
        <v>16</v>
      </c>
      <c r="O241" s="44">
        <v>33.75</v>
      </c>
      <c r="P241" s="35">
        <v>0.15</v>
      </c>
      <c r="Q241" s="34">
        <v>459</v>
      </c>
      <c r="R241" s="24">
        <v>3</v>
      </c>
      <c r="S241" s="24" t="s">
        <v>34</v>
      </c>
      <c r="T241" s="24" t="s">
        <v>115</v>
      </c>
      <c r="U241" s="34" t="str">
        <f>Sales_data!T241</f>
        <v>pooja.shah@company.com</v>
      </c>
      <c r="V241" s="24">
        <v>9786384529</v>
      </c>
      <c r="W241" s="34" t="s">
        <v>2100</v>
      </c>
      <c r="X241" s="24">
        <v>12</v>
      </c>
      <c r="Y241" s="30" t="s">
        <v>2108</v>
      </c>
      <c r="Z241" s="29">
        <v>46404</v>
      </c>
      <c r="AA241" s="24" t="s">
        <v>2172</v>
      </c>
      <c r="AB241" s="24" t="s">
        <v>2108</v>
      </c>
      <c r="AC241" s="136" t="str">
        <f t="shared" si="6"/>
        <v>Poo010Be</v>
      </c>
      <c r="AD241" s="136" t="str">
        <f t="shared" si="7"/>
        <v>pooja.shah@company.com</v>
      </c>
    </row>
    <row r="242" spans="1:30">
      <c r="A242" s="24" t="s">
        <v>1168</v>
      </c>
      <c r="B242" s="24" t="s">
        <v>168</v>
      </c>
      <c r="C242" s="24" t="s">
        <v>169</v>
      </c>
      <c r="D242" s="30">
        <v>45741</v>
      </c>
      <c r="E242" s="24" t="s">
        <v>120</v>
      </c>
      <c r="F242" s="136" t="str">
        <f>PROPER(TRIM(Sales_data!F242))</f>
        <v>Anita Gupta</v>
      </c>
      <c r="G242" s="30" t="s">
        <v>28</v>
      </c>
      <c r="H242" s="24" t="s">
        <v>173</v>
      </c>
      <c r="I242" s="24" t="s">
        <v>114</v>
      </c>
      <c r="J242" s="24" t="s">
        <v>106</v>
      </c>
      <c r="K242" s="24" t="s">
        <v>2111</v>
      </c>
      <c r="L242" s="24" t="s">
        <v>32</v>
      </c>
      <c r="M242" s="34" t="s">
        <v>174</v>
      </c>
      <c r="N242" s="37">
        <v>16</v>
      </c>
      <c r="O242" s="44">
        <v>6375</v>
      </c>
      <c r="P242" s="35">
        <v>0.15</v>
      </c>
      <c r="Q242" s="34">
        <v>86700</v>
      </c>
      <c r="R242" s="24">
        <v>4</v>
      </c>
      <c r="S242" s="24" t="s">
        <v>2148</v>
      </c>
      <c r="T242" s="24" t="s">
        <v>35</v>
      </c>
      <c r="U242" s="34" t="str">
        <f>Sales_data!T242</f>
        <v>anita.gupta@company.com</v>
      </c>
      <c r="V242" s="24">
        <v>9444900541</v>
      </c>
      <c r="W242" s="34" t="s">
        <v>2100</v>
      </c>
      <c r="X242" s="24">
        <v>24</v>
      </c>
      <c r="Y242" s="30" t="s">
        <v>2112</v>
      </c>
      <c r="Z242" s="29">
        <v>46473</v>
      </c>
      <c r="AA242" s="24" t="s">
        <v>2177</v>
      </c>
      <c r="AB242" s="24" t="s">
        <v>2112</v>
      </c>
      <c r="AC242" s="136" t="str">
        <f t="shared" si="6"/>
        <v>Ani004Pu</v>
      </c>
      <c r="AD242" s="136" t="str">
        <f t="shared" si="7"/>
        <v>anita.gupta@company.com</v>
      </c>
    </row>
    <row r="243" spans="1:30">
      <c r="A243" s="24" t="s">
        <v>1171</v>
      </c>
      <c r="B243" s="24" t="s">
        <v>168</v>
      </c>
      <c r="C243" s="24" t="s">
        <v>222</v>
      </c>
      <c r="D243" s="30">
        <v>45901</v>
      </c>
      <c r="E243" s="24" t="s">
        <v>1172</v>
      </c>
      <c r="F243" s="136" t="str">
        <f>PROPER(TRIM(Sales_data!F243))</f>
        <v>Anita Gupta</v>
      </c>
      <c r="G243" s="30" t="s">
        <v>28</v>
      </c>
      <c r="H243" s="24" t="s">
        <v>173</v>
      </c>
      <c r="I243" s="24" t="s">
        <v>114</v>
      </c>
      <c r="J243" s="24" t="s">
        <v>106</v>
      </c>
      <c r="K243" s="24" t="s">
        <v>2111</v>
      </c>
      <c r="L243" s="24" t="s">
        <v>122</v>
      </c>
      <c r="M243" s="34" t="s">
        <v>227</v>
      </c>
      <c r="N243" s="37">
        <v>15</v>
      </c>
      <c r="O243" s="44">
        <v>15</v>
      </c>
      <c r="P243" s="35">
        <v>0.2</v>
      </c>
      <c r="Q243" s="34">
        <v>180</v>
      </c>
      <c r="R243" s="24">
        <v>3</v>
      </c>
      <c r="S243" s="24" t="s">
        <v>2148</v>
      </c>
      <c r="T243" s="24" t="s">
        <v>49</v>
      </c>
      <c r="U243" s="34" t="str">
        <f>Sales_data!T243</f>
        <v>anita.gupta@company.com</v>
      </c>
      <c r="V243" s="24">
        <v>9108024911</v>
      </c>
      <c r="W243" s="34" t="s">
        <v>2103</v>
      </c>
      <c r="X243" s="24">
        <v>12</v>
      </c>
      <c r="Y243" s="30" t="s">
        <v>2112</v>
      </c>
      <c r="Z243" s="29">
        <v>46277</v>
      </c>
      <c r="AA243" s="24" t="s">
        <v>2177</v>
      </c>
      <c r="AB243" s="24" t="s">
        <v>2108</v>
      </c>
      <c r="AC243" s="136" t="str">
        <f t="shared" si="6"/>
        <v>Ani004Pu</v>
      </c>
      <c r="AD243" s="136" t="str">
        <f t="shared" si="7"/>
        <v>anita.gupta@company.com</v>
      </c>
    </row>
    <row r="244" spans="1:30">
      <c r="A244" s="24" t="s">
        <v>1175</v>
      </c>
      <c r="B244" s="24" t="s">
        <v>83</v>
      </c>
      <c r="C244" s="24" t="s">
        <v>118</v>
      </c>
      <c r="D244" s="30">
        <v>46031</v>
      </c>
      <c r="E244" s="24" t="s">
        <v>1176</v>
      </c>
      <c r="F244" s="136" t="str">
        <f>PROPER(TRIM(Sales_data!F244))</f>
        <v>Arjun Rao</v>
      </c>
      <c r="G244" s="30" t="s">
        <v>76</v>
      </c>
      <c r="H244" s="24" t="s">
        <v>87</v>
      </c>
      <c r="I244" s="24" t="s">
        <v>30</v>
      </c>
      <c r="J244" s="24" t="s">
        <v>31</v>
      </c>
      <c r="K244" s="24" t="s">
        <v>2109</v>
      </c>
      <c r="L244" s="24" t="s">
        <v>122</v>
      </c>
      <c r="M244" s="34" t="s">
        <v>123</v>
      </c>
      <c r="N244" s="37">
        <v>14</v>
      </c>
      <c r="O244" s="44">
        <v>45</v>
      </c>
      <c r="P244" s="35">
        <v>0.05</v>
      </c>
      <c r="Q244" s="34">
        <v>598.5</v>
      </c>
      <c r="R244" s="24">
        <v>4</v>
      </c>
      <c r="S244" s="24" t="s">
        <v>34</v>
      </c>
      <c r="T244" s="24" t="s">
        <v>49</v>
      </c>
      <c r="U244" s="34" t="str">
        <f>Sales_data!T244</f>
        <v>arjun.rao@company.com</v>
      </c>
      <c r="V244" s="24">
        <v>9897181325</v>
      </c>
      <c r="W244" s="34" t="s">
        <v>2102</v>
      </c>
      <c r="X244" s="24">
        <v>12</v>
      </c>
      <c r="Y244" s="30" t="s">
        <v>2108</v>
      </c>
      <c r="Z244" s="29">
        <v>46400</v>
      </c>
      <c r="AA244" s="24" t="s">
        <v>2174</v>
      </c>
      <c r="AB244" s="24" t="s">
        <v>2108</v>
      </c>
      <c r="AC244" s="136" t="str">
        <f t="shared" si="6"/>
        <v>Arj007Hy</v>
      </c>
      <c r="AD244" s="136" t="str">
        <f t="shared" si="7"/>
        <v>arjun.rao@company.com</v>
      </c>
    </row>
    <row r="245" spans="1:30">
      <c r="A245" s="24" t="s">
        <v>1179</v>
      </c>
      <c r="B245" s="24" t="s">
        <v>53</v>
      </c>
      <c r="C245" s="24" t="s">
        <v>72</v>
      </c>
      <c r="D245" s="30">
        <v>46158</v>
      </c>
      <c r="E245" s="24" t="s">
        <v>1181</v>
      </c>
      <c r="F245" s="136" t="str">
        <f>PROPER(TRIM(Sales_data!F245))</f>
        <v>Pooja Shah</v>
      </c>
      <c r="G245" s="30" t="s">
        <v>28</v>
      </c>
      <c r="H245" s="24" t="s">
        <v>58</v>
      </c>
      <c r="I245" s="24" t="s">
        <v>59</v>
      </c>
      <c r="J245" s="24" t="s">
        <v>31</v>
      </c>
      <c r="K245" s="24" t="s">
        <v>2111</v>
      </c>
      <c r="L245" s="24" t="s">
        <v>46</v>
      </c>
      <c r="M245" s="34" t="s">
        <v>78</v>
      </c>
      <c r="N245" s="37">
        <v>19</v>
      </c>
      <c r="O245" s="44">
        <v>900</v>
      </c>
      <c r="P245" s="35">
        <v>0.2</v>
      </c>
      <c r="Q245" s="34">
        <v>13680</v>
      </c>
      <c r="R245" s="24">
        <v>2</v>
      </c>
      <c r="S245" s="24" t="s">
        <v>34</v>
      </c>
      <c r="T245" s="24" t="s">
        <v>115</v>
      </c>
      <c r="U245" s="34" t="str">
        <f>Sales_data!T245</f>
        <v>pooja.shah@company.com</v>
      </c>
      <c r="V245" s="24">
        <v>9554719621</v>
      </c>
      <c r="W245" s="34" t="s">
        <v>2100</v>
      </c>
      <c r="X245" s="24">
        <v>6</v>
      </c>
      <c r="Y245" s="30" t="s">
        <v>2108</v>
      </c>
      <c r="Z245" s="29">
        <v>46345</v>
      </c>
      <c r="AA245" s="24" t="s">
        <v>2172</v>
      </c>
      <c r="AB245" s="24" t="s">
        <v>2160</v>
      </c>
      <c r="AC245" s="136" t="str">
        <f t="shared" si="6"/>
        <v>Poo010Be</v>
      </c>
      <c r="AD245" s="136" t="str">
        <f t="shared" si="7"/>
        <v>pooja.shah@company.com</v>
      </c>
    </row>
    <row r="246" spans="1:30">
      <c r="A246" s="24" t="s">
        <v>1184</v>
      </c>
      <c r="B246" s="24" t="s">
        <v>23</v>
      </c>
      <c r="C246" s="24" t="s">
        <v>259</v>
      </c>
      <c r="D246" s="30">
        <v>45943</v>
      </c>
      <c r="E246" s="24" t="s">
        <v>346</v>
      </c>
      <c r="F246" s="136" t="str">
        <f>PROPER(TRIM(Sales_data!F246))</f>
        <v>Kavya Nair</v>
      </c>
      <c r="G246" s="30" t="s">
        <v>28</v>
      </c>
      <c r="H246" s="24" t="s">
        <v>29</v>
      </c>
      <c r="I246" s="24" t="s">
        <v>30</v>
      </c>
      <c r="J246" s="24" t="s">
        <v>31</v>
      </c>
      <c r="K246" s="24" t="s">
        <v>2111</v>
      </c>
      <c r="L246" s="24" t="s">
        <v>122</v>
      </c>
      <c r="M246" s="34" t="s">
        <v>263</v>
      </c>
      <c r="N246" s="37">
        <v>5</v>
      </c>
      <c r="O246" s="44">
        <v>33.75</v>
      </c>
      <c r="P246" s="35">
        <v>0.15</v>
      </c>
      <c r="Q246" s="34">
        <v>143.4375</v>
      </c>
      <c r="R246" s="24">
        <v>2</v>
      </c>
      <c r="S246" s="24" t="s">
        <v>34</v>
      </c>
      <c r="T246" s="24" t="s">
        <v>61</v>
      </c>
      <c r="U246" s="34" t="str">
        <f>Sales_data!T246</f>
        <v>kavya.nair@company.com</v>
      </c>
      <c r="V246" s="24">
        <v>9815899217</v>
      </c>
      <c r="W246" s="34" t="s">
        <v>2100</v>
      </c>
      <c r="X246" s="24">
        <v>12</v>
      </c>
      <c r="Y246" s="30" t="s">
        <v>2108</v>
      </c>
      <c r="Z246" s="29">
        <v>46309</v>
      </c>
      <c r="AA246" s="24" t="s">
        <v>2171</v>
      </c>
      <c r="AB246" s="24" t="s">
        <v>2160</v>
      </c>
      <c r="AC246" s="136" t="str">
        <f t="shared" si="6"/>
        <v>Kav008Hy</v>
      </c>
      <c r="AD246" s="136" t="str">
        <f t="shared" si="7"/>
        <v>kavya.nair@company.com</v>
      </c>
    </row>
    <row r="247" spans="1:30">
      <c r="A247" s="24" t="s">
        <v>1187</v>
      </c>
      <c r="B247" s="24" t="s">
        <v>327</v>
      </c>
      <c r="C247" s="24" t="s">
        <v>184</v>
      </c>
      <c r="D247" s="30">
        <v>45802</v>
      </c>
      <c r="E247" s="24" t="s">
        <v>1188</v>
      </c>
      <c r="F247" s="136" t="str">
        <f>PROPER(TRIM(Sales_data!F247))</f>
        <v>Amit Sharma</v>
      </c>
      <c r="G247" s="30" t="s">
        <v>76</v>
      </c>
      <c r="H247" s="24" t="s">
        <v>331</v>
      </c>
      <c r="I247" s="24" t="s">
        <v>114</v>
      </c>
      <c r="J247" s="24" t="s">
        <v>106</v>
      </c>
      <c r="K247" s="24" t="s">
        <v>2109</v>
      </c>
      <c r="L247" s="24" t="s">
        <v>46</v>
      </c>
      <c r="M247" s="34" t="s">
        <v>189</v>
      </c>
      <c r="N247" s="37">
        <v>19</v>
      </c>
      <c r="O247" s="44">
        <v>525</v>
      </c>
      <c r="P247" s="35">
        <v>0.05</v>
      </c>
      <c r="Q247" s="34">
        <v>9476.25</v>
      </c>
      <c r="R247" s="24">
        <v>5</v>
      </c>
      <c r="S247" s="24" t="s">
        <v>2149</v>
      </c>
      <c r="T247" s="24" t="s">
        <v>151</v>
      </c>
      <c r="U247" s="34" t="str">
        <f>Sales_data!T247</f>
        <v>amit.sharma@company.com</v>
      </c>
      <c r="V247" s="24">
        <v>9308497039</v>
      </c>
      <c r="W247" s="34" t="s">
        <v>2100</v>
      </c>
      <c r="X247" s="24">
        <v>24</v>
      </c>
      <c r="Y247" s="30" t="s">
        <v>2108</v>
      </c>
      <c r="Z247" s="29">
        <v>46539</v>
      </c>
      <c r="AA247" s="24" t="s">
        <v>2171</v>
      </c>
      <c r="AB247" s="24" t="s">
        <v>2108</v>
      </c>
      <c r="AC247" s="136" t="str">
        <f t="shared" si="6"/>
        <v>Ami001Pu</v>
      </c>
      <c r="AD247" s="136" t="str">
        <f t="shared" si="7"/>
        <v>amit.sharma@company.com</v>
      </c>
    </row>
    <row r="248" spans="1:30">
      <c r="A248" s="24" t="s">
        <v>1191</v>
      </c>
      <c r="B248" s="24" t="s">
        <v>127</v>
      </c>
      <c r="C248" s="24" t="s">
        <v>118</v>
      </c>
      <c r="D248" s="30">
        <v>46025</v>
      </c>
      <c r="E248" s="24" t="s">
        <v>84</v>
      </c>
      <c r="F248" s="136" t="str">
        <f>PROPER(TRIM(Sales_data!F248))</f>
        <v>Rohit Singh</v>
      </c>
      <c r="G248" s="30" t="s">
        <v>76</v>
      </c>
      <c r="H248" s="24" t="s">
        <v>131</v>
      </c>
      <c r="I248" s="24" t="s">
        <v>44</v>
      </c>
      <c r="J248" s="24" t="s">
        <v>45</v>
      </c>
      <c r="K248" s="24" t="s">
        <v>2113</v>
      </c>
      <c r="L248" s="24" t="s">
        <v>122</v>
      </c>
      <c r="M248" s="34" t="s">
        <v>123</v>
      </c>
      <c r="N248" s="37">
        <v>7</v>
      </c>
      <c r="O248" s="44">
        <v>45</v>
      </c>
      <c r="P248" s="35">
        <v>0</v>
      </c>
      <c r="Q248" s="34">
        <v>315</v>
      </c>
      <c r="R248" s="24">
        <v>4</v>
      </c>
      <c r="S248" s="24" t="s">
        <v>34</v>
      </c>
      <c r="T248" s="24" t="s">
        <v>115</v>
      </c>
      <c r="U248" s="34" t="str">
        <f>Sales_data!T248</f>
        <v>rohit.singh@company.com</v>
      </c>
      <c r="V248" s="24">
        <v>9882054354</v>
      </c>
      <c r="W248" s="34" t="s">
        <v>2102</v>
      </c>
      <c r="X248" s="24">
        <v>12</v>
      </c>
      <c r="Y248" s="30" t="s">
        <v>2112</v>
      </c>
      <c r="Z248" s="29">
        <v>46391</v>
      </c>
      <c r="AA248" s="24" t="s">
        <v>2176</v>
      </c>
      <c r="AB248" s="24" t="s">
        <v>2108</v>
      </c>
      <c r="AC248" s="136" t="str">
        <f t="shared" si="6"/>
        <v>Roh003De</v>
      </c>
      <c r="AD248" s="136" t="str">
        <f t="shared" si="7"/>
        <v>rohit.singh@company.com</v>
      </c>
    </row>
    <row r="249" spans="1:30">
      <c r="A249" s="24" t="s">
        <v>1194</v>
      </c>
      <c r="B249" s="24" t="s">
        <v>71</v>
      </c>
      <c r="C249" s="24" t="s">
        <v>24</v>
      </c>
      <c r="D249" s="30">
        <v>46013</v>
      </c>
      <c r="E249" s="24" t="s">
        <v>711</v>
      </c>
      <c r="F249" s="136" t="str">
        <f>PROPER(TRIM(Sales_data!F249))</f>
        <v>Mohit Verma</v>
      </c>
      <c r="G249" s="30" t="s">
        <v>76</v>
      </c>
      <c r="H249" s="24" t="s">
        <v>77</v>
      </c>
      <c r="I249" s="24" t="s">
        <v>44</v>
      </c>
      <c r="J249" s="24" t="s">
        <v>45</v>
      </c>
      <c r="K249" s="24" t="s">
        <v>2114</v>
      </c>
      <c r="L249" s="24" t="s">
        <v>32</v>
      </c>
      <c r="M249" s="34" t="s">
        <v>33</v>
      </c>
      <c r="N249" s="37">
        <v>13</v>
      </c>
      <c r="O249" s="44">
        <v>1650</v>
      </c>
      <c r="P249" s="35">
        <v>0.1</v>
      </c>
      <c r="Q249" s="34">
        <v>19305</v>
      </c>
      <c r="R249" s="24">
        <v>1</v>
      </c>
      <c r="S249" s="24" t="s">
        <v>79</v>
      </c>
      <c r="T249" s="24" t="s">
        <v>151</v>
      </c>
      <c r="U249" s="34" t="str">
        <f>Sales_data!T249</f>
        <v>mohit.verma@company.com</v>
      </c>
      <c r="V249" s="24">
        <v>9193016830</v>
      </c>
      <c r="W249" s="34" t="s">
        <v>2101</v>
      </c>
      <c r="X249" s="24">
        <v>24</v>
      </c>
      <c r="Y249" s="30" t="s">
        <v>2110</v>
      </c>
      <c r="Z249" s="29">
        <v>46754</v>
      </c>
      <c r="AA249" s="24" t="s">
        <v>2173</v>
      </c>
      <c r="AB249" s="24" t="s">
        <v>2160</v>
      </c>
      <c r="AC249" s="136" t="str">
        <f t="shared" si="6"/>
        <v>Moh009De</v>
      </c>
      <c r="AD249" s="136" t="str">
        <f t="shared" si="7"/>
        <v>mohit.verma@company.com</v>
      </c>
    </row>
    <row r="250" spans="1:30">
      <c r="A250" s="24" t="s">
        <v>1197</v>
      </c>
      <c r="B250" s="24" t="s">
        <v>71</v>
      </c>
      <c r="C250" s="24" t="s">
        <v>24</v>
      </c>
      <c r="D250" s="30">
        <v>46019</v>
      </c>
      <c r="E250" s="24" t="s">
        <v>1199</v>
      </c>
      <c r="F250" s="136" t="str">
        <f>PROPER(TRIM(Sales_data!F250))</f>
        <v>Mohit Verma</v>
      </c>
      <c r="G250" s="30" t="s">
        <v>76</v>
      </c>
      <c r="H250" s="24" t="s">
        <v>77</v>
      </c>
      <c r="I250" s="24" t="s">
        <v>44</v>
      </c>
      <c r="J250" s="24" t="s">
        <v>45</v>
      </c>
      <c r="K250" s="24" t="s">
        <v>2114</v>
      </c>
      <c r="L250" s="24" t="s">
        <v>32</v>
      </c>
      <c r="M250" s="34" t="s">
        <v>33</v>
      </c>
      <c r="N250" s="37">
        <v>9</v>
      </c>
      <c r="O250" s="44">
        <v>1650</v>
      </c>
      <c r="P250" s="35">
        <v>0.1</v>
      </c>
      <c r="Q250" s="34">
        <v>13365</v>
      </c>
      <c r="R250" s="24">
        <v>2</v>
      </c>
      <c r="S250" s="24" t="s">
        <v>1201</v>
      </c>
      <c r="T250" s="24" t="s">
        <v>61</v>
      </c>
      <c r="U250" s="34" t="str">
        <f>Sales_data!T250</f>
        <v>mohit.verma@company.com</v>
      </c>
      <c r="V250" s="24">
        <v>9921470418</v>
      </c>
      <c r="W250" s="34" t="s">
        <v>2101</v>
      </c>
      <c r="X250" s="24">
        <v>24</v>
      </c>
      <c r="Y250" s="30" t="s">
        <v>2110</v>
      </c>
      <c r="Z250" s="29">
        <v>46757</v>
      </c>
      <c r="AA250" s="24" t="s">
        <v>2173</v>
      </c>
      <c r="AB250" s="24" t="s">
        <v>2160</v>
      </c>
      <c r="AC250" s="136" t="str">
        <f t="shared" si="6"/>
        <v>Moh009De</v>
      </c>
      <c r="AD250" s="136" t="str">
        <f t="shared" si="7"/>
        <v>mohit.verma@company.com</v>
      </c>
    </row>
    <row r="251" spans="1:30">
      <c r="A251" s="24" t="s">
        <v>1203</v>
      </c>
      <c r="B251" s="24" t="s">
        <v>327</v>
      </c>
      <c r="C251" s="24" t="s">
        <v>169</v>
      </c>
      <c r="D251" s="30">
        <v>45792</v>
      </c>
      <c r="E251" s="24" t="s">
        <v>1204</v>
      </c>
      <c r="F251" s="136" t="str">
        <f>PROPER(TRIM(Sales_data!F251))</f>
        <v>Amit Sharma</v>
      </c>
      <c r="G251" s="30" t="s">
        <v>76</v>
      </c>
      <c r="H251" s="24" t="s">
        <v>331</v>
      </c>
      <c r="I251" s="24" t="s">
        <v>114</v>
      </c>
      <c r="J251" s="24" t="s">
        <v>106</v>
      </c>
      <c r="K251" s="24" t="s">
        <v>2109</v>
      </c>
      <c r="L251" s="24" t="s">
        <v>32</v>
      </c>
      <c r="M251" s="34" t="s">
        <v>174</v>
      </c>
      <c r="N251" s="37">
        <v>6</v>
      </c>
      <c r="O251" s="44">
        <v>6375</v>
      </c>
      <c r="P251" s="35">
        <v>0.15</v>
      </c>
      <c r="Q251" s="34">
        <v>32512.5</v>
      </c>
      <c r="R251" s="24">
        <v>2</v>
      </c>
      <c r="S251" s="24" t="s">
        <v>34</v>
      </c>
      <c r="T251" s="24" t="s">
        <v>151</v>
      </c>
      <c r="U251" s="34" t="str">
        <f>Sales_data!T251</f>
        <v>amit.sharma@company.com</v>
      </c>
      <c r="V251" s="24">
        <v>9686979026</v>
      </c>
      <c r="W251" s="34" t="s">
        <v>2100</v>
      </c>
      <c r="X251" s="24">
        <v>24</v>
      </c>
      <c r="Y251" s="30" t="s">
        <v>2108</v>
      </c>
      <c r="Z251" s="29">
        <v>46524</v>
      </c>
      <c r="AA251" s="24" t="s">
        <v>2171</v>
      </c>
      <c r="AB251" s="24" t="s">
        <v>2160</v>
      </c>
      <c r="AC251" s="136" t="str">
        <f t="shared" si="6"/>
        <v>Ami001Pu</v>
      </c>
      <c r="AD251" s="136" t="str">
        <f t="shared" si="7"/>
        <v>amit.sharma@company.com</v>
      </c>
    </row>
    <row r="252" spans="1:30">
      <c r="A252" s="24" t="s">
        <v>1207</v>
      </c>
      <c r="B252" s="24" t="s">
        <v>221</v>
      </c>
      <c r="C252" s="24" t="s">
        <v>24</v>
      </c>
      <c r="D252" s="30">
        <v>46070</v>
      </c>
      <c r="E252" s="24" t="s">
        <v>94</v>
      </c>
      <c r="F252" s="136" t="str">
        <f>PROPER(TRIM(Sales_data!F252))</f>
        <v>Vikas Mehta</v>
      </c>
      <c r="G252" s="30" t="s">
        <v>76</v>
      </c>
      <c r="H252" s="24" t="s">
        <v>226</v>
      </c>
      <c r="I252" s="24" t="s">
        <v>105</v>
      </c>
      <c r="J252" s="24" t="s">
        <v>106</v>
      </c>
      <c r="K252" s="24" t="s">
        <v>2113</v>
      </c>
      <c r="L252" s="24" t="s">
        <v>32</v>
      </c>
      <c r="M252" s="34" t="s">
        <v>33</v>
      </c>
      <c r="N252" s="37">
        <v>9</v>
      </c>
      <c r="O252" s="44">
        <v>1650</v>
      </c>
      <c r="P252" s="35">
        <v>0.1</v>
      </c>
      <c r="Q252" s="34">
        <v>13365</v>
      </c>
      <c r="R252" s="24">
        <v>3</v>
      </c>
      <c r="S252" s="24" t="s">
        <v>79</v>
      </c>
      <c r="T252" s="24" t="s">
        <v>35</v>
      </c>
      <c r="U252" s="34" t="str">
        <f>Sales_data!T252</f>
        <v>vikas.mehta@company.com</v>
      </c>
      <c r="V252" s="24">
        <v>9569007422</v>
      </c>
      <c r="W252" s="34" t="s">
        <v>2101</v>
      </c>
      <c r="X252" s="24">
        <v>24</v>
      </c>
      <c r="Y252" s="30" t="s">
        <v>2112</v>
      </c>
      <c r="Z252" s="29">
        <v>46808</v>
      </c>
      <c r="AA252" s="24" t="s">
        <v>2171</v>
      </c>
      <c r="AB252" s="24" t="s">
        <v>2108</v>
      </c>
      <c r="AC252" s="136" t="str">
        <f t="shared" si="6"/>
        <v>Vik005Mu</v>
      </c>
      <c r="AD252" s="136" t="str">
        <f t="shared" si="7"/>
        <v>vikas.mehta@company.com</v>
      </c>
    </row>
    <row r="253" spans="1:30">
      <c r="A253" s="24" t="s">
        <v>1210</v>
      </c>
      <c r="B253" s="24" t="s">
        <v>23</v>
      </c>
      <c r="C253" s="24" t="s">
        <v>169</v>
      </c>
      <c r="D253" s="30">
        <v>45739</v>
      </c>
      <c r="E253" s="24" t="s">
        <v>876</v>
      </c>
      <c r="F253" s="136" t="str">
        <f>PROPER(TRIM(Sales_data!F253))</f>
        <v>Kavya Nair</v>
      </c>
      <c r="G253" s="30" t="s">
        <v>28</v>
      </c>
      <c r="H253" s="24" t="s">
        <v>29</v>
      </c>
      <c r="I253" s="24" t="s">
        <v>30</v>
      </c>
      <c r="J253" s="24" t="s">
        <v>31</v>
      </c>
      <c r="K253" s="24" t="s">
        <v>2111</v>
      </c>
      <c r="L253" s="24" t="s">
        <v>32</v>
      </c>
      <c r="M253" s="34" t="s">
        <v>174</v>
      </c>
      <c r="N253" s="37">
        <v>16</v>
      </c>
      <c r="O253" s="44">
        <v>6375</v>
      </c>
      <c r="P253" s="35">
        <v>0</v>
      </c>
      <c r="Q253" s="34">
        <v>102000</v>
      </c>
      <c r="R253" s="24">
        <v>5</v>
      </c>
      <c r="S253" s="24" t="s">
        <v>2149</v>
      </c>
      <c r="T253" s="24" t="s">
        <v>115</v>
      </c>
      <c r="U253" s="34" t="str">
        <f>Sales_data!T253</f>
        <v>kavya.nair@company.com</v>
      </c>
      <c r="V253" s="24">
        <v>9180820441</v>
      </c>
      <c r="W253" s="34" t="s">
        <v>2100</v>
      </c>
      <c r="X253" s="24">
        <v>24</v>
      </c>
      <c r="Y253" s="30" t="s">
        <v>2108</v>
      </c>
      <c r="Z253" s="29">
        <v>46472</v>
      </c>
      <c r="AA253" s="24" t="s">
        <v>2171</v>
      </c>
      <c r="AB253" s="24" t="s">
        <v>2110</v>
      </c>
      <c r="AC253" s="136" t="str">
        <f t="shared" si="6"/>
        <v>Kav008Hy</v>
      </c>
      <c r="AD253" s="136" t="str">
        <f t="shared" si="7"/>
        <v>kavya.nair@company.com</v>
      </c>
    </row>
    <row r="254" spans="1:30">
      <c r="A254" s="24" t="s">
        <v>1213</v>
      </c>
      <c r="B254" s="24" t="s">
        <v>327</v>
      </c>
      <c r="C254" s="24" t="s">
        <v>72</v>
      </c>
      <c r="D254" s="30">
        <v>46006</v>
      </c>
      <c r="E254" s="24" t="s">
        <v>692</v>
      </c>
      <c r="F254" s="136" t="str">
        <f>PROPER(TRIM(Sales_data!F254))</f>
        <v>Amit Sharma</v>
      </c>
      <c r="G254" s="30" t="s">
        <v>76</v>
      </c>
      <c r="H254" s="24" t="s">
        <v>331</v>
      </c>
      <c r="I254" s="24" t="s">
        <v>114</v>
      </c>
      <c r="J254" s="24" t="s">
        <v>106</v>
      </c>
      <c r="K254" s="24" t="s">
        <v>2109</v>
      </c>
      <c r="L254" s="24" t="s">
        <v>46</v>
      </c>
      <c r="M254" s="34" t="s">
        <v>78</v>
      </c>
      <c r="N254" s="37">
        <v>10</v>
      </c>
      <c r="O254" s="44">
        <v>900</v>
      </c>
      <c r="P254" s="35">
        <v>0.15</v>
      </c>
      <c r="Q254" s="34">
        <v>7650</v>
      </c>
      <c r="R254" s="24">
        <v>5</v>
      </c>
      <c r="S254" s="24" t="s">
        <v>34</v>
      </c>
      <c r="T254" s="24" t="s">
        <v>49</v>
      </c>
      <c r="U254" s="34" t="str">
        <f>Sales_data!T254</f>
        <v>amit.sharma@company.com</v>
      </c>
      <c r="V254" s="24">
        <v>9769075826</v>
      </c>
      <c r="W254" s="34" t="s">
        <v>2100</v>
      </c>
      <c r="X254" s="24">
        <v>6</v>
      </c>
      <c r="Y254" s="30" t="s">
        <v>2108</v>
      </c>
      <c r="Z254" s="29">
        <v>46189</v>
      </c>
      <c r="AA254" s="24" t="s">
        <v>2171</v>
      </c>
      <c r="AB254" s="24" t="s">
        <v>2108</v>
      </c>
      <c r="AC254" s="136" t="str">
        <f t="shared" si="6"/>
        <v>Ami001Pu</v>
      </c>
      <c r="AD254" s="136" t="str">
        <f t="shared" si="7"/>
        <v>amit.sharma@company.com</v>
      </c>
    </row>
    <row r="255" spans="1:30">
      <c r="A255" s="24" t="s">
        <v>1217</v>
      </c>
      <c r="B255" s="24" t="s">
        <v>127</v>
      </c>
      <c r="C255" s="24" t="s">
        <v>40</v>
      </c>
      <c r="D255" s="30">
        <v>45721</v>
      </c>
      <c r="E255" s="24" t="s">
        <v>136</v>
      </c>
      <c r="F255" s="136" t="str">
        <f>PROPER(TRIM(Sales_data!F255))</f>
        <v>Rohit Singh</v>
      </c>
      <c r="G255" s="30" t="s">
        <v>76</v>
      </c>
      <c r="H255" s="24" t="s">
        <v>131</v>
      </c>
      <c r="I255" s="24" t="s">
        <v>44</v>
      </c>
      <c r="J255" s="24" t="s">
        <v>45</v>
      </c>
      <c r="K255" s="24" t="s">
        <v>2113</v>
      </c>
      <c r="L255" s="24" t="s">
        <v>46</v>
      </c>
      <c r="M255" s="34" t="s">
        <v>47</v>
      </c>
      <c r="N255" s="37">
        <v>7</v>
      </c>
      <c r="O255" s="44">
        <v>9000</v>
      </c>
      <c r="P255" s="35">
        <v>0</v>
      </c>
      <c r="Q255" s="34">
        <v>63000</v>
      </c>
      <c r="R255" s="24">
        <v>1</v>
      </c>
      <c r="S255" s="24" t="s">
        <v>2149</v>
      </c>
      <c r="T255" s="24" t="s">
        <v>151</v>
      </c>
      <c r="U255" s="34" t="str">
        <f>Sales_data!T255</f>
        <v>rohit.singh@company.com</v>
      </c>
      <c r="V255" s="24">
        <v>9467916296</v>
      </c>
      <c r="W255" s="34" t="s">
        <v>2101</v>
      </c>
      <c r="X255" s="24">
        <v>24</v>
      </c>
      <c r="Y255" s="30" t="s">
        <v>2112</v>
      </c>
      <c r="Z255" s="29">
        <v>46461</v>
      </c>
      <c r="AA255" s="24" t="s">
        <v>2176</v>
      </c>
      <c r="AB255" s="24" t="s">
        <v>2160</v>
      </c>
      <c r="AC255" s="136" t="str">
        <f t="shared" si="6"/>
        <v>Roh003De</v>
      </c>
      <c r="AD255" s="136" t="str">
        <f t="shared" si="7"/>
        <v>rohit.singh@company.com</v>
      </c>
    </row>
    <row r="256" spans="1:30">
      <c r="A256" s="24" t="s">
        <v>1220</v>
      </c>
      <c r="B256" s="24" t="s">
        <v>221</v>
      </c>
      <c r="C256" s="24" t="s">
        <v>40</v>
      </c>
      <c r="D256" s="30">
        <v>45919</v>
      </c>
      <c r="E256" s="24" t="s">
        <v>1221</v>
      </c>
      <c r="F256" s="136" t="str">
        <f>PROPER(TRIM(Sales_data!F256))</f>
        <v>Vikas Mehta</v>
      </c>
      <c r="G256" s="30" t="s">
        <v>76</v>
      </c>
      <c r="H256" s="24" t="s">
        <v>226</v>
      </c>
      <c r="I256" s="24" t="s">
        <v>105</v>
      </c>
      <c r="J256" s="24" t="s">
        <v>106</v>
      </c>
      <c r="K256" s="24" t="s">
        <v>2113</v>
      </c>
      <c r="L256" s="24" t="s">
        <v>46</v>
      </c>
      <c r="M256" s="34" t="s">
        <v>47</v>
      </c>
      <c r="N256" s="37">
        <v>3</v>
      </c>
      <c r="O256" s="44">
        <v>9000</v>
      </c>
      <c r="P256" s="35">
        <v>0.1</v>
      </c>
      <c r="Q256" s="34">
        <v>24300</v>
      </c>
      <c r="R256" s="24">
        <v>4</v>
      </c>
      <c r="S256" s="24" t="s">
        <v>79</v>
      </c>
      <c r="T256" s="24" t="s">
        <v>151</v>
      </c>
      <c r="U256" s="34" t="str">
        <f>Sales_data!T256</f>
        <v>vikas.mehta@company.com</v>
      </c>
      <c r="V256" s="24">
        <v>9477052923</v>
      </c>
      <c r="W256" s="34" t="s">
        <v>2101</v>
      </c>
      <c r="X256" s="24">
        <v>24</v>
      </c>
      <c r="Y256" s="30" t="s">
        <v>2112</v>
      </c>
      <c r="Z256" s="29">
        <v>46661</v>
      </c>
      <c r="AA256" s="24" t="s">
        <v>2171</v>
      </c>
      <c r="AB256" s="24" t="s">
        <v>2108</v>
      </c>
      <c r="AC256" s="136" t="str">
        <f t="shared" si="6"/>
        <v>Vik005Mu</v>
      </c>
      <c r="AD256" s="136" t="str">
        <f t="shared" si="7"/>
        <v>vikas.mehta@company.com</v>
      </c>
    </row>
    <row r="257" spans="1:30">
      <c r="A257" s="24" t="s">
        <v>1224</v>
      </c>
      <c r="B257" s="24" t="s">
        <v>221</v>
      </c>
      <c r="C257" s="24" t="s">
        <v>40</v>
      </c>
      <c r="D257" s="30">
        <v>45964</v>
      </c>
      <c r="E257" s="24" t="s">
        <v>927</v>
      </c>
      <c r="F257" s="136" t="str">
        <f>PROPER(TRIM(Sales_data!F257))</f>
        <v>Vikas Mehta</v>
      </c>
      <c r="G257" s="30" t="s">
        <v>76</v>
      </c>
      <c r="H257" s="24" t="s">
        <v>226</v>
      </c>
      <c r="I257" s="24" t="s">
        <v>105</v>
      </c>
      <c r="J257" s="24" t="s">
        <v>106</v>
      </c>
      <c r="K257" s="24" t="s">
        <v>2113</v>
      </c>
      <c r="L257" s="24" t="s">
        <v>46</v>
      </c>
      <c r="M257" s="34" t="s">
        <v>47</v>
      </c>
      <c r="N257" s="37">
        <v>4</v>
      </c>
      <c r="O257" s="44">
        <v>9000</v>
      </c>
      <c r="P257" s="35">
        <v>0.15</v>
      </c>
      <c r="Q257" s="34">
        <v>30600</v>
      </c>
      <c r="R257" s="24">
        <v>3</v>
      </c>
      <c r="S257" s="24" t="s">
        <v>79</v>
      </c>
      <c r="T257" s="24" t="s">
        <v>35</v>
      </c>
      <c r="U257" s="34" t="str">
        <f>Sales_data!T257</f>
        <v>vikas.mehta@company.com</v>
      </c>
      <c r="V257" s="24">
        <v>9184311420</v>
      </c>
      <c r="W257" s="34" t="s">
        <v>2101</v>
      </c>
      <c r="X257" s="24">
        <v>24</v>
      </c>
      <c r="Y257" s="30" t="s">
        <v>2112</v>
      </c>
      <c r="Z257" s="29">
        <v>46700</v>
      </c>
      <c r="AA257" s="24" t="s">
        <v>2171</v>
      </c>
      <c r="AB257" s="24" t="s">
        <v>2108</v>
      </c>
      <c r="AC257" s="136" t="str">
        <f t="shared" si="6"/>
        <v>Vik005Mu</v>
      </c>
      <c r="AD257" s="136" t="str">
        <f t="shared" si="7"/>
        <v>vikas.mehta@company.com</v>
      </c>
    </row>
    <row r="258" spans="1:30">
      <c r="A258" s="24" t="s">
        <v>1228</v>
      </c>
      <c r="B258" s="24" t="s">
        <v>127</v>
      </c>
      <c r="C258" s="24" t="s">
        <v>40</v>
      </c>
      <c r="D258" s="30">
        <v>45824</v>
      </c>
      <c r="E258" s="24" t="s">
        <v>498</v>
      </c>
      <c r="F258" s="136" t="str">
        <f>PROPER(TRIM(Sales_data!F258))</f>
        <v>Rohit Singh</v>
      </c>
      <c r="G258" s="30" t="s">
        <v>76</v>
      </c>
      <c r="H258" s="24" t="s">
        <v>131</v>
      </c>
      <c r="I258" s="24" t="s">
        <v>44</v>
      </c>
      <c r="J258" s="24" t="s">
        <v>45</v>
      </c>
      <c r="K258" s="24" t="s">
        <v>2113</v>
      </c>
      <c r="L258" s="24" t="s">
        <v>46</v>
      </c>
      <c r="M258" s="34" t="s">
        <v>47</v>
      </c>
      <c r="N258" s="37">
        <v>13</v>
      </c>
      <c r="O258" s="44">
        <v>9000</v>
      </c>
      <c r="P258" s="35">
        <v>0.1</v>
      </c>
      <c r="Q258" s="34">
        <v>105300</v>
      </c>
      <c r="R258" s="24">
        <v>2</v>
      </c>
      <c r="S258" s="24" t="s">
        <v>34</v>
      </c>
      <c r="T258" s="24" t="s">
        <v>151</v>
      </c>
      <c r="U258" s="34" t="str">
        <f>Sales_data!T258</f>
        <v>rohit.singh@company.com</v>
      </c>
      <c r="V258" s="24">
        <v>9630913127</v>
      </c>
      <c r="W258" s="34" t="s">
        <v>2101</v>
      </c>
      <c r="X258" s="24">
        <v>24</v>
      </c>
      <c r="Y258" s="30" t="s">
        <v>2112</v>
      </c>
      <c r="Z258" s="29">
        <v>46556</v>
      </c>
      <c r="AA258" s="24" t="s">
        <v>2176</v>
      </c>
      <c r="AB258" s="24" t="s">
        <v>2160</v>
      </c>
      <c r="AC258" s="136" t="str">
        <f t="shared" si="6"/>
        <v>Roh003De</v>
      </c>
      <c r="AD258" s="136" t="str">
        <f t="shared" si="7"/>
        <v>rohit.singh@company.com</v>
      </c>
    </row>
    <row r="259" spans="1:30">
      <c r="A259" s="24" t="s">
        <v>1231</v>
      </c>
      <c r="B259" s="24" t="s">
        <v>23</v>
      </c>
      <c r="C259" s="24" t="s">
        <v>92</v>
      </c>
      <c r="D259" s="30">
        <v>45812</v>
      </c>
      <c r="E259" s="24" t="s">
        <v>679</v>
      </c>
      <c r="F259" s="136" t="str">
        <f>PROPER(TRIM(Sales_data!F259))</f>
        <v>Kavya Nair</v>
      </c>
      <c r="G259" s="30" t="s">
        <v>28</v>
      </c>
      <c r="H259" s="24" t="s">
        <v>29</v>
      </c>
      <c r="I259" s="24" t="s">
        <v>30</v>
      </c>
      <c r="J259" s="24" t="s">
        <v>31</v>
      </c>
      <c r="K259" s="24" t="s">
        <v>2111</v>
      </c>
      <c r="L259" s="24" t="s">
        <v>32</v>
      </c>
      <c r="M259" s="34" t="s">
        <v>97</v>
      </c>
      <c r="N259" s="37">
        <v>19</v>
      </c>
      <c r="O259" s="44">
        <v>2625</v>
      </c>
      <c r="P259" s="35">
        <v>0.2</v>
      </c>
      <c r="Q259" s="34">
        <v>39900</v>
      </c>
      <c r="R259" s="24">
        <v>1</v>
      </c>
      <c r="S259" s="24" t="s">
        <v>34</v>
      </c>
      <c r="T259" s="24" t="s">
        <v>61</v>
      </c>
      <c r="U259" s="34" t="str">
        <f>Sales_data!T259</f>
        <v>kavya.nair@company.com</v>
      </c>
      <c r="V259" s="24">
        <v>9997515828</v>
      </c>
      <c r="W259" s="34" t="s">
        <v>2101</v>
      </c>
      <c r="X259" s="24">
        <v>6</v>
      </c>
      <c r="Y259" s="30" t="s">
        <v>2108</v>
      </c>
      <c r="Z259" s="29">
        <v>46002</v>
      </c>
      <c r="AA259" s="24" t="s">
        <v>2171</v>
      </c>
      <c r="AB259" s="24" t="s">
        <v>2160</v>
      </c>
      <c r="AC259" s="136" t="str">
        <f t="shared" ref="AC259:AC322" si="8">PROPER(LEFT(TRIM(F259), 3)) &amp; RIGHT(TRIM(B259), 3) &amp; PROPER(LEFT(TRIM(I259), 2))</f>
        <v>Kav008Hy</v>
      </c>
      <c r="AD259" s="136" t="str">
        <f t="shared" ref="AD259:AD322" si="9">IF(ISNUMBER(SEARCH("@", U259)), LOWER(TRIM(U259)), "Invalid Email")</f>
        <v>kavya.nair@company.com</v>
      </c>
    </row>
    <row r="260" spans="1:30">
      <c r="A260" s="24" t="s">
        <v>1234</v>
      </c>
      <c r="B260" s="24" t="s">
        <v>23</v>
      </c>
      <c r="C260" s="24" t="s">
        <v>24</v>
      </c>
      <c r="D260" s="30">
        <v>45695</v>
      </c>
      <c r="E260" s="24" t="s">
        <v>436</v>
      </c>
      <c r="F260" s="136" t="str">
        <f>PROPER(TRIM(Sales_data!F260))</f>
        <v>Kavya Nair</v>
      </c>
      <c r="G260" s="30" t="s">
        <v>28</v>
      </c>
      <c r="H260" s="24" t="s">
        <v>29</v>
      </c>
      <c r="I260" s="24" t="s">
        <v>30</v>
      </c>
      <c r="J260" s="24" t="s">
        <v>31</v>
      </c>
      <c r="K260" s="24" t="s">
        <v>2111</v>
      </c>
      <c r="L260" s="24" t="s">
        <v>32</v>
      </c>
      <c r="M260" s="34" t="s">
        <v>33</v>
      </c>
      <c r="N260" s="37">
        <v>7</v>
      </c>
      <c r="O260" s="44">
        <v>1650</v>
      </c>
      <c r="P260" s="35">
        <v>0.05</v>
      </c>
      <c r="Q260" s="34">
        <v>10972.5</v>
      </c>
      <c r="R260" s="24">
        <v>3</v>
      </c>
      <c r="S260" s="24" t="s">
        <v>2149</v>
      </c>
      <c r="T260" s="24" t="s">
        <v>61</v>
      </c>
      <c r="U260" s="34" t="str">
        <f>Sales_data!T260</f>
        <v>kavya.nair@company.com</v>
      </c>
      <c r="V260" s="24">
        <v>9394291182</v>
      </c>
      <c r="W260" s="34" t="s">
        <v>2101</v>
      </c>
      <c r="X260" s="24">
        <v>24</v>
      </c>
      <c r="Y260" s="30" t="s">
        <v>2108</v>
      </c>
      <c r="Z260" s="29">
        <v>46430</v>
      </c>
      <c r="AA260" s="24" t="s">
        <v>2171</v>
      </c>
      <c r="AB260" s="24" t="s">
        <v>2108</v>
      </c>
      <c r="AC260" s="136" t="str">
        <f t="shared" si="8"/>
        <v>Kav008Hy</v>
      </c>
      <c r="AD260" s="136" t="str">
        <f t="shared" si="9"/>
        <v>kavya.nair@company.com</v>
      </c>
    </row>
    <row r="261" spans="1:30">
      <c r="A261" s="24" t="s">
        <v>1237</v>
      </c>
      <c r="B261" s="24" t="s">
        <v>83</v>
      </c>
      <c r="C261" s="24" t="s">
        <v>184</v>
      </c>
      <c r="D261" s="30">
        <v>46151</v>
      </c>
      <c r="E261" s="24" t="s">
        <v>426</v>
      </c>
      <c r="F261" s="136" t="str">
        <f>PROPER(TRIM(Sales_data!F261))</f>
        <v>Arjun Rao</v>
      </c>
      <c r="G261" s="30" t="s">
        <v>76</v>
      </c>
      <c r="H261" s="24" t="s">
        <v>87</v>
      </c>
      <c r="I261" s="24" t="s">
        <v>30</v>
      </c>
      <c r="J261" s="24" t="s">
        <v>31</v>
      </c>
      <c r="K261" s="24" t="s">
        <v>2109</v>
      </c>
      <c r="L261" s="24" t="s">
        <v>46</v>
      </c>
      <c r="M261" s="34" t="s">
        <v>189</v>
      </c>
      <c r="N261" s="37">
        <v>18</v>
      </c>
      <c r="O261" s="44">
        <v>525</v>
      </c>
      <c r="P261" s="35">
        <v>0.05</v>
      </c>
      <c r="Q261" s="34">
        <v>8977.5</v>
      </c>
      <c r="R261" s="24">
        <v>2</v>
      </c>
      <c r="S261" s="24" t="s">
        <v>2149</v>
      </c>
      <c r="T261" s="24" t="s">
        <v>61</v>
      </c>
      <c r="U261" s="34" t="str">
        <f>Sales_data!T261</f>
        <v>arjun.rao@company.com</v>
      </c>
      <c r="V261" s="24">
        <v>9616853220</v>
      </c>
      <c r="W261" s="34" t="s">
        <v>2100</v>
      </c>
      <c r="X261" s="24">
        <v>24</v>
      </c>
      <c r="Y261" s="30" t="s">
        <v>2108</v>
      </c>
      <c r="Z261" s="29">
        <v>46886</v>
      </c>
      <c r="AA261" s="24" t="s">
        <v>2174</v>
      </c>
      <c r="AB261" s="24" t="s">
        <v>2160</v>
      </c>
      <c r="AC261" s="136" t="str">
        <f t="shared" si="8"/>
        <v>Arj007Hy</v>
      </c>
      <c r="AD261" s="136" t="str">
        <f t="shared" si="9"/>
        <v>arjun.rao@company.com</v>
      </c>
    </row>
    <row r="262" spans="1:30">
      <c r="A262" s="24" t="s">
        <v>1241</v>
      </c>
      <c r="B262" s="24" t="s">
        <v>23</v>
      </c>
      <c r="C262" s="24" t="s">
        <v>222</v>
      </c>
      <c r="D262" s="30">
        <v>45858</v>
      </c>
      <c r="E262" s="24" t="s">
        <v>1242</v>
      </c>
      <c r="F262" s="136" t="str">
        <f>PROPER(TRIM(Sales_data!F262))</f>
        <v>Kavya Nair</v>
      </c>
      <c r="G262" s="30" t="s">
        <v>28</v>
      </c>
      <c r="H262" s="24" t="s">
        <v>29</v>
      </c>
      <c r="I262" s="24" t="s">
        <v>30</v>
      </c>
      <c r="J262" s="24" t="s">
        <v>31</v>
      </c>
      <c r="K262" s="24" t="s">
        <v>2111</v>
      </c>
      <c r="L262" s="24" t="s">
        <v>122</v>
      </c>
      <c r="M262" s="34" t="s">
        <v>227</v>
      </c>
      <c r="N262" s="37">
        <v>11</v>
      </c>
      <c r="O262" s="44">
        <v>15</v>
      </c>
      <c r="P262" s="35">
        <v>0</v>
      </c>
      <c r="Q262" s="34">
        <v>165</v>
      </c>
      <c r="R262" s="24">
        <v>2</v>
      </c>
      <c r="S262" s="24" t="s">
        <v>2148</v>
      </c>
      <c r="T262" s="24" t="s">
        <v>115</v>
      </c>
      <c r="U262" s="34" t="str">
        <f>Sales_data!T262</f>
        <v>kavya.nair@company.com</v>
      </c>
      <c r="V262" s="24">
        <v>9147552626</v>
      </c>
      <c r="W262" s="34" t="s">
        <v>2103</v>
      </c>
      <c r="X262" s="24">
        <v>12</v>
      </c>
      <c r="Y262" s="30" t="s">
        <v>2108</v>
      </c>
      <c r="Z262" s="29">
        <v>46233</v>
      </c>
      <c r="AA262" s="24" t="s">
        <v>2171</v>
      </c>
      <c r="AB262" s="24" t="s">
        <v>2160</v>
      </c>
      <c r="AC262" s="136" t="str">
        <f t="shared" si="8"/>
        <v>Kav008Hy</v>
      </c>
      <c r="AD262" s="136" t="str">
        <f t="shared" si="9"/>
        <v>kavya.nair@company.com</v>
      </c>
    </row>
    <row r="263" spans="1:30">
      <c r="A263" s="24" t="s">
        <v>1245</v>
      </c>
      <c r="B263" s="24" t="s">
        <v>327</v>
      </c>
      <c r="C263" s="24" t="s">
        <v>40</v>
      </c>
      <c r="D263" s="30">
        <v>45716</v>
      </c>
      <c r="E263" s="24" t="s">
        <v>272</v>
      </c>
      <c r="F263" s="136" t="str">
        <f>PROPER(TRIM(Sales_data!F263))</f>
        <v>Amit Sharma</v>
      </c>
      <c r="G263" s="30" t="s">
        <v>76</v>
      </c>
      <c r="H263" s="24" t="s">
        <v>331</v>
      </c>
      <c r="I263" s="24" t="s">
        <v>114</v>
      </c>
      <c r="J263" s="24" t="s">
        <v>106</v>
      </c>
      <c r="K263" s="24" t="s">
        <v>2109</v>
      </c>
      <c r="L263" s="24" t="s">
        <v>46</v>
      </c>
      <c r="M263" s="34" t="s">
        <v>47</v>
      </c>
      <c r="N263" s="37">
        <v>17</v>
      </c>
      <c r="O263" s="44">
        <v>9000</v>
      </c>
      <c r="P263" s="35">
        <v>0.2</v>
      </c>
      <c r="Q263" s="34">
        <v>122400</v>
      </c>
      <c r="R263" s="24">
        <v>4</v>
      </c>
      <c r="S263" s="24" t="s">
        <v>2149</v>
      </c>
      <c r="T263" s="24" t="s">
        <v>151</v>
      </c>
      <c r="U263" s="34" t="str">
        <f>Sales_data!T263</f>
        <v>amit.sharma@company.com</v>
      </c>
      <c r="V263" s="24">
        <v>9724197033</v>
      </c>
      <c r="W263" s="34" t="s">
        <v>2101</v>
      </c>
      <c r="X263" s="24">
        <v>24</v>
      </c>
      <c r="Y263" s="30" t="s">
        <v>2108</v>
      </c>
      <c r="Z263" s="29">
        <v>46453</v>
      </c>
      <c r="AA263" s="24" t="s">
        <v>2171</v>
      </c>
      <c r="AB263" s="24" t="s">
        <v>2112</v>
      </c>
      <c r="AC263" s="136" t="str">
        <f t="shared" si="8"/>
        <v>Ami001Pu</v>
      </c>
      <c r="AD263" s="136" t="str">
        <f t="shared" si="9"/>
        <v>amit.sharma@company.com</v>
      </c>
    </row>
    <row r="264" spans="1:30">
      <c r="A264" s="24" t="s">
        <v>1248</v>
      </c>
      <c r="B264" s="24" t="s">
        <v>251</v>
      </c>
      <c r="C264" s="24" t="s">
        <v>24</v>
      </c>
      <c r="D264" s="30">
        <v>45846</v>
      </c>
      <c r="E264" s="24" t="s">
        <v>267</v>
      </c>
      <c r="F264" s="136" t="str">
        <f>PROPER(TRIM(Sales_data!F264))</f>
        <v>Sneha Joshi</v>
      </c>
      <c r="G264" s="30" t="s">
        <v>28</v>
      </c>
      <c r="H264" s="24" t="s">
        <v>255</v>
      </c>
      <c r="I264" s="24" t="s">
        <v>114</v>
      </c>
      <c r="J264" s="24" t="s">
        <v>106</v>
      </c>
      <c r="K264" s="24" t="s">
        <v>2111</v>
      </c>
      <c r="L264" s="24" t="s">
        <v>32</v>
      </c>
      <c r="M264" s="34" t="s">
        <v>33</v>
      </c>
      <c r="N264" s="37">
        <v>4</v>
      </c>
      <c r="O264" s="44">
        <v>1650</v>
      </c>
      <c r="P264" s="35">
        <v>0.05</v>
      </c>
      <c r="Q264" s="34">
        <v>6270</v>
      </c>
      <c r="R264" s="24">
        <v>2</v>
      </c>
      <c r="S264" s="24" t="s">
        <v>34</v>
      </c>
      <c r="T264" s="24" t="s">
        <v>35</v>
      </c>
      <c r="U264" s="34" t="str">
        <f>Sales_data!T264</f>
        <v>sneha.joshi@company.com</v>
      </c>
      <c r="V264" s="24">
        <v>9130666128</v>
      </c>
      <c r="W264" s="34" t="s">
        <v>2101</v>
      </c>
      <c r="X264" s="24">
        <v>24</v>
      </c>
      <c r="Y264" s="30" t="s">
        <v>2112</v>
      </c>
      <c r="Z264" s="29">
        <v>46581</v>
      </c>
      <c r="AA264" s="24" t="s">
        <v>2173</v>
      </c>
      <c r="AB264" s="24" t="s">
        <v>2160</v>
      </c>
      <c r="AC264" s="136" t="str">
        <f t="shared" si="8"/>
        <v>Sne006Pu</v>
      </c>
      <c r="AD264" s="136" t="str">
        <f t="shared" si="9"/>
        <v>sneha.joshi@company.com</v>
      </c>
    </row>
    <row r="265" spans="1:30">
      <c r="A265" s="24" t="s">
        <v>1252</v>
      </c>
      <c r="B265" s="24" t="s">
        <v>23</v>
      </c>
      <c r="C265" s="24" t="s">
        <v>54</v>
      </c>
      <c r="D265" s="30">
        <v>46003</v>
      </c>
      <c r="E265" s="24" t="s">
        <v>455</v>
      </c>
      <c r="F265" s="136" t="str">
        <f>PROPER(TRIM(Sales_data!F265))</f>
        <v>Kavya Nair</v>
      </c>
      <c r="G265" s="30" t="s">
        <v>28</v>
      </c>
      <c r="H265" s="24" t="s">
        <v>29</v>
      </c>
      <c r="I265" s="24" t="s">
        <v>30</v>
      </c>
      <c r="J265" s="24" t="s">
        <v>31</v>
      </c>
      <c r="K265" s="24" t="s">
        <v>2111</v>
      </c>
      <c r="L265" s="24" t="s">
        <v>46</v>
      </c>
      <c r="M265" s="34" t="s">
        <v>60</v>
      </c>
      <c r="N265" s="37">
        <v>6</v>
      </c>
      <c r="O265" s="44">
        <v>41250</v>
      </c>
      <c r="P265" s="35">
        <v>0.2</v>
      </c>
      <c r="Q265" s="34">
        <v>198000</v>
      </c>
      <c r="R265" s="24">
        <v>2</v>
      </c>
      <c r="S265" s="24" t="s">
        <v>2149</v>
      </c>
      <c r="T265" s="24" t="s">
        <v>151</v>
      </c>
      <c r="U265" s="34" t="str">
        <f>Sales_data!T265</f>
        <v>kavya.nair@company.com</v>
      </c>
      <c r="V265" s="24">
        <v>9866567601</v>
      </c>
      <c r="W265" s="34" t="s">
        <v>2100</v>
      </c>
      <c r="X265" s="24">
        <v>12</v>
      </c>
      <c r="Y265" s="30" t="s">
        <v>2108</v>
      </c>
      <c r="Z265" s="29">
        <v>46375</v>
      </c>
      <c r="AA265" s="24" t="s">
        <v>2171</v>
      </c>
      <c r="AB265" s="24" t="s">
        <v>2160</v>
      </c>
      <c r="AC265" s="136" t="str">
        <f t="shared" si="8"/>
        <v>Kav008Hy</v>
      </c>
      <c r="AD265" s="136" t="str">
        <f t="shared" si="9"/>
        <v>kavya.nair@company.com</v>
      </c>
    </row>
    <row r="266" spans="1:30">
      <c r="A266" s="24" t="s">
        <v>1256</v>
      </c>
      <c r="B266" s="24" t="s">
        <v>71</v>
      </c>
      <c r="C266" s="24" t="s">
        <v>169</v>
      </c>
      <c r="D266" s="30">
        <v>46026</v>
      </c>
      <c r="E266" s="24" t="s">
        <v>998</v>
      </c>
      <c r="F266" s="136" t="str">
        <f>PROPER(TRIM(Sales_data!F266))</f>
        <v>Mohit Verma</v>
      </c>
      <c r="G266" s="30" t="s">
        <v>76</v>
      </c>
      <c r="H266" s="24" t="s">
        <v>77</v>
      </c>
      <c r="I266" s="24" t="s">
        <v>44</v>
      </c>
      <c r="J266" s="24" t="s">
        <v>45</v>
      </c>
      <c r="K266" s="24" t="s">
        <v>2114</v>
      </c>
      <c r="L266" s="24" t="s">
        <v>32</v>
      </c>
      <c r="M266" s="34" t="s">
        <v>174</v>
      </c>
      <c r="N266" s="37">
        <v>6</v>
      </c>
      <c r="O266" s="44">
        <v>6375</v>
      </c>
      <c r="P266" s="35">
        <v>0.1</v>
      </c>
      <c r="Q266" s="34">
        <v>34425</v>
      </c>
      <c r="R266" s="24">
        <v>5</v>
      </c>
      <c r="S266" s="24" t="s">
        <v>2149</v>
      </c>
      <c r="T266" s="24" t="s">
        <v>61</v>
      </c>
      <c r="U266" s="34" t="str">
        <f>Sales_data!T266</f>
        <v>mohit.verma@company.com</v>
      </c>
      <c r="V266" s="24">
        <v>9477282450</v>
      </c>
      <c r="W266" s="34" t="s">
        <v>2100</v>
      </c>
      <c r="X266" s="24">
        <v>24</v>
      </c>
      <c r="Y266" s="30" t="s">
        <v>2110</v>
      </c>
      <c r="Z266" s="29">
        <v>46766</v>
      </c>
      <c r="AA266" s="24" t="s">
        <v>2173</v>
      </c>
      <c r="AB266" s="24" t="s">
        <v>2108</v>
      </c>
      <c r="AC266" s="136" t="str">
        <f t="shared" si="8"/>
        <v>Moh009De</v>
      </c>
      <c r="AD266" s="136" t="str">
        <f t="shared" si="9"/>
        <v>mohit.verma@company.com</v>
      </c>
    </row>
    <row r="267" spans="1:30">
      <c r="A267" s="24" t="s">
        <v>1259</v>
      </c>
      <c r="B267" s="24" t="s">
        <v>23</v>
      </c>
      <c r="C267" s="24" t="s">
        <v>222</v>
      </c>
      <c r="D267" s="30">
        <v>45889</v>
      </c>
      <c r="E267" s="24" t="s">
        <v>371</v>
      </c>
      <c r="F267" s="136" t="str">
        <f>PROPER(TRIM(Sales_data!F267))</f>
        <v>Kavya Nair</v>
      </c>
      <c r="G267" s="30" t="s">
        <v>28</v>
      </c>
      <c r="H267" s="24" t="s">
        <v>29</v>
      </c>
      <c r="I267" s="24" t="s">
        <v>30</v>
      </c>
      <c r="J267" s="24" t="s">
        <v>31</v>
      </c>
      <c r="K267" s="24" t="s">
        <v>2111</v>
      </c>
      <c r="L267" s="24" t="s">
        <v>122</v>
      </c>
      <c r="M267" s="34" t="s">
        <v>227</v>
      </c>
      <c r="N267" s="37">
        <v>6</v>
      </c>
      <c r="O267" s="44">
        <v>15</v>
      </c>
      <c r="P267" s="35">
        <v>0.15</v>
      </c>
      <c r="Q267" s="34">
        <v>76.5</v>
      </c>
      <c r="R267" s="24">
        <v>2</v>
      </c>
      <c r="S267" s="24" t="s">
        <v>2149</v>
      </c>
      <c r="T267" s="24" t="s">
        <v>49</v>
      </c>
      <c r="U267" s="34" t="str">
        <f>Sales_data!T267</f>
        <v>kavya.nair@company.com</v>
      </c>
      <c r="V267" s="24">
        <v>9857621478</v>
      </c>
      <c r="W267" s="34" t="s">
        <v>2103</v>
      </c>
      <c r="X267" s="24">
        <v>12</v>
      </c>
      <c r="Y267" s="30" t="s">
        <v>2108</v>
      </c>
      <c r="Z267" s="29">
        <v>46259</v>
      </c>
      <c r="AA267" s="24" t="s">
        <v>2171</v>
      </c>
      <c r="AB267" s="24" t="s">
        <v>2160</v>
      </c>
      <c r="AC267" s="136" t="str">
        <f t="shared" si="8"/>
        <v>Kav008Hy</v>
      </c>
      <c r="AD267" s="136" t="str">
        <f t="shared" si="9"/>
        <v>kavya.nair@company.com</v>
      </c>
    </row>
    <row r="268" spans="1:30">
      <c r="A268" s="24" t="s">
        <v>1262</v>
      </c>
      <c r="B268" s="24" t="s">
        <v>53</v>
      </c>
      <c r="C268" s="24" t="s">
        <v>118</v>
      </c>
      <c r="D268" s="30">
        <v>45780</v>
      </c>
      <c r="E268" s="24" t="s">
        <v>597</v>
      </c>
      <c r="F268" s="136" t="str">
        <f>PROPER(TRIM(Sales_data!F268))</f>
        <v>Pooja Shah</v>
      </c>
      <c r="G268" s="30" t="s">
        <v>28</v>
      </c>
      <c r="H268" s="24" t="s">
        <v>58</v>
      </c>
      <c r="I268" s="24" t="s">
        <v>59</v>
      </c>
      <c r="J268" s="24" t="s">
        <v>31</v>
      </c>
      <c r="K268" s="24" t="s">
        <v>2111</v>
      </c>
      <c r="L268" s="24" t="s">
        <v>122</v>
      </c>
      <c r="M268" s="34" t="s">
        <v>123</v>
      </c>
      <c r="N268" s="37">
        <v>6</v>
      </c>
      <c r="O268" s="44">
        <v>45</v>
      </c>
      <c r="P268" s="35">
        <v>0.05</v>
      </c>
      <c r="Q268" s="34">
        <v>256.5</v>
      </c>
      <c r="R268" s="24">
        <v>1</v>
      </c>
      <c r="S268" s="24" t="s">
        <v>2148</v>
      </c>
      <c r="T268" s="24" t="s">
        <v>61</v>
      </c>
      <c r="U268" s="34" t="str">
        <f>Sales_data!T268</f>
        <v>pooja.shah@company.com</v>
      </c>
      <c r="V268" s="24">
        <v>9753869055</v>
      </c>
      <c r="W268" s="34" t="s">
        <v>2102</v>
      </c>
      <c r="X268" s="24">
        <v>12</v>
      </c>
      <c r="Y268" s="30" t="s">
        <v>2108</v>
      </c>
      <c r="Z268" s="29">
        <v>46153</v>
      </c>
      <c r="AA268" s="24" t="s">
        <v>2172</v>
      </c>
      <c r="AB268" s="24" t="s">
        <v>2160</v>
      </c>
      <c r="AC268" s="136" t="str">
        <f t="shared" si="8"/>
        <v>Poo010Be</v>
      </c>
      <c r="AD268" s="136" t="str">
        <f t="shared" si="9"/>
        <v>pooja.shah@company.com</v>
      </c>
    </row>
    <row r="269" spans="1:30">
      <c r="A269" s="24" t="s">
        <v>1266</v>
      </c>
      <c r="B269" s="24" t="s">
        <v>127</v>
      </c>
      <c r="C269" s="24" t="s">
        <v>169</v>
      </c>
      <c r="D269" s="30">
        <v>45666</v>
      </c>
      <c r="E269" s="24" t="s">
        <v>1268</v>
      </c>
      <c r="F269" s="136" t="str">
        <f>PROPER(TRIM(Sales_data!F269))</f>
        <v>Rohit Singh</v>
      </c>
      <c r="G269" s="30" t="s">
        <v>76</v>
      </c>
      <c r="H269" s="24" t="s">
        <v>131</v>
      </c>
      <c r="I269" s="24" t="s">
        <v>44</v>
      </c>
      <c r="J269" s="24" t="s">
        <v>45</v>
      </c>
      <c r="K269" s="24" t="s">
        <v>2113</v>
      </c>
      <c r="L269" s="24" t="s">
        <v>32</v>
      </c>
      <c r="M269" s="34" t="s">
        <v>174</v>
      </c>
      <c r="N269" s="37">
        <v>19</v>
      </c>
      <c r="O269" s="44">
        <v>6375</v>
      </c>
      <c r="P269" s="35">
        <v>0</v>
      </c>
      <c r="Q269" s="34">
        <v>121125</v>
      </c>
      <c r="R269" s="24">
        <v>5</v>
      </c>
      <c r="S269" s="24" t="s">
        <v>2149</v>
      </c>
      <c r="T269" s="24" t="s">
        <v>151</v>
      </c>
      <c r="U269" s="34" t="str">
        <f>Sales_data!T269</f>
        <v>rohit.singh@company.com</v>
      </c>
      <c r="V269" s="24">
        <v>9663266204</v>
      </c>
      <c r="W269" s="34" t="s">
        <v>2100</v>
      </c>
      <c r="X269" s="24">
        <v>24</v>
      </c>
      <c r="Y269" s="30" t="s">
        <v>2112</v>
      </c>
      <c r="Z269" s="29">
        <v>46399</v>
      </c>
      <c r="AA269" s="24" t="s">
        <v>2176</v>
      </c>
      <c r="AB269" s="24" t="s">
        <v>2110</v>
      </c>
      <c r="AC269" s="136" t="str">
        <f t="shared" si="8"/>
        <v>Roh003De</v>
      </c>
      <c r="AD269" s="136" t="str">
        <f t="shared" si="9"/>
        <v>rohit.singh@company.com</v>
      </c>
    </row>
    <row r="270" spans="1:30">
      <c r="A270" s="24" t="s">
        <v>1271</v>
      </c>
      <c r="B270" s="24" t="s">
        <v>251</v>
      </c>
      <c r="C270" s="24" t="s">
        <v>54</v>
      </c>
      <c r="D270" s="30">
        <v>45901</v>
      </c>
      <c r="E270" s="24" t="s">
        <v>573</v>
      </c>
      <c r="F270" s="136" t="str">
        <f>PROPER(TRIM(Sales_data!F270))</f>
        <v>Sneha Joshi</v>
      </c>
      <c r="G270" s="30" t="s">
        <v>28</v>
      </c>
      <c r="H270" s="24" t="s">
        <v>255</v>
      </c>
      <c r="I270" s="24" t="s">
        <v>114</v>
      </c>
      <c r="J270" s="24" t="s">
        <v>106</v>
      </c>
      <c r="K270" s="24" t="s">
        <v>2111</v>
      </c>
      <c r="L270" s="24" t="s">
        <v>46</v>
      </c>
      <c r="M270" s="34" t="s">
        <v>60</v>
      </c>
      <c r="N270" s="37">
        <v>8</v>
      </c>
      <c r="O270" s="44">
        <v>41250</v>
      </c>
      <c r="P270" s="35">
        <v>0</v>
      </c>
      <c r="Q270" s="34">
        <v>330000</v>
      </c>
      <c r="R270" s="24">
        <v>3</v>
      </c>
      <c r="S270" s="24" t="s">
        <v>79</v>
      </c>
      <c r="T270" s="24" t="s">
        <v>115</v>
      </c>
      <c r="U270" s="34" t="str">
        <f>Sales_data!T270</f>
        <v>sneha.joshi@company.com</v>
      </c>
      <c r="V270" s="24">
        <v>9675208616</v>
      </c>
      <c r="W270" s="34" t="s">
        <v>2100</v>
      </c>
      <c r="X270" s="24">
        <v>12</v>
      </c>
      <c r="Y270" s="30" t="s">
        <v>2112</v>
      </c>
      <c r="Z270" s="29">
        <v>46275</v>
      </c>
      <c r="AA270" s="24" t="s">
        <v>2173</v>
      </c>
      <c r="AB270" s="24" t="s">
        <v>2112</v>
      </c>
      <c r="AC270" s="136" t="str">
        <f t="shared" si="8"/>
        <v>Sne006Pu</v>
      </c>
      <c r="AD270" s="136" t="str">
        <f t="shared" si="9"/>
        <v>sneha.joshi@company.com</v>
      </c>
    </row>
    <row r="271" spans="1:30">
      <c r="A271" s="24" t="s">
        <v>1274</v>
      </c>
      <c r="B271" s="24" t="s">
        <v>71</v>
      </c>
      <c r="C271" s="24" t="s">
        <v>40</v>
      </c>
      <c r="D271" s="30">
        <v>46144</v>
      </c>
      <c r="E271" s="24" t="s">
        <v>583</v>
      </c>
      <c r="F271" s="136" t="str">
        <f>PROPER(TRIM(Sales_data!F271))</f>
        <v>Mohit Verma</v>
      </c>
      <c r="G271" s="30" t="s">
        <v>76</v>
      </c>
      <c r="H271" s="24" t="s">
        <v>77</v>
      </c>
      <c r="I271" s="24" t="s">
        <v>44</v>
      </c>
      <c r="J271" s="24" t="s">
        <v>45</v>
      </c>
      <c r="K271" s="24" t="s">
        <v>2114</v>
      </c>
      <c r="L271" s="24" t="s">
        <v>46</v>
      </c>
      <c r="M271" s="34" t="s">
        <v>47</v>
      </c>
      <c r="N271" s="37">
        <v>18</v>
      </c>
      <c r="O271" s="44">
        <v>9000</v>
      </c>
      <c r="P271" s="35">
        <v>0.2</v>
      </c>
      <c r="Q271" s="34">
        <v>129600</v>
      </c>
      <c r="R271" s="24">
        <v>5</v>
      </c>
      <c r="S271" s="24" t="s">
        <v>2149</v>
      </c>
      <c r="T271" s="24" t="s">
        <v>61</v>
      </c>
      <c r="U271" s="34" t="str">
        <f>Sales_data!T271</f>
        <v>mohit.verma@company.com</v>
      </c>
      <c r="V271" s="24">
        <v>9618393586</v>
      </c>
      <c r="W271" s="34" t="s">
        <v>2101</v>
      </c>
      <c r="X271" s="24">
        <v>24</v>
      </c>
      <c r="Y271" s="30" t="s">
        <v>2110</v>
      </c>
      <c r="Z271" s="29">
        <v>46880</v>
      </c>
      <c r="AA271" s="24" t="s">
        <v>2173</v>
      </c>
      <c r="AB271" s="24" t="s">
        <v>2112</v>
      </c>
      <c r="AC271" s="136" t="str">
        <f t="shared" si="8"/>
        <v>Moh009De</v>
      </c>
      <c r="AD271" s="136" t="str">
        <f t="shared" si="9"/>
        <v>mohit.verma@company.com</v>
      </c>
    </row>
    <row r="272" spans="1:30">
      <c r="A272" s="24" t="s">
        <v>1277</v>
      </c>
      <c r="B272" s="24" t="s">
        <v>127</v>
      </c>
      <c r="C272" s="24" t="s">
        <v>169</v>
      </c>
      <c r="D272" s="30">
        <v>45764</v>
      </c>
      <c r="E272" s="24" t="s">
        <v>198</v>
      </c>
      <c r="F272" s="136" t="str">
        <f>PROPER(TRIM(Sales_data!F272))</f>
        <v>Rohit Singh</v>
      </c>
      <c r="G272" s="30" t="s">
        <v>76</v>
      </c>
      <c r="H272" s="24" t="s">
        <v>131</v>
      </c>
      <c r="I272" s="24" t="s">
        <v>44</v>
      </c>
      <c r="J272" s="24" t="s">
        <v>45</v>
      </c>
      <c r="K272" s="24" t="s">
        <v>2113</v>
      </c>
      <c r="L272" s="24" t="s">
        <v>32</v>
      </c>
      <c r="M272" s="34" t="s">
        <v>174</v>
      </c>
      <c r="N272" s="37">
        <v>8</v>
      </c>
      <c r="O272" s="44">
        <v>6375</v>
      </c>
      <c r="P272" s="35">
        <v>0.05</v>
      </c>
      <c r="Q272" s="34">
        <v>48450</v>
      </c>
      <c r="R272" s="24">
        <v>2</v>
      </c>
      <c r="S272" s="24" t="s">
        <v>79</v>
      </c>
      <c r="T272" s="24" t="s">
        <v>61</v>
      </c>
      <c r="U272" s="34" t="str">
        <f>Sales_data!T272</f>
        <v>rohit.singh@company.com</v>
      </c>
      <c r="V272" s="24">
        <v>9137027840</v>
      </c>
      <c r="W272" s="34" t="s">
        <v>2100</v>
      </c>
      <c r="X272" s="24">
        <v>24</v>
      </c>
      <c r="Y272" s="30" t="s">
        <v>2112</v>
      </c>
      <c r="Z272" s="29">
        <v>46503</v>
      </c>
      <c r="AA272" s="24" t="s">
        <v>2176</v>
      </c>
      <c r="AB272" s="24" t="s">
        <v>2160</v>
      </c>
      <c r="AC272" s="136" t="str">
        <f t="shared" si="8"/>
        <v>Roh003De</v>
      </c>
      <c r="AD272" s="136" t="str">
        <f t="shared" si="9"/>
        <v>rohit.singh@company.com</v>
      </c>
    </row>
    <row r="273" spans="1:30">
      <c r="A273" s="24" t="s">
        <v>1281</v>
      </c>
      <c r="B273" s="24" t="s">
        <v>23</v>
      </c>
      <c r="C273" s="24" t="s">
        <v>222</v>
      </c>
      <c r="D273" s="30">
        <v>45878</v>
      </c>
      <c r="E273" s="24" t="s">
        <v>724</v>
      </c>
      <c r="F273" s="136" t="str">
        <f>PROPER(TRIM(Sales_data!F273))</f>
        <v>Kavya Nair</v>
      </c>
      <c r="G273" s="30" t="s">
        <v>28</v>
      </c>
      <c r="H273" s="24" t="s">
        <v>29</v>
      </c>
      <c r="I273" s="24" t="s">
        <v>30</v>
      </c>
      <c r="J273" s="24" t="s">
        <v>31</v>
      </c>
      <c r="K273" s="24" t="s">
        <v>2111</v>
      </c>
      <c r="L273" s="24" t="s">
        <v>122</v>
      </c>
      <c r="M273" s="34" t="s">
        <v>227</v>
      </c>
      <c r="N273" s="37">
        <v>13</v>
      </c>
      <c r="O273" s="44">
        <v>15</v>
      </c>
      <c r="P273" s="35">
        <v>0.05</v>
      </c>
      <c r="Q273" s="34">
        <v>185.25</v>
      </c>
      <c r="R273" s="24">
        <v>3</v>
      </c>
      <c r="S273" s="24" t="s">
        <v>2148</v>
      </c>
      <c r="T273" s="24" t="s">
        <v>115</v>
      </c>
      <c r="U273" s="34" t="str">
        <f>Sales_data!T273</f>
        <v>kavya.nair@company.com</v>
      </c>
      <c r="V273" s="24">
        <v>9362758134</v>
      </c>
      <c r="W273" s="34" t="s">
        <v>2103</v>
      </c>
      <c r="X273" s="24">
        <v>12</v>
      </c>
      <c r="Y273" s="30" t="s">
        <v>2108</v>
      </c>
      <c r="Z273" s="29">
        <v>46252</v>
      </c>
      <c r="AA273" s="24" t="s">
        <v>2171</v>
      </c>
      <c r="AB273" s="24" t="s">
        <v>2108</v>
      </c>
      <c r="AC273" s="136" t="str">
        <f t="shared" si="8"/>
        <v>Kav008Hy</v>
      </c>
      <c r="AD273" s="136" t="str">
        <f t="shared" si="9"/>
        <v>kavya.nair@company.com</v>
      </c>
    </row>
    <row r="274" spans="1:30">
      <c r="A274" s="24" t="s">
        <v>1285</v>
      </c>
      <c r="B274" s="24" t="s">
        <v>83</v>
      </c>
      <c r="C274" s="24" t="s">
        <v>118</v>
      </c>
      <c r="D274" s="30">
        <v>46116</v>
      </c>
      <c r="E274" s="24" t="s">
        <v>1286</v>
      </c>
      <c r="F274" s="136" t="str">
        <f>PROPER(TRIM(Sales_data!F274))</f>
        <v>Arjun Rao</v>
      </c>
      <c r="G274" s="30" t="s">
        <v>76</v>
      </c>
      <c r="H274" s="24" t="s">
        <v>87</v>
      </c>
      <c r="I274" s="24" t="s">
        <v>30</v>
      </c>
      <c r="J274" s="24" t="s">
        <v>31</v>
      </c>
      <c r="K274" s="24" t="s">
        <v>2109</v>
      </c>
      <c r="L274" s="24" t="s">
        <v>122</v>
      </c>
      <c r="M274" s="34" t="s">
        <v>123</v>
      </c>
      <c r="N274" s="37">
        <v>1</v>
      </c>
      <c r="O274" s="44">
        <v>45</v>
      </c>
      <c r="P274" s="35">
        <v>0.15</v>
      </c>
      <c r="Q274" s="34">
        <v>38.25</v>
      </c>
      <c r="R274" s="24">
        <v>2</v>
      </c>
      <c r="S274" s="24" t="s">
        <v>79</v>
      </c>
      <c r="T274" s="24" t="s">
        <v>61</v>
      </c>
      <c r="U274" s="34" t="str">
        <f>Sales_data!T274</f>
        <v>arjun.rao@company.com</v>
      </c>
      <c r="V274" s="24">
        <v>9648541985</v>
      </c>
      <c r="W274" s="34" t="s">
        <v>2102</v>
      </c>
      <c r="X274" s="24">
        <v>12</v>
      </c>
      <c r="Y274" s="30" t="s">
        <v>2108</v>
      </c>
      <c r="Z274" s="29">
        <v>46493</v>
      </c>
      <c r="AA274" s="24" t="s">
        <v>2174</v>
      </c>
      <c r="AB274" s="24" t="s">
        <v>2160</v>
      </c>
      <c r="AC274" s="136" t="str">
        <f t="shared" si="8"/>
        <v>Arj007Hy</v>
      </c>
      <c r="AD274" s="136" t="str">
        <f t="shared" si="9"/>
        <v>arjun.rao@company.com</v>
      </c>
    </row>
    <row r="275" spans="1:30">
      <c r="A275" s="24" t="s">
        <v>1289</v>
      </c>
      <c r="B275" s="24" t="s">
        <v>53</v>
      </c>
      <c r="C275" s="24" t="s">
        <v>222</v>
      </c>
      <c r="D275" s="30">
        <v>45830</v>
      </c>
      <c r="E275" s="24" t="s">
        <v>965</v>
      </c>
      <c r="F275" s="136" t="str">
        <f>PROPER(TRIM(Sales_data!F275))</f>
        <v>Pooja Shah</v>
      </c>
      <c r="G275" s="30" t="s">
        <v>28</v>
      </c>
      <c r="H275" s="24" t="s">
        <v>58</v>
      </c>
      <c r="I275" s="24" t="s">
        <v>59</v>
      </c>
      <c r="J275" s="24" t="s">
        <v>31</v>
      </c>
      <c r="K275" s="24" t="s">
        <v>2111</v>
      </c>
      <c r="L275" s="24" t="s">
        <v>122</v>
      </c>
      <c r="M275" s="34" t="s">
        <v>227</v>
      </c>
      <c r="N275" s="37">
        <v>5</v>
      </c>
      <c r="O275" s="44">
        <v>15</v>
      </c>
      <c r="P275" s="35">
        <v>0.05</v>
      </c>
      <c r="Q275" s="34">
        <v>71.25</v>
      </c>
      <c r="R275" s="24">
        <v>2</v>
      </c>
      <c r="S275" s="24" t="s">
        <v>2148</v>
      </c>
      <c r="T275" s="24" t="s">
        <v>49</v>
      </c>
      <c r="U275" s="34" t="str">
        <f>Sales_data!T275</f>
        <v>pooja.shah@company.com</v>
      </c>
      <c r="V275" s="24">
        <v>9175002781</v>
      </c>
      <c r="W275" s="34" t="s">
        <v>2103</v>
      </c>
      <c r="X275" s="24">
        <v>12</v>
      </c>
      <c r="Y275" s="30" t="s">
        <v>2108</v>
      </c>
      <c r="Z275" s="29">
        <v>46201</v>
      </c>
      <c r="AA275" s="24" t="s">
        <v>2172</v>
      </c>
      <c r="AB275" s="24" t="s">
        <v>2160</v>
      </c>
      <c r="AC275" s="136" t="str">
        <f t="shared" si="8"/>
        <v>Poo010Be</v>
      </c>
      <c r="AD275" s="136" t="str">
        <f t="shared" si="9"/>
        <v>pooja.shah@company.com</v>
      </c>
    </row>
    <row r="276" spans="1:30">
      <c r="A276" s="24" t="s">
        <v>1293</v>
      </c>
      <c r="B276" s="24" t="s">
        <v>221</v>
      </c>
      <c r="C276" s="24" t="s">
        <v>222</v>
      </c>
      <c r="D276" s="30">
        <v>45796</v>
      </c>
      <c r="E276" s="24" t="s">
        <v>1017</v>
      </c>
      <c r="F276" s="136" t="str">
        <f>PROPER(TRIM(Sales_data!F276))</f>
        <v>Vikas Mehta</v>
      </c>
      <c r="G276" s="30" t="s">
        <v>76</v>
      </c>
      <c r="H276" s="24" t="s">
        <v>226</v>
      </c>
      <c r="I276" s="24" t="s">
        <v>105</v>
      </c>
      <c r="J276" s="24" t="s">
        <v>106</v>
      </c>
      <c r="K276" s="24" t="s">
        <v>2113</v>
      </c>
      <c r="L276" s="24" t="s">
        <v>122</v>
      </c>
      <c r="M276" s="34" t="s">
        <v>227</v>
      </c>
      <c r="N276" s="37">
        <v>19</v>
      </c>
      <c r="O276" s="44">
        <v>15</v>
      </c>
      <c r="P276" s="35">
        <v>0.2</v>
      </c>
      <c r="Q276" s="34">
        <v>228</v>
      </c>
      <c r="R276" s="24">
        <v>3</v>
      </c>
      <c r="S276" s="24" t="s">
        <v>34</v>
      </c>
      <c r="T276" s="24" t="s">
        <v>35</v>
      </c>
      <c r="U276" s="34" t="str">
        <f>Sales_data!T276</f>
        <v>vikas.mehta@company.com</v>
      </c>
      <c r="V276" s="24">
        <v>9786241263</v>
      </c>
      <c r="W276" s="34" t="s">
        <v>2103</v>
      </c>
      <c r="X276" s="24">
        <v>12</v>
      </c>
      <c r="Y276" s="30" t="s">
        <v>2112</v>
      </c>
      <c r="Z276" s="29">
        <v>46166</v>
      </c>
      <c r="AA276" s="24" t="s">
        <v>2171</v>
      </c>
      <c r="AB276" s="24" t="s">
        <v>2108</v>
      </c>
      <c r="AC276" s="136" t="str">
        <f t="shared" si="8"/>
        <v>Vik005Mu</v>
      </c>
      <c r="AD276" s="136" t="str">
        <f t="shared" si="9"/>
        <v>vikas.mehta@company.com</v>
      </c>
    </row>
    <row r="277" spans="1:30">
      <c r="A277" s="24" t="s">
        <v>1297</v>
      </c>
      <c r="B277" s="24" t="s">
        <v>100</v>
      </c>
      <c r="C277" s="24" t="s">
        <v>259</v>
      </c>
      <c r="D277" s="30">
        <v>45745</v>
      </c>
      <c r="E277" s="24" t="s">
        <v>366</v>
      </c>
      <c r="F277" s="136" t="str">
        <f>PROPER(TRIM(Sales_data!F277))</f>
        <v>Priya Patel</v>
      </c>
      <c r="G277" s="30" t="s">
        <v>28</v>
      </c>
      <c r="H277" s="24" t="s">
        <v>104</v>
      </c>
      <c r="I277" s="24" t="s">
        <v>105</v>
      </c>
      <c r="J277" s="24" t="s">
        <v>106</v>
      </c>
      <c r="K277" s="24" t="s">
        <v>2111</v>
      </c>
      <c r="L277" s="24" t="s">
        <v>122</v>
      </c>
      <c r="M277" s="34" t="s">
        <v>263</v>
      </c>
      <c r="N277" s="37">
        <v>17</v>
      </c>
      <c r="O277" s="44">
        <v>33.75</v>
      </c>
      <c r="P277" s="35">
        <v>0.05</v>
      </c>
      <c r="Q277" s="34">
        <v>545.0625</v>
      </c>
      <c r="R277" s="24">
        <v>4</v>
      </c>
      <c r="S277" s="24" t="s">
        <v>34</v>
      </c>
      <c r="T277" s="24" t="s">
        <v>115</v>
      </c>
      <c r="U277" s="34" t="str">
        <f>Sales_data!T277</f>
        <v>priya.patel@company.com</v>
      </c>
      <c r="V277" s="24">
        <v>9691078176</v>
      </c>
      <c r="W277" s="34" t="s">
        <v>2100</v>
      </c>
      <c r="X277" s="24">
        <v>12</v>
      </c>
      <c r="Y277" s="30" t="s">
        <v>2110</v>
      </c>
      <c r="Z277" s="29">
        <v>46119</v>
      </c>
      <c r="AA277" s="24" t="s">
        <v>2175</v>
      </c>
      <c r="AB277" s="24" t="s">
        <v>2108</v>
      </c>
      <c r="AC277" s="136" t="str">
        <f t="shared" si="8"/>
        <v>Pri002Mu</v>
      </c>
      <c r="AD277" s="136" t="str">
        <f t="shared" si="9"/>
        <v>priya.patel@company.com</v>
      </c>
    </row>
    <row r="278" spans="1:30">
      <c r="A278" s="24" t="s">
        <v>1301</v>
      </c>
      <c r="B278" s="24" t="s">
        <v>83</v>
      </c>
      <c r="C278" s="24" t="s">
        <v>184</v>
      </c>
      <c r="D278" s="30">
        <v>46071</v>
      </c>
      <c r="E278" s="24" t="s">
        <v>170</v>
      </c>
      <c r="F278" s="136" t="str">
        <f>PROPER(TRIM(Sales_data!F278))</f>
        <v>Arjun Rao</v>
      </c>
      <c r="G278" s="30" t="s">
        <v>76</v>
      </c>
      <c r="H278" s="24" t="s">
        <v>87</v>
      </c>
      <c r="I278" s="24" t="s">
        <v>30</v>
      </c>
      <c r="J278" s="24" t="s">
        <v>31</v>
      </c>
      <c r="K278" s="24" t="s">
        <v>2109</v>
      </c>
      <c r="L278" s="24" t="s">
        <v>46</v>
      </c>
      <c r="M278" s="34" t="s">
        <v>189</v>
      </c>
      <c r="N278" s="37">
        <v>8</v>
      </c>
      <c r="O278" s="44">
        <v>525</v>
      </c>
      <c r="P278" s="35">
        <v>0.15</v>
      </c>
      <c r="Q278" s="34">
        <v>3570</v>
      </c>
      <c r="R278" s="24">
        <v>4</v>
      </c>
      <c r="S278" s="24" t="s">
        <v>2148</v>
      </c>
      <c r="T278" s="24" t="s">
        <v>35</v>
      </c>
      <c r="U278" s="34" t="str">
        <f>Sales_data!T278</f>
        <v>arjun.rao@company.com</v>
      </c>
      <c r="V278" s="24">
        <v>9336679085</v>
      </c>
      <c r="W278" s="34" t="s">
        <v>2100</v>
      </c>
      <c r="X278" s="24">
        <v>24</v>
      </c>
      <c r="Y278" s="30" t="s">
        <v>2108</v>
      </c>
      <c r="Z278" s="29">
        <v>46805</v>
      </c>
      <c r="AA278" s="24" t="s">
        <v>2174</v>
      </c>
      <c r="AB278" s="24" t="s">
        <v>2108</v>
      </c>
      <c r="AC278" s="136" t="str">
        <f t="shared" si="8"/>
        <v>Arj007Hy</v>
      </c>
      <c r="AD278" s="136" t="str">
        <f t="shared" si="9"/>
        <v>arjun.rao@company.com</v>
      </c>
    </row>
    <row r="279" spans="1:30">
      <c r="A279" s="24" t="s">
        <v>1305</v>
      </c>
      <c r="B279" s="24" t="s">
        <v>168</v>
      </c>
      <c r="C279" s="24" t="s">
        <v>24</v>
      </c>
      <c r="D279" s="30">
        <v>46043</v>
      </c>
      <c r="E279" s="24" t="s">
        <v>1307</v>
      </c>
      <c r="F279" s="136" t="str">
        <f>PROPER(TRIM(Sales_data!F279))</f>
        <v>Anita Gupta</v>
      </c>
      <c r="G279" s="30" t="s">
        <v>28</v>
      </c>
      <c r="H279" s="24" t="s">
        <v>173</v>
      </c>
      <c r="I279" s="24" t="s">
        <v>114</v>
      </c>
      <c r="J279" s="24" t="s">
        <v>106</v>
      </c>
      <c r="K279" s="24" t="s">
        <v>2111</v>
      </c>
      <c r="L279" s="24" t="s">
        <v>32</v>
      </c>
      <c r="M279" s="34" t="s">
        <v>33</v>
      </c>
      <c r="N279" s="37">
        <v>15</v>
      </c>
      <c r="O279" s="44">
        <v>1650</v>
      </c>
      <c r="P279" s="35">
        <v>0.1</v>
      </c>
      <c r="Q279" s="34">
        <v>22275</v>
      </c>
      <c r="R279" s="24">
        <v>5</v>
      </c>
      <c r="S279" s="24" t="s">
        <v>2149</v>
      </c>
      <c r="T279" s="24" t="s">
        <v>151</v>
      </c>
      <c r="U279" s="34" t="str">
        <f>Sales_data!T279</f>
        <v>anita.gupta@company.com</v>
      </c>
      <c r="V279" s="24">
        <v>9497351043</v>
      </c>
      <c r="W279" s="34" t="s">
        <v>2101</v>
      </c>
      <c r="X279" s="24">
        <v>24</v>
      </c>
      <c r="Y279" s="30" t="s">
        <v>2112</v>
      </c>
      <c r="Z279" s="29">
        <v>46781</v>
      </c>
      <c r="AA279" s="24" t="s">
        <v>2177</v>
      </c>
      <c r="AB279" s="24" t="s">
        <v>2108</v>
      </c>
      <c r="AC279" s="136" t="str">
        <f t="shared" si="8"/>
        <v>Ani004Pu</v>
      </c>
      <c r="AD279" s="136" t="str">
        <f t="shared" si="9"/>
        <v>anita.gupta@company.com</v>
      </c>
    </row>
    <row r="280" spans="1:30">
      <c r="A280" s="24" t="s">
        <v>1310</v>
      </c>
      <c r="B280" s="24" t="s">
        <v>100</v>
      </c>
      <c r="C280" s="24" t="s">
        <v>24</v>
      </c>
      <c r="D280" s="30">
        <v>45917</v>
      </c>
      <c r="E280" s="24" t="s">
        <v>1311</v>
      </c>
      <c r="F280" s="136" t="str">
        <f>PROPER(TRIM(Sales_data!F280))</f>
        <v>Priya Patel</v>
      </c>
      <c r="G280" s="30" t="s">
        <v>28</v>
      </c>
      <c r="H280" s="24" t="s">
        <v>104</v>
      </c>
      <c r="I280" s="24" t="s">
        <v>105</v>
      </c>
      <c r="J280" s="24" t="s">
        <v>106</v>
      </c>
      <c r="K280" s="24" t="s">
        <v>2111</v>
      </c>
      <c r="L280" s="24" t="s">
        <v>32</v>
      </c>
      <c r="M280" s="34" t="s">
        <v>33</v>
      </c>
      <c r="N280" s="37">
        <v>1</v>
      </c>
      <c r="O280" s="44">
        <v>1650</v>
      </c>
      <c r="P280" s="35">
        <v>0</v>
      </c>
      <c r="Q280" s="34">
        <v>1650</v>
      </c>
      <c r="R280" s="24">
        <v>4</v>
      </c>
      <c r="S280" s="24" t="s">
        <v>34</v>
      </c>
      <c r="T280" s="24" t="s">
        <v>49</v>
      </c>
      <c r="U280" s="34" t="str">
        <f>Sales_data!T280</f>
        <v>priya.patel@company.com</v>
      </c>
      <c r="V280" s="24">
        <v>9357038998</v>
      </c>
      <c r="W280" s="34" t="s">
        <v>2101</v>
      </c>
      <c r="X280" s="24">
        <v>24</v>
      </c>
      <c r="Y280" s="30" t="s">
        <v>2110</v>
      </c>
      <c r="Z280" s="29">
        <v>46659</v>
      </c>
      <c r="AA280" s="24" t="s">
        <v>2175</v>
      </c>
      <c r="AB280" s="24" t="s">
        <v>2108</v>
      </c>
      <c r="AC280" s="136" t="str">
        <f t="shared" si="8"/>
        <v>Pri002Mu</v>
      </c>
      <c r="AD280" s="136" t="str">
        <f t="shared" si="9"/>
        <v>priya.patel@company.com</v>
      </c>
    </row>
    <row r="281" spans="1:30">
      <c r="A281" s="24" t="s">
        <v>1314</v>
      </c>
      <c r="B281" s="24" t="s">
        <v>251</v>
      </c>
      <c r="C281" s="24" t="s">
        <v>92</v>
      </c>
      <c r="D281" s="30">
        <v>45827</v>
      </c>
      <c r="E281" s="24" t="s">
        <v>1315</v>
      </c>
      <c r="F281" s="136" t="str">
        <f>PROPER(TRIM(Sales_data!F281))</f>
        <v>Sneha Joshi</v>
      </c>
      <c r="G281" s="30" t="s">
        <v>28</v>
      </c>
      <c r="H281" s="24" t="s">
        <v>255</v>
      </c>
      <c r="I281" s="24" t="s">
        <v>114</v>
      </c>
      <c r="J281" s="24" t="s">
        <v>106</v>
      </c>
      <c r="K281" s="24" t="s">
        <v>2111</v>
      </c>
      <c r="L281" s="24" t="s">
        <v>32</v>
      </c>
      <c r="M281" s="34" t="s">
        <v>97</v>
      </c>
      <c r="N281" s="37">
        <v>10</v>
      </c>
      <c r="O281" s="44">
        <v>2625</v>
      </c>
      <c r="P281" s="35">
        <v>0.1</v>
      </c>
      <c r="Q281" s="34">
        <v>23625</v>
      </c>
      <c r="R281" s="24">
        <v>4</v>
      </c>
      <c r="S281" s="24" t="s">
        <v>2148</v>
      </c>
      <c r="T281" s="24" t="s">
        <v>35</v>
      </c>
      <c r="U281" s="34" t="str">
        <f>Sales_data!T281</f>
        <v>sneha.joshi@company.com</v>
      </c>
      <c r="V281" s="24">
        <v>9986371291</v>
      </c>
      <c r="W281" s="34" t="s">
        <v>2101</v>
      </c>
      <c r="X281" s="24">
        <v>6</v>
      </c>
      <c r="Y281" s="30" t="s">
        <v>2112</v>
      </c>
      <c r="Z281" s="29">
        <v>46021</v>
      </c>
      <c r="AA281" s="24" t="s">
        <v>2173</v>
      </c>
      <c r="AB281" s="24" t="s">
        <v>2108</v>
      </c>
      <c r="AC281" s="136" t="str">
        <f t="shared" si="8"/>
        <v>Sne006Pu</v>
      </c>
      <c r="AD281" s="136" t="str">
        <f t="shared" si="9"/>
        <v>sneha.joshi@company.com</v>
      </c>
    </row>
    <row r="282" spans="1:30">
      <c r="A282" s="24" t="s">
        <v>1318</v>
      </c>
      <c r="B282" s="24" t="s">
        <v>71</v>
      </c>
      <c r="C282" s="24" t="s">
        <v>92</v>
      </c>
      <c r="D282" s="30">
        <v>45789</v>
      </c>
      <c r="E282" s="24" t="s">
        <v>1320</v>
      </c>
      <c r="F282" s="136" t="str">
        <f>PROPER(TRIM(Sales_data!F282))</f>
        <v>Mohit Verma</v>
      </c>
      <c r="G282" s="30" t="s">
        <v>76</v>
      </c>
      <c r="H282" s="24" t="s">
        <v>77</v>
      </c>
      <c r="I282" s="24" t="s">
        <v>44</v>
      </c>
      <c r="J282" s="24" t="s">
        <v>45</v>
      </c>
      <c r="K282" s="24" t="s">
        <v>2114</v>
      </c>
      <c r="L282" s="24" t="s">
        <v>32</v>
      </c>
      <c r="M282" s="34" t="s">
        <v>97</v>
      </c>
      <c r="N282" s="37">
        <v>16</v>
      </c>
      <c r="O282" s="44">
        <v>2625</v>
      </c>
      <c r="P282" s="35">
        <v>0.15</v>
      </c>
      <c r="Q282" s="34">
        <v>35700</v>
      </c>
      <c r="R282" s="24">
        <v>1</v>
      </c>
      <c r="S282" s="24" t="s">
        <v>79</v>
      </c>
      <c r="T282" s="24" t="s">
        <v>115</v>
      </c>
      <c r="U282" s="34" t="str">
        <f>Sales_data!T282</f>
        <v>mohit.verma@company.com</v>
      </c>
      <c r="V282" s="24">
        <v>9397839191</v>
      </c>
      <c r="W282" s="34" t="s">
        <v>2101</v>
      </c>
      <c r="X282" s="24">
        <v>6</v>
      </c>
      <c r="Y282" s="30" t="s">
        <v>2110</v>
      </c>
      <c r="Z282" s="29">
        <v>45977</v>
      </c>
      <c r="AA282" s="24" t="s">
        <v>2173</v>
      </c>
      <c r="AB282" s="24" t="s">
        <v>2160</v>
      </c>
      <c r="AC282" s="136" t="str">
        <f t="shared" si="8"/>
        <v>Moh009De</v>
      </c>
      <c r="AD282" s="136" t="str">
        <f t="shared" si="9"/>
        <v>mohit.verma@company.com</v>
      </c>
    </row>
    <row r="283" spans="1:30">
      <c r="A283" s="24" t="s">
        <v>1323</v>
      </c>
      <c r="B283" s="24" t="s">
        <v>251</v>
      </c>
      <c r="C283" s="24" t="s">
        <v>40</v>
      </c>
      <c r="D283" s="30">
        <v>45906</v>
      </c>
      <c r="E283" s="24" t="s">
        <v>25</v>
      </c>
      <c r="F283" s="136" t="str">
        <f>PROPER(TRIM(Sales_data!F283))</f>
        <v>Sneha Joshi</v>
      </c>
      <c r="G283" s="30" t="s">
        <v>28</v>
      </c>
      <c r="H283" s="24" t="s">
        <v>255</v>
      </c>
      <c r="I283" s="24" t="s">
        <v>114</v>
      </c>
      <c r="J283" s="24" t="s">
        <v>106</v>
      </c>
      <c r="K283" s="24" t="s">
        <v>2111</v>
      </c>
      <c r="L283" s="24" t="s">
        <v>46</v>
      </c>
      <c r="M283" s="34" t="s">
        <v>47</v>
      </c>
      <c r="N283" s="37">
        <v>1</v>
      </c>
      <c r="O283" s="44">
        <v>9000</v>
      </c>
      <c r="P283" s="35">
        <v>0</v>
      </c>
      <c r="Q283" s="34">
        <v>9000</v>
      </c>
      <c r="R283" s="24">
        <v>4</v>
      </c>
      <c r="S283" s="24" t="s">
        <v>2148</v>
      </c>
      <c r="T283" s="24" t="s">
        <v>115</v>
      </c>
      <c r="U283" s="34" t="str">
        <f>Sales_data!T283</f>
        <v>sneha.joshi@company.com</v>
      </c>
      <c r="V283" s="24">
        <v>9162975843</v>
      </c>
      <c r="W283" s="34" t="s">
        <v>2101</v>
      </c>
      <c r="X283" s="24">
        <v>24</v>
      </c>
      <c r="Y283" s="30" t="s">
        <v>2112</v>
      </c>
      <c r="Z283" s="29">
        <v>46648</v>
      </c>
      <c r="AA283" s="24" t="s">
        <v>2173</v>
      </c>
      <c r="AB283" s="24" t="s">
        <v>2108</v>
      </c>
      <c r="AC283" s="136" t="str">
        <f t="shared" si="8"/>
        <v>Sne006Pu</v>
      </c>
      <c r="AD283" s="136" t="str">
        <f t="shared" si="9"/>
        <v>sneha.joshi@company.com</v>
      </c>
    </row>
    <row r="284" spans="1:30">
      <c r="A284" s="24" t="s">
        <v>1327</v>
      </c>
      <c r="B284" s="24" t="s">
        <v>83</v>
      </c>
      <c r="C284" s="24" t="s">
        <v>184</v>
      </c>
      <c r="D284" s="30">
        <v>45770</v>
      </c>
      <c r="E284" s="24" t="s">
        <v>606</v>
      </c>
      <c r="F284" s="136" t="str">
        <f>PROPER(TRIM(Sales_data!F284))</f>
        <v>Arjun Rao</v>
      </c>
      <c r="G284" s="30" t="s">
        <v>76</v>
      </c>
      <c r="H284" s="24" t="s">
        <v>87</v>
      </c>
      <c r="I284" s="24" t="s">
        <v>30</v>
      </c>
      <c r="J284" s="24" t="s">
        <v>31</v>
      </c>
      <c r="K284" s="24" t="s">
        <v>2109</v>
      </c>
      <c r="L284" s="24" t="s">
        <v>46</v>
      </c>
      <c r="M284" s="34" t="s">
        <v>189</v>
      </c>
      <c r="N284" s="37">
        <v>6</v>
      </c>
      <c r="O284" s="44">
        <v>525</v>
      </c>
      <c r="P284" s="35">
        <v>0.2</v>
      </c>
      <c r="Q284" s="34">
        <v>2520</v>
      </c>
      <c r="R284" s="24">
        <v>2</v>
      </c>
      <c r="S284" s="24" t="s">
        <v>2148</v>
      </c>
      <c r="T284" s="24" t="s">
        <v>115</v>
      </c>
      <c r="U284" s="34" t="str">
        <f>Sales_data!T284</f>
        <v>arjun.rao@company.com</v>
      </c>
      <c r="V284" s="24">
        <v>9237616558</v>
      </c>
      <c r="W284" s="34" t="s">
        <v>2100</v>
      </c>
      <c r="X284" s="24">
        <v>24</v>
      </c>
      <c r="Y284" s="30" t="s">
        <v>2108</v>
      </c>
      <c r="Z284" s="29">
        <v>46506</v>
      </c>
      <c r="AA284" s="24" t="s">
        <v>2174</v>
      </c>
      <c r="AB284" s="24" t="s">
        <v>2160</v>
      </c>
      <c r="AC284" s="136" t="str">
        <f t="shared" si="8"/>
        <v>Arj007Hy</v>
      </c>
      <c r="AD284" s="136" t="str">
        <f t="shared" si="9"/>
        <v>arjun.rao@company.com</v>
      </c>
    </row>
    <row r="285" spans="1:30">
      <c r="A285" s="24" t="s">
        <v>1331</v>
      </c>
      <c r="B285" s="24" t="s">
        <v>71</v>
      </c>
      <c r="C285" s="24" t="s">
        <v>24</v>
      </c>
      <c r="D285" s="30">
        <v>46074</v>
      </c>
      <c r="E285" s="24" t="s">
        <v>1332</v>
      </c>
      <c r="F285" s="136" t="str">
        <f>PROPER(TRIM(Sales_data!F285))</f>
        <v>Mohit Verma</v>
      </c>
      <c r="G285" s="30" t="s">
        <v>76</v>
      </c>
      <c r="H285" s="24" t="s">
        <v>77</v>
      </c>
      <c r="I285" s="24" t="s">
        <v>44</v>
      </c>
      <c r="J285" s="24" t="s">
        <v>45</v>
      </c>
      <c r="K285" s="24" t="s">
        <v>2114</v>
      </c>
      <c r="L285" s="24" t="s">
        <v>32</v>
      </c>
      <c r="M285" s="34" t="s">
        <v>33</v>
      </c>
      <c r="N285" s="37">
        <v>3</v>
      </c>
      <c r="O285" s="44">
        <v>1650</v>
      </c>
      <c r="P285" s="35">
        <v>0</v>
      </c>
      <c r="Q285" s="34">
        <v>4950</v>
      </c>
      <c r="R285" s="24">
        <v>4</v>
      </c>
      <c r="S285" s="24" t="s">
        <v>79</v>
      </c>
      <c r="T285" s="24" t="s">
        <v>35</v>
      </c>
      <c r="U285" s="34" t="str">
        <f>Sales_data!T285</f>
        <v>mohit.verma@company.com</v>
      </c>
      <c r="V285" s="24">
        <v>9935063989</v>
      </c>
      <c r="W285" s="34" t="s">
        <v>2101</v>
      </c>
      <c r="X285" s="24">
        <v>24</v>
      </c>
      <c r="Y285" s="30" t="s">
        <v>2110</v>
      </c>
      <c r="Z285" s="29">
        <v>46810</v>
      </c>
      <c r="AA285" s="24" t="s">
        <v>2173</v>
      </c>
      <c r="AB285" s="24" t="s">
        <v>2108</v>
      </c>
      <c r="AC285" s="136" t="str">
        <f t="shared" si="8"/>
        <v>Moh009De</v>
      </c>
      <c r="AD285" s="136" t="str">
        <f t="shared" si="9"/>
        <v>mohit.verma@company.com</v>
      </c>
    </row>
    <row r="286" spans="1:30">
      <c r="A286" s="24" t="s">
        <v>1335</v>
      </c>
      <c r="B286" s="24" t="s">
        <v>251</v>
      </c>
      <c r="C286" s="24" t="s">
        <v>259</v>
      </c>
      <c r="D286" s="30">
        <v>46019</v>
      </c>
      <c r="E286" s="24" t="s">
        <v>216</v>
      </c>
      <c r="F286" s="136" t="str">
        <f>PROPER(TRIM(Sales_data!F286))</f>
        <v>Sneha Joshi</v>
      </c>
      <c r="G286" s="30" t="s">
        <v>28</v>
      </c>
      <c r="H286" s="24" t="s">
        <v>255</v>
      </c>
      <c r="I286" s="24" t="s">
        <v>114</v>
      </c>
      <c r="J286" s="24" t="s">
        <v>106</v>
      </c>
      <c r="K286" s="24" t="s">
        <v>2111</v>
      </c>
      <c r="L286" s="24" t="s">
        <v>122</v>
      </c>
      <c r="M286" s="34" t="s">
        <v>263</v>
      </c>
      <c r="N286" s="37">
        <v>6</v>
      </c>
      <c r="O286" s="44">
        <v>33.75</v>
      </c>
      <c r="P286" s="35">
        <v>0.15</v>
      </c>
      <c r="Q286" s="34">
        <v>172.125</v>
      </c>
      <c r="R286" s="24">
        <v>1</v>
      </c>
      <c r="S286" s="24" t="s">
        <v>2149</v>
      </c>
      <c r="T286" s="24" t="s">
        <v>49</v>
      </c>
      <c r="U286" s="34" t="str">
        <f>Sales_data!T286</f>
        <v>sneha.joshi@company.com</v>
      </c>
      <c r="V286" s="24">
        <v>9167376169</v>
      </c>
      <c r="W286" s="34" t="s">
        <v>2100</v>
      </c>
      <c r="X286" s="24">
        <v>12</v>
      </c>
      <c r="Y286" s="30" t="s">
        <v>2112</v>
      </c>
      <c r="Z286" s="29">
        <v>46388</v>
      </c>
      <c r="AA286" s="24" t="s">
        <v>2173</v>
      </c>
      <c r="AB286" s="24" t="s">
        <v>2160</v>
      </c>
      <c r="AC286" s="136" t="str">
        <f t="shared" si="8"/>
        <v>Sne006Pu</v>
      </c>
      <c r="AD286" s="136" t="str">
        <f t="shared" si="9"/>
        <v>sneha.joshi@company.com</v>
      </c>
    </row>
    <row r="287" spans="1:30">
      <c r="A287" s="24" t="s">
        <v>1338</v>
      </c>
      <c r="B287" s="24" t="s">
        <v>251</v>
      </c>
      <c r="C287" s="24" t="s">
        <v>72</v>
      </c>
      <c r="D287" s="30">
        <v>45922</v>
      </c>
      <c r="E287" s="24" t="s">
        <v>1339</v>
      </c>
      <c r="F287" s="136" t="str">
        <f>PROPER(TRIM(Sales_data!F287))</f>
        <v>Sneha Joshi</v>
      </c>
      <c r="G287" s="30" t="s">
        <v>28</v>
      </c>
      <c r="H287" s="24" t="s">
        <v>255</v>
      </c>
      <c r="I287" s="24" t="s">
        <v>114</v>
      </c>
      <c r="J287" s="24" t="s">
        <v>106</v>
      </c>
      <c r="K287" s="24" t="s">
        <v>2111</v>
      </c>
      <c r="L287" s="24" t="s">
        <v>46</v>
      </c>
      <c r="M287" s="34" t="s">
        <v>78</v>
      </c>
      <c r="N287" s="37">
        <v>2</v>
      </c>
      <c r="O287" s="44">
        <v>900</v>
      </c>
      <c r="P287" s="35">
        <v>0</v>
      </c>
      <c r="Q287" s="34">
        <v>1800</v>
      </c>
      <c r="R287" s="24">
        <v>1</v>
      </c>
      <c r="S287" s="24" t="s">
        <v>34</v>
      </c>
      <c r="T287" s="24" t="s">
        <v>151</v>
      </c>
      <c r="U287" s="34" t="str">
        <f>Sales_data!T287</f>
        <v>sneha.joshi@company.com</v>
      </c>
      <c r="V287" s="24">
        <v>9231845497</v>
      </c>
      <c r="W287" s="34" t="s">
        <v>2100</v>
      </c>
      <c r="X287" s="24">
        <v>6</v>
      </c>
      <c r="Y287" s="30" t="s">
        <v>2112</v>
      </c>
      <c r="Z287" s="29">
        <v>46111</v>
      </c>
      <c r="AA287" s="24" t="s">
        <v>2173</v>
      </c>
      <c r="AB287" s="24" t="s">
        <v>2160</v>
      </c>
      <c r="AC287" s="136" t="str">
        <f t="shared" si="8"/>
        <v>Sne006Pu</v>
      </c>
      <c r="AD287" s="136" t="str">
        <f t="shared" si="9"/>
        <v>sneha.joshi@company.com</v>
      </c>
    </row>
    <row r="288" spans="1:30">
      <c r="A288" s="24" t="s">
        <v>1342</v>
      </c>
      <c r="B288" s="24" t="s">
        <v>168</v>
      </c>
      <c r="C288" s="24" t="s">
        <v>184</v>
      </c>
      <c r="D288" s="30">
        <v>46150</v>
      </c>
      <c r="E288" s="24" t="s">
        <v>1344</v>
      </c>
      <c r="F288" s="136" t="str">
        <f>PROPER(TRIM(Sales_data!F288))</f>
        <v>Anita Gupta</v>
      </c>
      <c r="G288" s="30" t="s">
        <v>28</v>
      </c>
      <c r="H288" s="24" t="s">
        <v>173</v>
      </c>
      <c r="I288" s="24" t="s">
        <v>114</v>
      </c>
      <c r="J288" s="24" t="s">
        <v>106</v>
      </c>
      <c r="K288" s="24" t="s">
        <v>2111</v>
      </c>
      <c r="L288" s="24" t="s">
        <v>46</v>
      </c>
      <c r="M288" s="34" t="s">
        <v>189</v>
      </c>
      <c r="N288" s="37">
        <v>14</v>
      </c>
      <c r="O288" s="44">
        <v>525</v>
      </c>
      <c r="P288" s="35">
        <v>0.15</v>
      </c>
      <c r="Q288" s="34">
        <v>6247.5</v>
      </c>
      <c r="R288" s="24">
        <v>5</v>
      </c>
      <c r="S288" s="24" t="s">
        <v>34</v>
      </c>
      <c r="T288" s="24" t="s">
        <v>115</v>
      </c>
      <c r="U288" s="34" t="str">
        <f>Sales_data!T288</f>
        <v>anita.gupta@company.com</v>
      </c>
      <c r="V288" s="24">
        <v>9409415805</v>
      </c>
      <c r="W288" s="34" t="s">
        <v>2100</v>
      </c>
      <c r="X288" s="24">
        <v>24</v>
      </c>
      <c r="Y288" s="30" t="s">
        <v>2112</v>
      </c>
      <c r="Z288" s="29">
        <v>46884</v>
      </c>
      <c r="AA288" s="24" t="s">
        <v>2177</v>
      </c>
      <c r="AB288" s="24" t="s">
        <v>2108</v>
      </c>
      <c r="AC288" s="136" t="str">
        <f t="shared" si="8"/>
        <v>Ani004Pu</v>
      </c>
      <c r="AD288" s="136" t="str">
        <f t="shared" si="9"/>
        <v>anita.gupta@company.com</v>
      </c>
    </row>
    <row r="289" spans="1:30">
      <c r="A289" s="24" t="s">
        <v>1347</v>
      </c>
      <c r="B289" s="24" t="s">
        <v>100</v>
      </c>
      <c r="C289" s="24" t="s">
        <v>222</v>
      </c>
      <c r="D289" s="30">
        <v>45966</v>
      </c>
      <c r="E289" s="24" t="s">
        <v>507</v>
      </c>
      <c r="F289" s="136" t="str">
        <f>PROPER(TRIM(Sales_data!F289))</f>
        <v>Priya Patel</v>
      </c>
      <c r="G289" s="30" t="s">
        <v>28</v>
      </c>
      <c r="H289" s="24" t="s">
        <v>104</v>
      </c>
      <c r="I289" s="24" t="s">
        <v>105</v>
      </c>
      <c r="J289" s="24" t="s">
        <v>106</v>
      </c>
      <c r="K289" s="24" t="s">
        <v>2111</v>
      </c>
      <c r="L289" s="24" t="s">
        <v>122</v>
      </c>
      <c r="M289" s="34" t="s">
        <v>227</v>
      </c>
      <c r="N289" s="37">
        <v>13</v>
      </c>
      <c r="O289" s="44">
        <v>15</v>
      </c>
      <c r="P289" s="35">
        <v>0.05</v>
      </c>
      <c r="Q289" s="34">
        <v>185.25</v>
      </c>
      <c r="R289" s="24">
        <v>1</v>
      </c>
      <c r="S289" s="24" t="s">
        <v>79</v>
      </c>
      <c r="T289" s="24" t="s">
        <v>35</v>
      </c>
      <c r="U289" s="34" t="str">
        <f>Sales_data!T289</f>
        <v>priya.patecompany.com</v>
      </c>
      <c r="V289" s="24">
        <v>9240800508</v>
      </c>
      <c r="W289" s="34" t="s">
        <v>2103</v>
      </c>
      <c r="X289" s="24">
        <v>12</v>
      </c>
      <c r="Y289" s="30" t="s">
        <v>2110</v>
      </c>
      <c r="Z289" s="29">
        <v>46332</v>
      </c>
      <c r="AA289" s="24" t="s">
        <v>2175</v>
      </c>
      <c r="AB289" s="24" t="s">
        <v>2160</v>
      </c>
      <c r="AC289" s="136" t="str">
        <f t="shared" si="8"/>
        <v>Pri002Mu</v>
      </c>
      <c r="AD289" s="136" t="str">
        <f t="shared" si="9"/>
        <v>Invalid Email</v>
      </c>
    </row>
    <row r="290" spans="1:30">
      <c r="A290" s="24" t="s">
        <v>1351</v>
      </c>
      <c r="B290" s="24" t="s">
        <v>71</v>
      </c>
      <c r="C290" s="24" t="s">
        <v>24</v>
      </c>
      <c r="D290" s="30">
        <v>45724</v>
      </c>
      <c r="E290" s="24" t="s">
        <v>136</v>
      </c>
      <c r="F290" s="136" t="str">
        <f>PROPER(TRIM(Sales_data!F290))</f>
        <v>Mohit Verma</v>
      </c>
      <c r="G290" s="30" t="s">
        <v>76</v>
      </c>
      <c r="H290" s="24" t="s">
        <v>77</v>
      </c>
      <c r="I290" s="24" t="s">
        <v>44</v>
      </c>
      <c r="J290" s="24" t="s">
        <v>45</v>
      </c>
      <c r="K290" s="24" t="s">
        <v>2114</v>
      </c>
      <c r="L290" s="24" t="s">
        <v>32</v>
      </c>
      <c r="M290" s="34" t="s">
        <v>33</v>
      </c>
      <c r="N290" s="37">
        <v>3</v>
      </c>
      <c r="O290" s="44">
        <v>1650</v>
      </c>
      <c r="P290" s="35">
        <v>0</v>
      </c>
      <c r="Q290" s="34">
        <v>4950</v>
      </c>
      <c r="R290" s="24">
        <v>4</v>
      </c>
      <c r="S290" s="24" t="s">
        <v>2148</v>
      </c>
      <c r="T290" s="24" t="s">
        <v>61</v>
      </c>
      <c r="U290" s="34" t="str">
        <f>Sales_data!T290</f>
        <v>mohit.verma@company.com</v>
      </c>
      <c r="V290" s="24">
        <v>9764609936</v>
      </c>
      <c r="W290" s="34" t="s">
        <v>2101</v>
      </c>
      <c r="X290" s="24">
        <v>24</v>
      </c>
      <c r="Y290" s="30" t="s">
        <v>2110</v>
      </c>
      <c r="Z290" s="29">
        <v>46461</v>
      </c>
      <c r="AA290" s="24" t="s">
        <v>2173</v>
      </c>
      <c r="AB290" s="24" t="s">
        <v>2108</v>
      </c>
      <c r="AC290" s="136" t="str">
        <f t="shared" si="8"/>
        <v>Moh009De</v>
      </c>
      <c r="AD290" s="136" t="str">
        <f t="shared" si="9"/>
        <v>mohit.verma@company.com</v>
      </c>
    </row>
    <row r="291" spans="1:30">
      <c r="A291" s="24" t="s">
        <v>1354</v>
      </c>
      <c r="B291" s="24" t="s">
        <v>71</v>
      </c>
      <c r="C291" s="24" t="s">
        <v>118</v>
      </c>
      <c r="D291" s="30">
        <v>46062</v>
      </c>
      <c r="E291" s="24" t="s">
        <v>923</v>
      </c>
      <c r="F291" s="136" t="str">
        <f>PROPER(TRIM(Sales_data!F291))</f>
        <v>Mohit Verma</v>
      </c>
      <c r="G291" s="30" t="s">
        <v>76</v>
      </c>
      <c r="H291" s="24" t="s">
        <v>77</v>
      </c>
      <c r="I291" s="24" t="s">
        <v>44</v>
      </c>
      <c r="J291" s="24" t="s">
        <v>45</v>
      </c>
      <c r="K291" s="24" t="s">
        <v>2114</v>
      </c>
      <c r="L291" s="24" t="s">
        <v>122</v>
      </c>
      <c r="M291" s="34" t="s">
        <v>123</v>
      </c>
      <c r="N291" s="37">
        <v>3</v>
      </c>
      <c r="O291" s="44">
        <v>45</v>
      </c>
      <c r="P291" s="35">
        <v>0.15</v>
      </c>
      <c r="Q291" s="34">
        <v>114.75</v>
      </c>
      <c r="R291" s="24">
        <v>4</v>
      </c>
      <c r="S291" s="24" t="s">
        <v>2149</v>
      </c>
      <c r="T291" s="24" t="s">
        <v>115</v>
      </c>
      <c r="U291" s="34" t="str">
        <f>Sales_data!T291</f>
        <v>mohit.verma@company.com</v>
      </c>
      <c r="V291" s="24">
        <v>9362733217</v>
      </c>
      <c r="W291" s="34" t="s">
        <v>2102</v>
      </c>
      <c r="X291" s="24">
        <v>12</v>
      </c>
      <c r="Y291" s="30" t="s">
        <v>2110</v>
      </c>
      <c r="Z291" s="29">
        <v>46439</v>
      </c>
      <c r="AA291" s="24" t="s">
        <v>2173</v>
      </c>
      <c r="AB291" s="24" t="s">
        <v>2108</v>
      </c>
      <c r="AC291" s="136" t="str">
        <f t="shared" si="8"/>
        <v>Moh009De</v>
      </c>
      <c r="AD291" s="136" t="str">
        <f t="shared" si="9"/>
        <v>mohit.verma@company.com</v>
      </c>
    </row>
    <row r="292" spans="1:30">
      <c r="A292" s="24" t="s">
        <v>1357</v>
      </c>
      <c r="B292" s="24" t="s">
        <v>127</v>
      </c>
      <c r="C292" s="24" t="s">
        <v>92</v>
      </c>
      <c r="D292" s="30">
        <v>45733</v>
      </c>
      <c r="E292" s="24" t="s">
        <v>825</v>
      </c>
      <c r="F292" s="136" t="str">
        <f>PROPER(TRIM(Sales_data!F292))</f>
        <v>Rohit Singh</v>
      </c>
      <c r="G292" s="30" t="s">
        <v>76</v>
      </c>
      <c r="H292" s="24" t="s">
        <v>131</v>
      </c>
      <c r="I292" s="24" t="s">
        <v>44</v>
      </c>
      <c r="J292" s="24" t="s">
        <v>45</v>
      </c>
      <c r="K292" s="24" t="s">
        <v>2113</v>
      </c>
      <c r="L292" s="24" t="s">
        <v>32</v>
      </c>
      <c r="M292" s="34" t="s">
        <v>97</v>
      </c>
      <c r="N292" s="37">
        <v>9</v>
      </c>
      <c r="O292" s="44">
        <v>2625</v>
      </c>
      <c r="P292" s="35">
        <v>0.05</v>
      </c>
      <c r="Q292" s="34">
        <v>22443.75</v>
      </c>
      <c r="R292" s="24">
        <v>1</v>
      </c>
      <c r="S292" s="24" t="s">
        <v>34</v>
      </c>
      <c r="T292" s="24" t="s">
        <v>61</v>
      </c>
      <c r="U292" s="34" t="str">
        <f>Sales_data!T292</f>
        <v>rohit.singh@company.com</v>
      </c>
      <c r="V292" s="24">
        <v>9270466205</v>
      </c>
      <c r="W292" s="34" t="s">
        <v>2101</v>
      </c>
      <c r="X292" s="24">
        <v>6</v>
      </c>
      <c r="Y292" s="30" t="s">
        <v>2112</v>
      </c>
      <c r="Z292" s="29">
        <v>45923</v>
      </c>
      <c r="AA292" s="24" t="s">
        <v>2176</v>
      </c>
      <c r="AB292" s="24" t="s">
        <v>2160</v>
      </c>
      <c r="AC292" s="136" t="str">
        <f t="shared" si="8"/>
        <v>Roh003De</v>
      </c>
      <c r="AD292" s="136" t="str">
        <f t="shared" si="9"/>
        <v>rohit.singh@company.com</v>
      </c>
    </row>
    <row r="293" spans="1:30">
      <c r="A293" s="24" t="s">
        <v>1359</v>
      </c>
      <c r="B293" s="24" t="s">
        <v>327</v>
      </c>
      <c r="C293" s="24" t="s">
        <v>72</v>
      </c>
      <c r="D293" s="30">
        <v>45743</v>
      </c>
      <c r="E293" s="24" t="s">
        <v>1360</v>
      </c>
      <c r="F293" s="136" t="str">
        <f>PROPER(TRIM(Sales_data!F293))</f>
        <v>Amit Sharma</v>
      </c>
      <c r="G293" s="30" t="s">
        <v>76</v>
      </c>
      <c r="H293" s="24" t="s">
        <v>331</v>
      </c>
      <c r="I293" s="24" t="s">
        <v>114</v>
      </c>
      <c r="J293" s="24" t="s">
        <v>106</v>
      </c>
      <c r="K293" s="24" t="s">
        <v>2109</v>
      </c>
      <c r="L293" s="24" t="s">
        <v>46</v>
      </c>
      <c r="M293" s="34" t="s">
        <v>78</v>
      </c>
      <c r="N293" s="37">
        <v>5</v>
      </c>
      <c r="O293" s="44">
        <v>900</v>
      </c>
      <c r="P293" s="35">
        <v>0.2</v>
      </c>
      <c r="Q293" s="34">
        <v>3600</v>
      </c>
      <c r="R293" s="24">
        <v>2</v>
      </c>
      <c r="S293" s="24" t="s">
        <v>2149</v>
      </c>
      <c r="T293" s="24" t="s">
        <v>115</v>
      </c>
      <c r="U293" s="34" t="str">
        <f>Sales_data!T293</f>
        <v>amit.sharma@company.com</v>
      </c>
      <c r="V293" s="24">
        <v>9571436865</v>
      </c>
      <c r="W293" s="34" t="s">
        <v>2100</v>
      </c>
      <c r="X293" s="24">
        <v>6</v>
      </c>
      <c r="Y293" s="30" t="s">
        <v>2108</v>
      </c>
      <c r="Z293" s="29">
        <v>45931</v>
      </c>
      <c r="AA293" s="24" t="s">
        <v>2171</v>
      </c>
      <c r="AB293" s="24" t="s">
        <v>2160</v>
      </c>
      <c r="AC293" s="136" t="str">
        <f t="shared" si="8"/>
        <v>Ami001Pu</v>
      </c>
      <c r="AD293" s="136" t="str">
        <f t="shared" si="9"/>
        <v>amit.sharma@company.com</v>
      </c>
    </row>
    <row r="294" spans="1:30">
      <c r="A294" s="24" t="s">
        <v>1363</v>
      </c>
      <c r="B294" s="24" t="s">
        <v>53</v>
      </c>
      <c r="C294" s="24" t="s">
        <v>72</v>
      </c>
      <c r="D294" s="30">
        <v>45728</v>
      </c>
      <c r="E294" s="24" t="s">
        <v>910</v>
      </c>
      <c r="F294" s="136" t="str">
        <f>PROPER(TRIM(Sales_data!F294))</f>
        <v>Pooja Shah</v>
      </c>
      <c r="G294" s="30" t="s">
        <v>28</v>
      </c>
      <c r="H294" s="24" t="s">
        <v>58</v>
      </c>
      <c r="I294" s="24" t="s">
        <v>59</v>
      </c>
      <c r="J294" s="24" t="s">
        <v>31</v>
      </c>
      <c r="K294" s="24" t="s">
        <v>2111</v>
      </c>
      <c r="L294" s="24" t="s">
        <v>46</v>
      </c>
      <c r="M294" s="34" t="s">
        <v>78</v>
      </c>
      <c r="N294" s="37">
        <v>10</v>
      </c>
      <c r="O294" s="44">
        <v>900</v>
      </c>
      <c r="P294" s="35">
        <v>0.2</v>
      </c>
      <c r="Q294" s="34">
        <v>7200</v>
      </c>
      <c r="R294" s="24">
        <v>4</v>
      </c>
      <c r="S294" s="24" t="s">
        <v>34</v>
      </c>
      <c r="T294" s="24" t="s">
        <v>49</v>
      </c>
      <c r="U294" s="34" t="str">
        <f>Sales_data!T294</f>
        <v>Pooja.shah@company.com</v>
      </c>
      <c r="V294" s="24">
        <v>9307011171</v>
      </c>
      <c r="W294" s="34" t="s">
        <v>2100</v>
      </c>
      <c r="X294" s="24">
        <v>6</v>
      </c>
      <c r="Y294" s="30" t="s">
        <v>2108</v>
      </c>
      <c r="Z294" s="29">
        <v>45914</v>
      </c>
      <c r="AA294" s="24" t="s">
        <v>2172</v>
      </c>
      <c r="AB294" s="24" t="s">
        <v>2108</v>
      </c>
      <c r="AC294" s="136" t="str">
        <f t="shared" si="8"/>
        <v>Poo010Be</v>
      </c>
      <c r="AD294" s="136" t="str">
        <f t="shared" si="9"/>
        <v>pooja.shah@company.com</v>
      </c>
    </row>
    <row r="295" spans="1:30">
      <c r="A295" s="24" t="s">
        <v>1367</v>
      </c>
      <c r="B295" s="24" t="s">
        <v>23</v>
      </c>
      <c r="C295" s="24" t="s">
        <v>72</v>
      </c>
      <c r="D295" s="30">
        <v>46066</v>
      </c>
      <c r="E295" s="24" t="s">
        <v>1369</v>
      </c>
      <c r="F295" s="136" t="str">
        <f>PROPER(TRIM(Sales_data!F295))</f>
        <v>Kavya Nair</v>
      </c>
      <c r="G295" s="30" t="s">
        <v>28</v>
      </c>
      <c r="H295" s="24" t="s">
        <v>29</v>
      </c>
      <c r="I295" s="24" t="s">
        <v>30</v>
      </c>
      <c r="J295" s="24" t="s">
        <v>31</v>
      </c>
      <c r="K295" s="24" t="s">
        <v>2111</v>
      </c>
      <c r="L295" s="24" t="s">
        <v>46</v>
      </c>
      <c r="M295" s="34" t="s">
        <v>78</v>
      </c>
      <c r="N295" s="37">
        <v>5</v>
      </c>
      <c r="O295" s="44">
        <v>900</v>
      </c>
      <c r="P295" s="35">
        <v>0.2</v>
      </c>
      <c r="Q295" s="34">
        <v>3600</v>
      </c>
      <c r="R295" s="24">
        <v>3</v>
      </c>
      <c r="S295" s="24" t="s">
        <v>2148</v>
      </c>
      <c r="T295" s="24" t="s">
        <v>151</v>
      </c>
      <c r="U295" s="34" t="str">
        <f>Sales_data!T295</f>
        <v>kavya.nair@company.com</v>
      </c>
      <c r="V295" s="24">
        <v>9922380435</v>
      </c>
      <c r="W295" s="34" t="s">
        <v>2100</v>
      </c>
      <c r="X295" s="24">
        <v>6</v>
      </c>
      <c r="Y295" s="30" t="s">
        <v>2108</v>
      </c>
      <c r="Z295" s="29">
        <v>46258</v>
      </c>
      <c r="AA295" s="24" t="s">
        <v>2171</v>
      </c>
      <c r="AB295" s="24" t="s">
        <v>2108</v>
      </c>
      <c r="AC295" s="136" t="str">
        <f t="shared" si="8"/>
        <v>Kav008Hy</v>
      </c>
      <c r="AD295" s="136" t="str">
        <f t="shared" si="9"/>
        <v>kavya.nair@company.com</v>
      </c>
    </row>
    <row r="296" spans="1:30">
      <c r="A296" s="24" t="s">
        <v>1372</v>
      </c>
      <c r="B296" s="24" t="s">
        <v>168</v>
      </c>
      <c r="C296" s="24" t="s">
        <v>222</v>
      </c>
      <c r="D296" s="30">
        <v>45699</v>
      </c>
      <c r="E296" s="24" t="s">
        <v>1374</v>
      </c>
      <c r="F296" s="136" t="str">
        <f>PROPER(TRIM(Sales_data!F296))</f>
        <v>Anita Gupta</v>
      </c>
      <c r="G296" s="30" t="s">
        <v>28</v>
      </c>
      <c r="H296" s="24" t="s">
        <v>173</v>
      </c>
      <c r="I296" s="24" t="s">
        <v>114</v>
      </c>
      <c r="J296" s="24" t="s">
        <v>106</v>
      </c>
      <c r="K296" s="24" t="s">
        <v>2111</v>
      </c>
      <c r="L296" s="24" t="s">
        <v>122</v>
      </c>
      <c r="M296" s="34" t="s">
        <v>227</v>
      </c>
      <c r="N296" s="37">
        <v>10</v>
      </c>
      <c r="O296" s="44">
        <v>15</v>
      </c>
      <c r="P296" s="35">
        <v>0.05</v>
      </c>
      <c r="Q296" s="34">
        <v>142.5</v>
      </c>
      <c r="R296" s="24">
        <v>4</v>
      </c>
      <c r="S296" s="24" t="s">
        <v>34</v>
      </c>
      <c r="T296" s="24" t="s">
        <v>151</v>
      </c>
      <c r="U296" s="34" t="str">
        <f>Sales_data!T296</f>
        <v>anita.gupta@company.com</v>
      </c>
      <c r="V296" s="24">
        <v>9463618792</v>
      </c>
      <c r="W296" s="34" t="s">
        <v>2103</v>
      </c>
      <c r="X296" s="24">
        <v>12</v>
      </c>
      <c r="Y296" s="30" t="s">
        <v>2112</v>
      </c>
      <c r="Z296" s="29">
        <v>46067</v>
      </c>
      <c r="AA296" s="24" t="s">
        <v>2177</v>
      </c>
      <c r="AB296" s="24" t="s">
        <v>2108</v>
      </c>
      <c r="AC296" s="136" t="str">
        <f t="shared" si="8"/>
        <v>Ani004Pu</v>
      </c>
      <c r="AD296" s="136" t="str">
        <f t="shared" si="9"/>
        <v>anita.gupta@company.com</v>
      </c>
    </row>
    <row r="297" spans="1:30">
      <c r="A297" s="24" t="s">
        <v>1377</v>
      </c>
      <c r="B297" s="24" t="s">
        <v>100</v>
      </c>
      <c r="C297" s="24" t="s">
        <v>118</v>
      </c>
      <c r="D297" s="30">
        <v>45674</v>
      </c>
      <c r="E297" s="24" t="s">
        <v>1379</v>
      </c>
      <c r="F297" s="136" t="str">
        <f>PROPER(TRIM(Sales_data!F297))</f>
        <v>Priya Patel</v>
      </c>
      <c r="G297" s="30" t="s">
        <v>28</v>
      </c>
      <c r="H297" s="24" t="s">
        <v>104</v>
      </c>
      <c r="I297" s="24" t="s">
        <v>105</v>
      </c>
      <c r="J297" s="24" t="s">
        <v>106</v>
      </c>
      <c r="K297" s="24" t="s">
        <v>2111</v>
      </c>
      <c r="L297" s="24" t="s">
        <v>122</v>
      </c>
      <c r="M297" s="34" t="s">
        <v>123</v>
      </c>
      <c r="N297" s="37">
        <v>20</v>
      </c>
      <c r="O297" s="44">
        <v>45</v>
      </c>
      <c r="P297" s="35">
        <v>0.15</v>
      </c>
      <c r="Q297" s="34">
        <v>765</v>
      </c>
      <c r="R297" s="24">
        <v>5</v>
      </c>
      <c r="S297" s="24" t="s">
        <v>79</v>
      </c>
      <c r="T297" s="24" t="s">
        <v>35</v>
      </c>
      <c r="U297" s="34" t="str">
        <f>Sales_data!T297</f>
        <v>priya.patel@company.com</v>
      </c>
      <c r="V297" s="24">
        <v>9954973200</v>
      </c>
      <c r="W297" s="34" t="s">
        <v>2102</v>
      </c>
      <c r="X297" s="24">
        <v>12</v>
      </c>
      <c r="Y297" s="30" t="s">
        <v>2110</v>
      </c>
      <c r="Z297" s="29">
        <v>46049</v>
      </c>
      <c r="AA297" s="24" t="s">
        <v>2175</v>
      </c>
      <c r="AB297" s="24" t="s">
        <v>2108</v>
      </c>
      <c r="AC297" s="136" t="str">
        <f t="shared" si="8"/>
        <v>Pri002Mu</v>
      </c>
      <c r="AD297" s="136" t="str">
        <f t="shared" si="9"/>
        <v>priya.patel@company.com</v>
      </c>
    </row>
    <row r="298" spans="1:30">
      <c r="A298" s="24" t="s">
        <v>1382</v>
      </c>
      <c r="B298" s="24" t="s">
        <v>327</v>
      </c>
      <c r="C298" s="24" t="s">
        <v>24</v>
      </c>
      <c r="D298" s="30">
        <v>45748</v>
      </c>
      <c r="E298" s="24" t="s">
        <v>577</v>
      </c>
      <c r="F298" s="136" t="str">
        <f>PROPER(TRIM(Sales_data!F298))</f>
        <v>Amit Sharma</v>
      </c>
      <c r="G298" s="30" t="s">
        <v>76</v>
      </c>
      <c r="H298" s="24" t="s">
        <v>331</v>
      </c>
      <c r="I298" s="24" t="s">
        <v>114</v>
      </c>
      <c r="J298" s="24" t="s">
        <v>106</v>
      </c>
      <c r="K298" s="24" t="s">
        <v>2109</v>
      </c>
      <c r="L298" s="24" t="s">
        <v>32</v>
      </c>
      <c r="M298" s="34" t="s">
        <v>33</v>
      </c>
      <c r="N298" s="37">
        <v>7</v>
      </c>
      <c r="O298" s="44">
        <v>1650</v>
      </c>
      <c r="P298" s="35">
        <v>0.15</v>
      </c>
      <c r="Q298" s="34">
        <v>9817.5</v>
      </c>
      <c r="R298" s="24">
        <v>4</v>
      </c>
      <c r="S298" s="24" t="s">
        <v>34</v>
      </c>
      <c r="T298" s="24" t="s">
        <v>61</v>
      </c>
      <c r="U298" s="34" t="str">
        <f>Sales_data!T298</f>
        <v>amit.sharma@company.com</v>
      </c>
      <c r="V298" s="24">
        <v>9383199236</v>
      </c>
      <c r="W298" s="34" t="s">
        <v>2101</v>
      </c>
      <c r="X298" s="24">
        <v>24</v>
      </c>
      <c r="Y298" s="30" t="s">
        <v>2108</v>
      </c>
      <c r="Z298" s="29">
        <v>46489</v>
      </c>
      <c r="AA298" s="24" t="s">
        <v>2171</v>
      </c>
      <c r="AB298" s="24" t="s">
        <v>2108</v>
      </c>
      <c r="AC298" s="136" t="str">
        <f t="shared" si="8"/>
        <v>Ami001Pu</v>
      </c>
      <c r="AD298" s="136" t="str">
        <f t="shared" si="9"/>
        <v>amit.sharma@company.com</v>
      </c>
    </row>
    <row r="299" spans="1:30">
      <c r="A299" s="24" t="s">
        <v>1385</v>
      </c>
      <c r="B299" s="24" t="s">
        <v>127</v>
      </c>
      <c r="C299" s="24" t="s">
        <v>54</v>
      </c>
      <c r="D299" s="30">
        <v>45670</v>
      </c>
      <c r="E299" s="24" t="s">
        <v>760</v>
      </c>
      <c r="F299" s="136" t="str">
        <f>PROPER(TRIM(Sales_data!F299))</f>
        <v>Rohit Singh</v>
      </c>
      <c r="G299" s="30" t="s">
        <v>76</v>
      </c>
      <c r="H299" s="24" t="s">
        <v>131</v>
      </c>
      <c r="I299" s="24" t="s">
        <v>44</v>
      </c>
      <c r="J299" s="24" t="s">
        <v>45</v>
      </c>
      <c r="K299" s="24" t="s">
        <v>2113</v>
      </c>
      <c r="L299" s="24" t="s">
        <v>46</v>
      </c>
      <c r="M299" s="34" t="s">
        <v>60</v>
      </c>
      <c r="N299" s="37">
        <v>11</v>
      </c>
      <c r="O299" s="44">
        <v>41250</v>
      </c>
      <c r="P299" s="35">
        <v>0.05</v>
      </c>
      <c r="Q299" s="34">
        <v>431062.5</v>
      </c>
      <c r="R299" s="24">
        <v>1</v>
      </c>
      <c r="S299" s="24" t="s">
        <v>2149</v>
      </c>
      <c r="T299" s="24" t="s">
        <v>35</v>
      </c>
      <c r="U299" s="34" t="str">
        <f>Sales_data!T299</f>
        <v>rohit.singh@company.com</v>
      </c>
      <c r="V299" s="24">
        <v>9482699727</v>
      </c>
      <c r="W299" s="34" t="s">
        <v>2100</v>
      </c>
      <c r="X299" s="24">
        <v>12</v>
      </c>
      <c r="Y299" s="30" t="s">
        <v>2112</v>
      </c>
      <c r="Z299" s="29">
        <v>46038</v>
      </c>
      <c r="AA299" s="24" t="s">
        <v>2176</v>
      </c>
      <c r="AB299" s="24" t="s">
        <v>2160</v>
      </c>
      <c r="AC299" s="136" t="str">
        <f t="shared" si="8"/>
        <v>Roh003De</v>
      </c>
      <c r="AD299" s="136" t="str">
        <f t="shared" si="9"/>
        <v>rohit.singh@company.com</v>
      </c>
    </row>
    <row r="300" spans="1:30">
      <c r="A300" s="24" t="s">
        <v>1388</v>
      </c>
      <c r="B300" s="24" t="s">
        <v>83</v>
      </c>
      <c r="C300" s="24" t="s">
        <v>92</v>
      </c>
      <c r="D300" s="30">
        <v>45935</v>
      </c>
      <c r="E300" s="24" t="s">
        <v>1389</v>
      </c>
      <c r="F300" s="136" t="str">
        <f>PROPER(TRIM(Sales_data!F300))</f>
        <v>Arjun Rao</v>
      </c>
      <c r="G300" s="30" t="s">
        <v>76</v>
      </c>
      <c r="H300" s="24" t="s">
        <v>87</v>
      </c>
      <c r="I300" s="24" t="s">
        <v>30</v>
      </c>
      <c r="J300" s="24" t="s">
        <v>31</v>
      </c>
      <c r="K300" s="24" t="s">
        <v>2109</v>
      </c>
      <c r="L300" s="24" t="s">
        <v>32</v>
      </c>
      <c r="M300" s="34" t="s">
        <v>97</v>
      </c>
      <c r="N300" s="37">
        <v>12</v>
      </c>
      <c r="O300" s="44">
        <v>2625</v>
      </c>
      <c r="P300" s="35">
        <v>0</v>
      </c>
      <c r="Q300" s="34">
        <v>31500</v>
      </c>
      <c r="R300" s="24">
        <v>2</v>
      </c>
      <c r="S300" s="24" t="s">
        <v>2148</v>
      </c>
      <c r="T300" s="24" t="s">
        <v>2145</v>
      </c>
      <c r="U300" s="34" t="str">
        <f>Sales_data!T300</f>
        <v>arjun.rao@company.com</v>
      </c>
      <c r="V300" s="24">
        <v>9332473934</v>
      </c>
      <c r="W300" s="34" t="s">
        <v>2101</v>
      </c>
      <c r="X300" s="24">
        <v>6</v>
      </c>
      <c r="Y300" s="30" t="s">
        <v>2108</v>
      </c>
      <c r="Z300" s="29">
        <v>46129</v>
      </c>
      <c r="AA300" s="24" t="s">
        <v>2174</v>
      </c>
      <c r="AB300" s="24" t="s">
        <v>2160</v>
      </c>
      <c r="AC300" s="136" t="str">
        <f t="shared" si="8"/>
        <v>Arj007Hy</v>
      </c>
      <c r="AD300" s="136" t="str">
        <f t="shared" si="9"/>
        <v>arjun.rao@company.com</v>
      </c>
    </row>
    <row r="301" spans="1:30">
      <c r="A301" s="24" t="s">
        <v>1392</v>
      </c>
      <c r="B301" s="24" t="s">
        <v>71</v>
      </c>
      <c r="C301" s="24" t="s">
        <v>259</v>
      </c>
      <c r="D301" s="30">
        <v>46078</v>
      </c>
      <c r="E301" s="24" t="s">
        <v>298</v>
      </c>
      <c r="F301" s="136" t="str">
        <f>PROPER(TRIM(Sales_data!F301))</f>
        <v>Mohit Verma</v>
      </c>
      <c r="G301" s="30" t="s">
        <v>76</v>
      </c>
      <c r="H301" s="24" t="s">
        <v>77</v>
      </c>
      <c r="I301" s="24" t="s">
        <v>44</v>
      </c>
      <c r="J301" s="24" t="s">
        <v>45</v>
      </c>
      <c r="K301" s="24" t="s">
        <v>2114</v>
      </c>
      <c r="L301" s="24" t="s">
        <v>122</v>
      </c>
      <c r="M301" s="34" t="s">
        <v>263</v>
      </c>
      <c r="N301" s="37">
        <v>15</v>
      </c>
      <c r="O301" s="44">
        <v>33.75</v>
      </c>
      <c r="P301" s="35">
        <v>0.1</v>
      </c>
      <c r="Q301" s="34">
        <v>455.625</v>
      </c>
      <c r="R301" s="24">
        <v>2</v>
      </c>
      <c r="S301" s="24" t="s">
        <v>34</v>
      </c>
      <c r="T301" s="24" t="s">
        <v>151</v>
      </c>
      <c r="U301" s="34" t="str">
        <f>Sales_data!T301</f>
        <v>mohit.verma@company.com</v>
      </c>
      <c r="V301" s="24">
        <v>9647657382</v>
      </c>
      <c r="W301" s="34" t="s">
        <v>2100</v>
      </c>
      <c r="X301" s="24">
        <v>12</v>
      </c>
      <c r="Y301" s="30" t="s">
        <v>2110</v>
      </c>
      <c r="Z301" s="29">
        <v>46454</v>
      </c>
      <c r="AA301" s="24" t="s">
        <v>2173</v>
      </c>
      <c r="AB301" s="24" t="s">
        <v>2160</v>
      </c>
      <c r="AC301" s="136" t="str">
        <f t="shared" si="8"/>
        <v>Moh009De</v>
      </c>
      <c r="AD301" s="136" t="str">
        <f t="shared" si="9"/>
        <v>mohit.verma@company.com</v>
      </c>
    </row>
    <row r="302" spans="1:30">
      <c r="A302" s="24" t="s">
        <v>1395</v>
      </c>
      <c r="B302" s="24" t="s">
        <v>327</v>
      </c>
      <c r="C302" s="24" t="s">
        <v>259</v>
      </c>
      <c r="D302" s="30">
        <v>45793</v>
      </c>
      <c r="E302" s="24" t="s">
        <v>936</v>
      </c>
      <c r="F302" s="136" t="str">
        <f>PROPER(TRIM(Sales_data!F302))</f>
        <v>Amit Sharma</v>
      </c>
      <c r="G302" s="30" t="s">
        <v>76</v>
      </c>
      <c r="H302" s="24" t="s">
        <v>331</v>
      </c>
      <c r="I302" s="24" t="s">
        <v>114</v>
      </c>
      <c r="J302" s="24" t="s">
        <v>106</v>
      </c>
      <c r="K302" s="24" t="s">
        <v>2109</v>
      </c>
      <c r="L302" s="24" t="s">
        <v>122</v>
      </c>
      <c r="M302" s="34" t="s">
        <v>263</v>
      </c>
      <c r="N302" s="37">
        <v>13</v>
      </c>
      <c r="O302" s="44">
        <v>33.75</v>
      </c>
      <c r="P302" s="35">
        <v>0</v>
      </c>
      <c r="Q302" s="34">
        <v>438.75</v>
      </c>
      <c r="R302" s="24">
        <v>5</v>
      </c>
      <c r="S302" s="24" t="s">
        <v>2148</v>
      </c>
      <c r="T302" s="24" t="s">
        <v>49</v>
      </c>
      <c r="U302" s="34" t="str">
        <f>Sales_data!T302</f>
        <v>amit.sharma@company.com</v>
      </c>
      <c r="V302" s="24">
        <v>9736797776</v>
      </c>
      <c r="W302" s="34" t="s">
        <v>2100</v>
      </c>
      <c r="X302" s="24">
        <v>12</v>
      </c>
      <c r="Y302" s="30" t="s">
        <v>2108</v>
      </c>
      <c r="Z302" s="29">
        <v>46168</v>
      </c>
      <c r="AA302" s="24" t="s">
        <v>2171</v>
      </c>
      <c r="AB302" s="24" t="s">
        <v>2108</v>
      </c>
      <c r="AC302" s="136" t="str">
        <f t="shared" si="8"/>
        <v>Ami001Pu</v>
      </c>
      <c r="AD302" s="136" t="str">
        <f t="shared" si="9"/>
        <v>amit.sharma@company.com</v>
      </c>
    </row>
    <row r="303" spans="1:30">
      <c r="A303" s="24" t="s">
        <v>1398</v>
      </c>
      <c r="B303" s="24" t="s">
        <v>127</v>
      </c>
      <c r="C303" s="24" t="s">
        <v>54</v>
      </c>
      <c r="D303" s="30">
        <v>46024</v>
      </c>
      <c r="E303" s="24" t="s">
        <v>1199</v>
      </c>
      <c r="F303" s="136" t="str">
        <f>PROPER(TRIM(Sales_data!F303))</f>
        <v>Rohit Singh</v>
      </c>
      <c r="G303" s="30" t="s">
        <v>76</v>
      </c>
      <c r="H303" s="24" t="s">
        <v>131</v>
      </c>
      <c r="I303" s="24" t="s">
        <v>44</v>
      </c>
      <c r="J303" s="24" t="s">
        <v>45</v>
      </c>
      <c r="K303" s="24" t="s">
        <v>2113</v>
      </c>
      <c r="L303" s="24" t="s">
        <v>46</v>
      </c>
      <c r="M303" s="34" t="s">
        <v>60</v>
      </c>
      <c r="N303" s="37">
        <v>8</v>
      </c>
      <c r="O303" s="44">
        <v>41250</v>
      </c>
      <c r="P303" s="35">
        <v>0</v>
      </c>
      <c r="Q303" s="34">
        <v>330000</v>
      </c>
      <c r="R303" s="24">
        <v>2</v>
      </c>
      <c r="S303" s="24" t="s">
        <v>2149</v>
      </c>
      <c r="T303" s="24" t="s">
        <v>151</v>
      </c>
      <c r="U303" s="34" t="str">
        <f>Sales_data!T303</f>
        <v>rohit.singh@company.com</v>
      </c>
      <c r="V303" s="24">
        <v>9745773533</v>
      </c>
      <c r="W303" s="34" t="s">
        <v>2100</v>
      </c>
      <c r="X303" s="24">
        <v>12</v>
      </c>
      <c r="Y303" s="30" t="s">
        <v>2112</v>
      </c>
      <c r="Z303" s="29">
        <v>46392</v>
      </c>
      <c r="AA303" s="24" t="s">
        <v>2176</v>
      </c>
      <c r="AB303" s="24" t="s">
        <v>2160</v>
      </c>
      <c r="AC303" s="136" t="str">
        <f t="shared" si="8"/>
        <v>Roh003De</v>
      </c>
      <c r="AD303" s="136" t="str">
        <f t="shared" si="9"/>
        <v>rohit.singh@company.com</v>
      </c>
    </row>
    <row r="304" spans="1:30">
      <c r="A304" s="24" t="s">
        <v>1401</v>
      </c>
      <c r="B304" s="24" t="s">
        <v>251</v>
      </c>
      <c r="C304" s="24" t="s">
        <v>54</v>
      </c>
      <c r="D304" s="30">
        <v>45861</v>
      </c>
      <c r="E304" s="24" t="s">
        <v>381</v>
      </c>
      <c r="F304" s="136" t="str">
        <f>PROPER(TRIM(Sales_data!F304))</f>
        <v>Sneha Joshi</v>
      </c>
      <c r="G304" s="30" t="s">
        <v>28</v>
      </c>
      <c r="H304" s="24" t="s">
        <v>255</v>
      </c>
      <c r="I304" s="24" t="s">
        <v>114</v>
      </c>
      <c r="J304" s="24" t="s">
        <v>106</v>
      </c>
      <c r="K304" s="24" t="s">
        <v>2111</v>
      </c>
      <c r="L304" s="24" t="s">
        <v>46</v>
      </c>
      <c r="M304" s="34" t="s">
        <v>60</v>
      </c>
      <c r="N304" s="37">
        <v>4</v>
      </c>
      <c r="O304" s="44">
        <v>41250</v>
      </c>
      <c r="P304" s="35">
        <v>0.2</v>
      </c>
      <c r="Q304" s="34">
        <v>132000</v>
      </c>
      <c r="R304" s="24">
        <v>5</v>
      </c>
      <c r="S304" s="24" t="s">
        <v>34</v>
      </c>
      <c r="T304" s="24" t="s">
        <v>49</v>
      </c>
      <c r="U304" s="34" t="str">
        <f>Sales_data!T304</f>
        <v>sneha.joshi@company.com</v>
      </c>
      <c r="V304" s="24">
        <v>9246715757</v>
      </c>
      <c r="W304" s="34" t="s">
        <v>2100</v>
      </c>
      <c r="X304" s="24">
        <v>12</v>
      </c>
      <c r="Y304" s="30" t="s">
        <v>2112</v>
      </c>
      <c r="Z304" s="29">
        <v>46230</v>
      </c>
      <c r="AA304" s="24" t="s">
        <v>2173</v>
      </c>
      <c r="AB304" s="24" t="s">
        <v>2112</v>
      </c>
      <c r="AC304" s="136" t="str">
        <f t="shared" si="8"/>
        <v>Sne006Pu</v>
      </c>
      <c r="AD304" s="136" t="str">
        <f t="shared" si="9"/>
        <v>sneha.joshi@company.com</v>
      </c>
    </row>
    <row r="305" spans="1:30">
      <c r="A305" s="24" t="s">
        <v>1404</v>
      </c>
      <c r="B305" s="24" t="s">
        <v>23</v>
      </c>
      <c r="C305" s="24" t="s">
        <v>92</v>
      </c>
      <c r="D305" s="30">
        <v>46135</v>
      </c>
      <c r="E305" s="24" t="s">
        <v>716</v>
      </c>
      <c r="F305" s="136" t="str">
        <f>PROPER(TRIM(Sales_data!F305))</f>
        <v>Kavya Nair</v>
      </c>
      <c r="G305" s="30" t="s">
        <v>28</v>
      </c>
      <c r="H305" s="24" t="s">
        <v>29</v>
      </c>
      <c r="I305" s="24" t="s">
        <v>30</v>
      </c>
      <c r="J305" s="24" t="s">
        <v>31</v>
      </c>
      <c r="K305" s="24" t="s">
        <v>2111</v>
      </c>
      <c r="L305" s="24" t="s">
        <v>32</v>
      </c>
      <c r="M305" s="34" t="s">
        <v>97</v>
      </c>
      <c r="N305" s="37">
        <v>19</v>
      </c>
      <c r="O305" s="44">
        <v>2625</v>
      </c>
      <c r="P305" s="35">
        <v>0.05</v>
      </c>
      <c r="Q305" s="34">
        <v>47381.25</v>
      </c>
      <c r="R305" s="24">
        <v>1</v>
      </c>
      <c r="S305" s="24" t="s">
        <v>79</v>
      </c>
      <c r="T305" s="24" t="s">
        <v>115</v>
      </c>
      <c r="U305" s="34" t="str">
        <f>Sales_data!T305</f>
        <v>kavya.nair@company.com</v>
      </c>
      <c r="V305" s="24">
        <v>9904065774</v>
      </c>
      <c r="W305" s="34" t="s">
        <v>2101</v>
      </c>
      <c r="X305" s="24">
        <v>6</v>
      </c>
      <c r="Y305" s="30" t="s">
        <v>2108</v>
      </c>
      <c r="Z305" s="29">
        <v>46321</v>
      </c>
      <c r="AA305" s="24" t="s">
        <v>2171</v>
      </c>
      <c r="AB305" s="24" t="s">
        <v>2160</v>
      </c>
      <c r="AC305" s="136" t="str">
        <f t="shared" si="8"/>
        <v>Kav008Hy</v>
      </c>
      <c r="AD305" s="136" t="str">
        <f t="shared" si="9"/>
        <v>kavya.nair@company.com</v>
      </c>
    </row>
    <row r="306" spans="1:30">
      <c r="A306" s="24" t="s">
        <v>1408</v>
      </c>
      <c r="B306" s="24" t="s">
        <v>221</v>
      </c>
      <c r="C306" s="24" t="s">
        <v>72</v>
      </c>
      <c r="D306" s="30">
        <v>45718</v>
      </c>
      <c r="E306" s="24" t="s">
        <v>414</v>
      </c>
      <c r="F306" s="136" t="str">
        <f>PROPER(TRIM(Sales_data!F306))</f>
        <v>Vikas Mehta</v>
      </c>
      <c r="G306" s="30" t="s">
        <v>76</v>
      </c>
      <c r="H306" s="24" t="s">
        <v>226</v>
      </c>
      <c r="I306" s="24" t="s">
        <v>105</v>
      </c>
      <c r="J306" s="24" t="s">
        <v>106</v>
      </c>
      <c r="K306" s="24" t="s">
        <v>2113</v>
      </c>
      <c r="L306" s="24" t="s">
        <v>46</v>
      </c>
      <c r="M306" s="34" t="s">
        <v>78</v>
      </c>
      <c r="N306" s="37">
        <v>17</v>
      </c>
      <c r="O306" s="44">
        <v>900</v>
      </c>
      <c r="P306" s="35">
        <v>0.15</v>
      </c>
      <c r="Q306" s="34">
        <v>13005</v>
      </c>
      <c r="R306" s="24">
        <v>2</v>
      </c>
      <c r="S306" s="24" t="s">
        <v>2148</v>
      </c>
      <c r="T306" s="24" t="s">
        <v>49</v>
      </c>
      <c r="U306" s="34" t="str">
        <f>Sales_data!T306</f>
        <v>vikas.mehta@company.com</v>
      </c>
      <c r="V306" s="24">
        <v>9652985385</v>
      </c>
      <c r="W306" s="34" t="s">
        <v>2100</v>
      </c>
      <c r="X306" s="24">
        <v>6</v>
      </c>
      <c r="Y306" s="30" t="s">
        <v>2112</v>
      </c>
      <c r="Z306" s="29">
        <v>45906</v>
      </c>
      <c r="AA306" s="24" t="s">
        <v>2171</v>
      </c>
      <c r="AB306" s="24" t="s">
        <v>2160</v>
      </c>
      <c r="AC306" s="136" t="str">
        <f t="shared" si="8"/>
        <v>Vik005Mu</v>
      </c>
      <c r="AD306" s="136" t="str">
        <f t="shared" si="9"/>
        <v>vikas.mehta@company.com</v>
      </c>
    </row>
    <row r="307" spans="1:30">
      <c r="A307" s="24" t="s">
        <v>1412</v>
      </c>
      <c r="B307" s="24" t="s">
        <v>23</v>
      </c>
      <c r="C307" s="24" t="s">
        <v>24</v>
      </c>
      <c r="D307" s="30">
        <v>46062</v>
      </c>
      <c r="E307" s="24" t="s">
        <v>736</v>
      </c>
      <c r="F307" s="136" t="str">
        <f>PROPER(TRIM(Sales_data!F307))</f>
        <v>Kavya Nair</v>
      </c>
      <c r="G307" s="30" t="s">
        <v>28</v>
      </c>
      <c r="H307" s="24" t="s">
        <v>29</v>
      </c>
      <c r="I307" s="24" t="s">
        <v>30</v>
      </c>
      <c r="J307" s="24" t="s">
        <v>31</v>
      </c>
      <c r="K307" s="24" t="s">
        <v>2111</v>
      </c>
      <c r="L307" s="24" t="s">
        <v>32</v>
      </c>
      <c r="M307" s="34" t="s">
        <v>33</v>
      </c>
      <c r="N307" s="37">
        <v>8</v>
      </c>
      <c r="O307" s="44">
        <v>1650</v>
      </c>
      <c r="P307" s="35">
        <v>0.05</v>
      </c>
      <c r="Q307" s="34">
        <v>12540</v>
      </c>
      <c r="R307" s="24">
        <v>3</v>
      </c>
      <c r="S307" s="24" t="s">
        <v>79</v>
      </c>
      <c r="T307" s="24" t="s">
        <v>115</v>
      </c>
      <c r="U307" s="34" t="str">
        <f>Sales_data!T307</f>
        <v>kavya.nair@company.com</v>
      </c>
      <c r="V307" s="24">
        <v>9427001508</v>
      </c>
      <c r="W307" s="34" t="s">
        <v>2101</v>
      </c>
      <c r="X307" s="24">
        <v>24</v>
      </c>
      <c r="Y307" s="30" t="s">
        <v>2108</v>
      </c>
      <c r="Z307" s="29">
        <v>46800</v>
      </c>
      <c r="AA307" s="24" t="s">
        <v>2171</v>
      </c>
      <c r="AB307" s="24" t="s">
        <v>2108</v>
      </c>
      <c r="AC307" s="136" t="str">
        <f t="shared" si="8"/>
        <v>Kav008Hy</v>
      </c>
      <c r="AD307" s="136" t="str">
        <f t="shared" si="9"/>
        <v>kavya.nair@company.com</v>
      </c>
    </row>
    <row r="308" spans="1:30">
      <c r="A308" s="24" t="s">
        <v>1415</v>
      </c>
      <c r="B308" s="24" t="s">
        <v>251</v>
      </c>
      <c r="C308" s="24" t="s">
        <v>184</v>
      </c>
      <c r="D308" s="30">
        <v>45704</v>
      </c>
      <c r="E308" s="24" t="s">
        <v>387</v>
      </c>
      <c r="F308" s="136" t="str">
        <f>PROPER(TRIM(Sales_data!F308))</f>
        <v>Sneha Joshi</v>
      </c>
      <c r="G308" s="30" t="s">
        <v>28</v>
      </c>
      <c r="H308" s="24" t="s">
        <v>255</v>
      </c>
      <c r="I308" s="24" t="s">
        <v>114</v>
      </c>
      <c r="J308" s="24" t="s">
        <v>106</v>
      </c>
      <c r="K308" s="24" t="s">
        <v>2111</v>
      </c>
      <c r="L308" s="24" t="s">
        <v>46</v>
      </c>
      <c r="M308" s="34" t="s">
        <v>189</v>
      </c>
      <c r="N308" s="37">
        <v>17</v>
      </c>
      <c r="O308" s="44">
        <v>525</v>
      </c>
      <c r="P308" s="35">
        <v>0.2</v>
      </c>
      <c r="Q308" s="34">
        <v>7140</v>
      </c>
      <c r="R308" s="24">
        <v>4</v>
      </c>
      <c r="S308" s="24" t="s">
        <v>2148</v>
      </c>
      <c r="T308" s="24" t="s">
        <v>115</v>
      </c>
      <c r="U308" s="34" t="str">
        <f>Sales_data!T308</f>
        <v>sneha.joshi@company.com</v>
      </c>
      <c r="V308" s="24">
        <v>9666803655</v>
      </c>
      <c r="W308" s="34" t="s">
        <v>2100</v>
      </c>
      <c r="X308" s="24">
        <v>24</v>
      </c>
      <c r="Y308" s="30" t="s">
        <v>2112</v>
      </c>
      <c r="Z308" s="29">
        <v>46444</v>
      </c>
      <c r="AA308" s="24" t="s">
        <v>2173</v>
      </c>
      <c r="AB308" s="24" t="s">
        <v>2108</v>
      </c>
      <c r="AC308" s="136" t="str">
        <f t="shared" si="8"/>
        <v>Sne006Pu</v>
      </c>
      <c r="AD308" s="136" t="str">
        <f t="shared" si="9"/>
        <v>sneha.joshi@company.com</v>
      </c>
    </row>
    <row r="309" spans="1:30">
      <c r="A309" s="24" t="s">
        <v>1417</v>
      </c>
      <c r="B309" s="24" t="s">
        <v>251</v>
      </c>
      <c r="C309" s="24" t="s">
        <v>169</v>
      </c>
      <c r="D309" s="30">
        <v>45897</v>
      </c>
      <c r="E309" s="24" t="s">
        <v>246</v>
      </c>
      <c r="F309" s="136" t="str">
        <f>PROPER(TRIM(Sales_data!F309))</f>
        <v>Sneha Joshi</v>
      </c>
      <c r="G309" s="30" t="s">
        <v>28</v>
      </c>
      <c r="H309" s="24" t="s">
        <v>255</v>
      </c>
      <c r="I309" s="24" t="s">
        <v>114</v>
      </c>
      <c r="J309" s="24" t="s">
        <v>106</v>
      </c>
      <c r="K309" s="24" t="s">
        <v>2111</v>
      </c>
      <c r="L309" s="24" t="s">
        <v>32</v>
      </c>
      <c r="M309" s="34" t="s">
        <v>174</v>
      </c>
      <c r="N309" s="37">
        <v>6</v>
      </c>
      <c r="O309" s="44">
        <v>6375</v>
      </c>
      <c r="P309" s="35">
        <v>0.15</v>
      </c>
      <c r="Q309" s="34">
        <v>32512.5</v>
      </c>
      <c r="R309" s="24">
        <v>1</v>
      </c>
      <c r="S309" s="24" t="s">
        <v>34</v>
      </c>
      <c r="T309" s="24" t="s">
        <v>61</v>
      </c>
      <c r="U309" s="34" t="str">
        <f>Sales_data!T309</f>
        <v>sneha.joshi@company.com</v>
      </c>
      <c r="V309" s="24">
        <v>9134878547</v>
      </c>
      <c r="W309" s="34" t="s">
        <v>2100</v>
      </c>
      <c r="X309" s="24">
        <v>24</v>
      </c>
      <c r="Y309" s="30" t="s">
        <v>2112</v>
      </c>
      <c r="Z309" s="29">
        <v>46638</v>
      </c>
      <c r="AA309" s="24" t="s">
        <v>2173</v>
      </c>
      <c r="AB309" s="24" t="s">
        <v>2160</v>
      </c>
      <c r="AC309" s="136" t="str">
        <f t="shared" si="8"/>
        <v>Sne006Pu</v>
      </c>
      <c r="AD309" s="136" t="str">
        <f t="shared" si="9"/>
        <v>sneha.joshi@company.com</v>
      </c>
    </row>
    <row r="310" spans="1:30">
      <c r="A310" s="24" t="s">
        <v>1419</v>
      </c>
      <c r="B310" s="24" t="s">
        <v>53</v>
      </c>
      <c r="C310" s="24" t="s">
        <v>92</v>
      </c>
      <c r="D310" s="30">
        <v>45936</v>
      </c>
      <c r="E310" s="24" t="s">
        <v>345</v>
      </c>
      <c r="F310" s="136" t="str">
        <f>PROPER(TRIM(Sales_data!F310))</f>
        <v>Pooja Shah</v>
      </c>
      <c r="G310" s="30" t="s">
        <v>28</v>
      </c>
      <c r="H310" s="24" t="s">
        <v>58</v>
      </c>
      <c r="I310" s="24" t="s">
        <v>59</v>
      </c>
      <c r="J310" s="24" t="s">
        <v>31</v>
      </c>
      <c r="K310" s="24" t="s">
        <v>2111</v>
      </c>
      <c r="L310" s="24" t="s">
        <v>32</v>
      </c>
      <c r="M310" s="34" t="s">
        <v>97</v>
      </c>
      <c r="N310" s="37">
        <v>3</v>
      </c>
      <c r="O310" s="44">
        <v>2625</v>
      </c>
      <c r="P310" s="35">
        <v>0.1</v>
      </c>
      <c r="Q310" s="34">
        <v>7087.5</v>
      </c>
      <c r="R310" s="24">
        <v>1</v>
      </c>
      <c r="S310" s="24" t="s">
        <v>2148</v>
      </c>
      <c r="T310" s="24" t="s">
        <v>49</v>
      </c>
      <c r="U310" s="34" t="str">
        <f>Sales_data!T310</f>
        <v>pooja.shah@company.com</v>
      </c>
      <c r="V310" s="24">
        <v>9253593557</v>
      </c>
      <c r="W310" s="34" t="s">
        <v>2101</v>
      </c>
      <c r="X310" s="24">
        <v>6</v>
      </c>
      <c r="Y310" s="30" t="s">
        <v>2108</v>
      </c>
      <c r="Z310" s="29">
        <v>46123</v>
      </c>
      <c r="AA310" s="24" t="s">
        <v>2172</v>
      </c>
      <c r="AB310" s="24" t="s">
        <v>2160</v>
      </c>
      <c r="AC310" s="136" t="str">
        <f t="shared" si="8"/>
        <v>Poo010Be</v>
      </c>
      <c r="AD310" s="136" t="str">
        <f t="shared" si="9"/>
        <v>pooja.shah@company.com</v>
      </c>
    </row>
    <row r="311" spans="1:30">
      <c r="A311" s="24" t="s">
        <v>1422</v>
      </c>
      <c r="B311" s="24" t="s">
        <v>71</v>
      </c>
      <c r="C311" s="24" t="s">
        <v>40</v>
      </c>
      <c r="D311" s="30">
        <v>45674</v>
      </c>
      <c r="E311" s="24" t="s">
        <v>783</v>
      </c>
      <c r="F311" s="136" t="str">
        <f>PROPER(TRIM(Sales_data!F311))</f>
        <v>Mohit Verma</v>
      </c>
      <c r="G311" s="30" t="s">
        <v>76</v>
      </c>
      <c r="H311" s="24" t="s">
        <v>77</v>
      </c>
      <c r="I311" s="24" t="s">
        <v>44</v>
      </c>
      <c r="J311" s="24" t="s">
        <v>45</v>
      </c>
      <c r="K311" s="24" t="s">
        <v>2114</v>
      </c>
      <c r="L311" s="24" t="s">
        <v>46</v>
      </c>
      <c r="M311" s="34" t="s">
        <v>47</v>
      </c>
      <c r="N311" s="37">
        <v>2</v>
      </c>
      <c r="O311" s="44">
        <v>9000</v>
      </c>
      <c r="P311" s="35">
        <v>0.2</v>
      </c>
      <c r="Q311" s="34">
        <v>14400</v>
      </c>
      <c r="R311" s="24">
        <v>1</v>
      </c>
      <c r="S311" s="24" t="s">
        <v>79</v>
      </c>
      <c r="T311" s="24" t="s">
        <v>61</v>
      </c>
      <c r="U311" s="34" t="str">
        <f>Sales_data!T311</f>
        <v>mohit.verma@company.com</v>
      </c>
      <c r="V311" s="24">
        <v>9183094051</v>
      </c>
      <c r="W311" s="34" t="s">
        <v>2101</v>
      </c>
      <c r="X311" s="24">
        <v>24</v>
      </c>
      <c r="Y311" s="30" t="s">
        <v>2110</v>
      </c>
      <c r="Z311" s="29">
        <v>46416</v>
      </c>
      <c r="AA311" s="24" t="s">
        <v>2173</v>
      </c>
      <c r="AB311" s="24" t="s">
        <v>2160</v>
      </c>
      <c r="AC311" s="136" t="str">
        <f t="shared" si="8"/>
        <v>Moh009De</v>
      </c>
      <c r="AD311" s="136" t="str">
        <f t="shared" si="9"/>
        <v>mohit.verma@company.com</v>
      </c>
    </row>
    <row r="312" spans="1:30">
      <c r="A312" s="24" t="s">
        <v>1425</v>
      </c>
      <c r="B312" s="24" t="s">
        <v>221</v>
      </c>
      <c r="C312" s="24" t="s">
        <v>222</v>
      </c>
      <c r="D312" s="30">
        <v>45943</v>
      </c>
      <c r="E312" s="24" t="s">
        <v>1426</v>
      </c>
      <c r="F312" s="136" t="str">
        <f>PROPER(TRIM(Sales_data!F312))</f>
        <v>Vikas Mehta</v>
      </c>
      <c r="G312" s="30" t="s">
        <v>76</v>
      </c>
      <c r="H312" s="24" t="s">
        <v>226</v>
      </c>
      <c r="I312" s="24" t="s">
        <v>105</v>
      </c>
      <c r="J312" s="24" t="s">
        <v>106</v>
      </c>
      <c r="K312" s="24" t="s">
        <v>2113</v>
      </c>
      <c r="L312" s="24" t="s">
        <v>122</v>
      </c>
      <c r="M312" s="34" t="s">
        <v>227</v>
      </c>
      <c r="N312" s="37">
        <v>12</v>
      </c>
      <c r="O312" s="44">
        <v>15</v>
      </c>
      <c r="P312" s="35">
        <v>0.2</v>
      </c>
      <c r="Q312" s="34">
        <v>144</v>
      </c>
      <c r="R312" s="24">
        <v>2</v>
      </c>
      <c r="S312" s="24" t="s">
        <v>79</v>
      </c>
      <c r="T312" s="24" t="s">
        <v>49</v>
      </c>
      <c r="U312" s="34" t="str">
        <f>Sales_data!T312</f>
        <v>vikas.mehta@company.com</v>
      </c>
      <c r="V312" s="24">
        <v>9293147620</v>
      </c>
      <c r="W312" s="34" t="s">
        <v>2103</v>
      </c>
      <c r="X312" s="24">
        <v>12</v>
      </c>
      <c r="Y312" s="30" t="s">
        <v>2112</v>
      </c>
      <c r="Z312" s="29">
        <v>46311</v>
      </c>
      <c r="AA312" s="24" t="s">
        <v>2171</v>
      </c>
      <c r="AB312" s="24" t="s">
        <v>2160</v>
      </c>
      <c r="AC312" s="136" t="str">
        <f t="shared" si="8"/>
        <v>Vik005Mu</v>
      </c>
      <c r="AD312" s="136" t="str">
        <f t="shared" si="9"/>
        <v>vikas.mehta@company.com</v>
      </c>
    </row>
    <row r="313" spans="1:30">
      <c r="A313" s="24" t="s">
        <v>1429</v>
      </c>
      <c r="B313" s="24" t="s">
        <v>100</v>
      </c>
      <c r="C313" s="24" t="s">
        <v>40</v>
      </c>
      <c r="D313" s="30">
        <v>46138</v>
      </c>
      <c r="E313" s="24" t="s">
        <v>1430</v>
      </c>
      <c r="F313" s="136" t="str">
        <f>PROPER(TRIM(Sales_data!F313))</f>
        <v>Priya Patel</v>
      </c>
      <c r="G313" s="30" t="s">
        <v>28</v>
      </c>
      <c r="H313" s="24" t="s">
        <v>104</v>
      </c>
      <c r="I313" s="24" t="s">
        <v>105</v>
      </c>
      <c r="J313" s="24" t="s">
        <v>106</v>
      </c>
      <c r="K313" s="24" t="s">
        <v>2111</v>
      </c>
      <c r="L313" s="24" t="s">
        <v>46</v>
      </c>
      <c r="M313" s="34" t="s">
        <v>47</v>
      </c>
      <c r="N313" s="37">
        <v>20</v>
      </c>
      <c r="O313" s="44">
        <v>9000</v>
      </c>
      <c r="P313" s="35">
        <v>0.15</v>
      </c>
      <c r="Q313" s="34">
        <v>153000</v>
      </c>
      <c r="R313" s="24">
        <v>3</v>
      </c>
      <c r="S313" s="24" t="s">
        <v>34</v>
      </c>
      <c r="T313" s="24" t="s">
        <v>35</v>
      </c>
      <c r="U313" s="34" t="str">
        <f>Sales_data!T313</f>
        <v>priya.patel@company.com</v>
      </c>
      <c r="V313" s="24">
        <v>9755583734</v>
      </c>
      <c r="W313" s="34" t="s">
        <v>2101</v>
      </c>
      <c r="X313" s="24">
        <v>24</v>
      </c>
      <c r="Y313" s="30" t="s">
        <v>2110</v>
      </c>
      <c r="Z313" s="29">
        <v>46871</v>
      </c>
      <c r="AA313" s="24" t="s">
        <v>2175</v>
      </c>
      <c r="AB313" s="24" t="s">
        <v>2112</v>
      </c>
      <c r="AC313" s="136" t="str">
        <f t="shared" si="8"/>
        <v>Pri002Mu</v>
      </c>
      <c r="AD313" s="136" t="str">
        <f t="shared" si="9"/>
        <v>priya.patel@company.com</v>
      </c>
    </row>
    <row r="314" spans="1:30">
      <c r="A314" s="24" t="s">
        <v>1433</v>
      </c>
      <c r="B314" s="24" t="s">
        <v>53</v>
      </c>
      <c r="C314" s="24" t="s">
        <v>118</v>
      </c>
      <c r="D314" s="30">
        <v>46105</v>
      </c>
      <c r="E314" s="24" t="s">
        <v>740</v>
      </c>
      <c r="F314" s="136" t="str">
        <f>PROPER(TRIM(Sales_data!F314))</f>
        <v>Pooja Shah</v>
      </c>
      <c r="G314" s="30" t="s">
        <v>28</v>
      </c>
      <c r="H314" s="24" t="s">
        <v>58</v>
      </c>
      <c r="I314" s="24" t="s">
        <v>59</v>
      </c>
      <c r="J314" s="24" t="s">
        <v>31</v>
      </c>
      <c r="K314" s="24" t="s">
        <v>2111</v>
      </c>
      <c r="L314" s="24" t="s">
        <v>122</v>
      </c>
      <c r="M314" s="34" t="s">
        <v>123</v>
      </c>
      <c r="N314" s="37">
        <v>13</v>
      </c>
      <c r="O314" s="44">
        <v>45</v>
      </c>
      <c r="P314" s="35">
        <v>0.1</v>
      </c>
      <c r="Q314" s="34">
        <v>526.5</v>
      </c>
      <c r="R314" s="24">
        <v>5</v>
      </c>
      <c r="S314" s="24" t="s">
        <v>34</v>
      </c>
      <c r="T314" s="24" t="s">
        <v>35</v>
      </c>
      <c r="U314" s="34" t="str">
        <f>Sales_data!T314</f>
        <v>pooja.shah@company.com</v>
      </c>
      <c r="V314" s="24">
        <v>9186592813</v>
      </c>
      <c r="W314" s="34" t="s">
        <v>2102</v>
      </c>
      <c r="X314" s="24">
        <v>12</v>
      </c>
      <c r="Y314" s="30" t="s">
        <v>2108</v>
      </c>
      <c r="Z314" s="29">
        <v>46481</v>
      </c>
      <c r="AA314" s="24" t="s">
        <v>2172</v>
      </c>
      <c r="AB314" s="24" t="s">
        <v>2108</v>
      </c>
      <c r="AC314" s="136" t="str">
        <f t="shared" si="8"/>
        <v>Poo010Be</v>
      </c>
      <c r="AD314" s="136" t="str">
        <f t="shared" si="9"/>
        <v>pooja.shah@company.com</v>
      </c>
    </row>
    <row r="315" spans="1:30">
      <c r="A315" s="24" t="s">
        <v>1436</v>
      </c>
      <c r="B315" s="24" t="s">
        <v>71</v>
      </c>
      <c r="C315" s="24" t="s">
        <v>54</v>
      </c>
      <c r="D315" s="30">
        <v>45785</v>
      </c>
      <c r="E315" s="24" t="s">
        <v>1294</v>
      </c>
      <c r="F315" s="136" t="str">
        <f>PROPER(TRIM(Sales_data!F315))</f>
        <v>Mohit Verma</v>
      </c>
      <c r="G315" s="30" t="s">
        <v>76</v>
      </c>
      <c r="H315" s="24" t="s">
        <v>77</v>
      </c>
      <c r="I315" s="24" t="s">
        <v>44</v>
      </c>
      <c r="J315" s="24" t="s">
        <v>45</v>
      </c>
      <c r="K315" s="24" t="s">
        <v>2114</v>
      </c>
      <c r="L315" s="24" t="s">
        <v>46</v>
      </c>
      <c r="M315" s="34" t="s">
        <v>60</v>
      </c>
      <c r="N315" s="37">
        <v>13</v>
      </c>
      <c r="O315" s="44">
        <v>41250</v>
      </c>
      <c r="P315" s="35">
        <v>0.05</v>
      </c>
      <c r="Q315" s="34">
        <v>509437.5</v>
      </c>
      <c r="R315" s="24">
        <v>1</v>
      </c>
      <c r="S315" s="24" t="s">
        <v>2149</v>
      </c>
      <c r="T315" s="24" t="s">
        <v>151</v>
      </c>
      <c r="U315" s="34" t="str">
        <f>Sales_data!T315</f>
        <v>mohit.verma@company.com</v>
      </c>
      <c r="V315" s="24">
        <v>9203482008</v>
      </c>
      <c r="W315" s="34" t="s">
        <v>2100</v>
      </c>
      <c r="X315" s="24">
        <v>12</v>
      </c>
      <c r="Y315" s="30" t="s">
        <v>2110</v>
      </c>
      <c r="Z315" s="29">
        <v>46161</v>
      </c>
      <c r="AA315" s="24" t="s">
        <v>2173</v>
      </c>
      <c r="AB315" s="24" t="s">
        <v>2160</v>
      </c>
      <c r="AC315" s="136" t="str">
        <f t="shared" si="8"/>
        <v>Moh009De</v>
      </c>
      <c r="AD315" s="136" t="str">
        <f t="shared" si="9"/>
        <v>mohit.verma@company.com</v>
      </c>
    </row>
    <row r="316" spans="1:30">
      <c r="A316" s="24" t="s">
        <v>1440</v>
      </c>
      <c r="B316" s="24" t="s">
        <v>100</v>
      </c>
      <c r="C316" s="24" t="s">
        <v>72</v>
      </c>
      <c r="D316" s="30">
        <v>46088</v>
      </c>
      <c r="E316" s="24" t="s">
        <v>798</v>
      </c>
      <c r="F316" s="136" t="str">
        <f>PROPER(TRIM(Sales_data!F316))</f>
        <v>Priya Patel</v>
      </c>
      <c r="G316" s="30" t="s">
        <v>28</v>
      </c>
      <c r="H316" s="24" t="s">
        <v>104</v>
      </c>
      <c r="I316" s="24" t="s">
        <v>105</v>
      </c>
      <c r="J316" s="24" t="s">
        <v>106</v>
      </c>
      <c r="K316" s="24" t="s">
        <v>2111</v>
      </c>
      <c r="L316" s="24" t="s">
        <v>46</v>
      </c>
      <c r="M316" s="34" t="s">
        <v>78</v>
      </c>
      <c r="N316" s="37">
        <v>7</v>
      </c>
      <c r="O316" s="44">
        <v>900</v>
      </c>
      <c r="P316" s="35">
        <v>0.15</v>
      </c>
      <c r="Q316" s="34">
        <v>5355</v>
      </c>
      <c r="R316" s="24">
        <v>5</v>
      </c>
      <c r="S316" s="24" t="s">
        <v>2149</v>
      </c>
      <c r="T316" s="24" t="s">
        <v>49</v>
      </c>
      <c r="U316" s="34" t="str">
        <f>Sales_data!T316</f>
        <v>priya.patel@company.com</v>
      </c>
      <c r="V316" s="24">
        <v>9829888777</v>
      </c>
      <c r="W316" s="34" t="s">
        <v>2100</v>
      </c>
      <c r="X316" s="24">
        <v>6</v>
      </c>
      <c r="Y316" s="30" t="s">
        <v>2110</v>
      </c>
      <c r="Z316" s="29">
        <v>46275</v>
      </c>
      <c r="AA316" s="24" t="s">
        <v>2175</v>
      </c>
      <c r="AB316" s="24" t="s">
        <v>2108</v>
      </c>
      <c r="AC316" s="136" t="str">
        <f t="shared" si="8"/>
        <v>Pri002Mu</v>
      </c>
      <c r="AD316" s="136" t="str">
        <f t="shared" si="9"/>
        <v>priya.patel@company.com</v>
      </c>
    </row>
    <row r="317" spans="1:30">
      <c r="A317" s="24" t="s">
        <v>1443</v>
      </c>
      <c r="B317" s="24" t="s">
        <v>83</v>
      </c>
      <c r="C317" s="24" t="s">
        <v>40</v>
      </c>
      <c r="D317" s="30">
        <v>46017</v>
      </c>
      <c r="E317" s="24" t="s">
        <v>1444</v>
      </c>
      <c r="F317" s="136" t="str">
        <f>PROPER(TRIM(Sales_data!F317))</f>
        <v>Arjun Rao</v>
      </c>
      <c r="G317" s="30" t="s">
        <v>76</v>
      </c>
      <c r="H317" s="24" t="s">
        <v>87</v>
      </c>
      <c r="I317" s="24" t="s">
        <v>30</v>
      </c>
      <c r="J317" s="24" t="s">
        <v>31</v>
      </c>
      <c r="K317" s="24" t="s">
        <v>2109</v>
      </c>
      <c r="L317" s="24" t="s">
        <v>46</v>
      </c>
      <c r="M317" s="34" t="s">
        <v>47</v>
      </c>
      <c r="N317" s="37">
        <v>17</v>
      </c>
      <c r="O317" s="44">
        <v>9000</v>
      </c>
      <c r="P317" s="35">
        <v>0.05</v>
      </c>
      <c r="Q317" s="34">
        <v>145350</v>
      </c>
      <c r="R317" s="24">
        <v>1</v>
      </c>
      <c r="S317" s="24" t="s">
        <v>34</v>
      </c>
      <c r="T317" s="24" t="s">
        <v>61</v>
      </c>
      <c r="U317" s="34" t="str">
        <f>Sales_data!T317</f>
        <v>arjun.rao@company.com</v>
      </c>
      <c r="V317" s="24">
        <v>9566101317</v>
      </c>
      <c r="W317" s="34" t="s">
        <v>2101</v>
      </c>
      <c r="X317" s="24">
        <v>24</v>
      </c>
      <c r="Y317" s="30" t="s">
        <v>2108</v>
      </c>
      <c r="Z317" s="29">
        <v>46751</v>
      </c>
      <c r="AA317" s="24" t="s">
        <v>2174</v>
      </c>
      <c r="AB317" s="24" t="s">
        <v>2160</v>
      </c>
      <c r="AC317" s="136" t="str">
        <f t="shared" si="8"/>
        <v>Arj007Hy</v>
      </c>
      <c r="AD317" s="136" t="str">
        <f t="shared" si="9"/>
        <v>arjun.rao@company.com</v>
      </c>
    </row>
    <row r="318" spans="1:30">
      <c r="A318" s="24" t="s">
        <v>1447</v>
      </c>
      <c r="B318" s="24" t="s">
        <v>83</v>
      </c>
      <c r="C318" s="24" t="s">
        <v>222</v>
      </c>
      <c r="D318" s="30">
        <v>46131</v>
      </c>
      <c r="E318" s="24" t="s">
        <v>517</v>
      </c>
      <c r="F318" s="136" t="str">
        <f>PROPER(TRIM(Sales_data!F318))</f>
        <v>Arjun Rao</v>
      </c>
      <c r="G318" s="30" t="s">
        <v>76</v>
      </c>
      <c r="H318" s="24" t="s">
        <v>87</v>
      </c>
      <c r="I318" s="24" t="s">
        <v>30</v>
      </c>
      <c r="J318" s="24" t="s">
        <v>31</v>
      </c>
      <c r="K318" s="24" t="s">
        <v>2109</v>
      </c>
      <c r="L318" s="24" t="s">
        <v>122</v>
      </c>
      <c r="M318" s="34" t="s">
        <v>227</v>
      </c>
      <c r="N318" s="37">
        <v>10</v>
      </c>
      <c r="O318" s="44">
        <v>15</v>
      </c>
      <c r="P318" s="35">
        <v>0.05</v>
      </c>
      <c r="Q318" s="34">
        <v>142.5</v>
      </c>
      <c r="R318" s="24">
        <v>2</v>
      </c>
      <c r="S318" s="24" t="s">
        <v>34</v>
      </c>
      <c r="T318" s="24" t="s">
        <v>61</v>
      </c>
      <c r="U318" s="34" t="str">
        <f>Sales_data!T318</f>
        <v>arjun.rao@company.com</v>
      </c>
      <c r="V318" s="24">
        <v>9706240823</v>
      </c>
      <c r="W318" s="34" t="s">
        <v>2103</v>
      </c>
      <c r="X318" s="24">
        <v>12</v>
      </c>
      <c r="Y318" s="30" t="s">
        <v>2108</v>
      </c>
      <c r="Z318" s="29">
        <v>46502</v>
      </c>
      <c r="AA318" s="24" t="s">
        <v>2174</v>
      </c>
      <c r="AB318" s="24" t="s">
        <v>2160</v>
      </c>
      <c r="AC318" s="136" t="str">
        <f t="shared" si="8"/>
        <v>Arj007Hy</v>
      </c>
      <c r="AD318" s="136" t="str">
        <f t="shared" si="9"/>
        <v>arjun.rao@company.com</v>
      </c>
    </row>
    <row r="319" spans="1:30">
      <c r="A319" s="24" t="s">
        <v>1450</v>
      </c>
      <c r="B319" s="24" t="s">
        <v>168</v>
      </c>
      <c r="C319" s="24" t="s">
        <v>24</v>
      </c>
      <c r="D319" s="30">
        <v>45966</v>
      </c>
      <c r="E319" s="24" t="s">
        <v>1451</v>
      </c>
      <c r="F319" s="136" t="str">
        <f>PROPER(TRIM(Sales_data!F319))</f>
        <v>Anita Gupta</v>
      </c>
      <c r="G319" s="30" t="s">
        <v>28</v>
      </c>
      <c r="H319" s="24" t="s">
        <v>173</v>
      </c>
      <c r="I319" s="24" t="s">
        <v>114</v>
      </c>
      <c r="J319" s="24" t="s">
        <v>106</v>
      </c>
      <c r="K319" s="24" t="s">
        <v>2111</v>
      </c>
      <c r="L319" s="24" t="s">
        <v>32</v>
      </c>
      <c r="M319" s="34" t="s">
        <v>33</v>
      </c>
      <c r="N319" s="37">
        <v>11</v>
      </c>
      <c r="O319" s="44">
        <v>1650</v>
      </c>
      <c r="P319" s="35">
        <v>0.05</v>
      </c>
      <c r="Q319" s="34">
        <v>17242.5</v>
      </c>
      <c r="R319" s="24">
        <v>5</v>
      </c>
      <c r="S319" s="24" t="s">
        <v>79</v>
      </c>
      <c r="T319" s="24" t="s">
        <v>49</v>
      </c>
      <c r="U319" s="34" t="str">
        <f>Sales_data!T319</f>
        <v>anita.gupta@company.com</v>
      </c>
      <c r="V319" s="24">
        <v>9259943760</v>
      </c>
      <c r="W319" s="34" t="s">
        <v>2101</v>
      </c>
      <c r="X319" s="24">
        <v>24</v>
      </c>
      <c r="Y319" s="30" t="s">
        <v>2112</v>
      </c>
      <c r="Z319" s="29">
        <v>46699</v>
      </c>
      <c r="AA319" s="24" t="s">
        <v>2177</v>
      </c>
      <c r="AB319" s="24" t="s">
        <v>2108</v>
      </c>
      <c r="AC319" s="136" t="str">
        <f t="shared" si="8"/>
        <v>Ani004Pu</v>
      </c>
      <c r="AD319" s="136" t="str">
        <f t="shared" si="9"/>
        <v>anita.gupta@company.com</v>
      </c>
    </row>
    <row r="320" spans="1:30">
      <c r="A320" s="24" t="s">
        <v>1454</v>
      </c>
      <c r="B320" s="24" t="s">
        <v>100</v>
      </c>
      <c r="C320" s="24" t="s">
        <v>118</v>
      </c>
      <c r="D320" s="30">
        <v>46077</v>
      </c>
      <c r="E320" s="24" t="s">
        <v>178</v>
      </c>
      <c r="F320" s="136" t="str">
        <f>PROPER(TRIM(Sales_data!F320))</f>
        <v>Priya Patel</v>
      </c>
      <c r="G320" s="30" t="s">
        <v>28</v>
      </c>
      <c r="H320" s="24" t="s">
        <v>104</v>
      </c>
      <c r="I320" s="24" t="s">
        <v>105</v>
      </c>
      <c r="J320" s="24" t="s">
        <v>106</v>
      </c>
      <c r="K320" s="24" t="s">
        <v>2111</v>
      </c>
      <c r="L320" s="24" t="s">
        <v>122</v>
      </c>
      <c r="M320" s="34" t="s">
        <v>123</v>
      </c>
      <c r="N320" s="37">
        <v>8</v>
      </c>
      <c r="O320" s="44">
        <v>45</v>
      </c>
      <c r="P320" s="35">
        <v>0.15</v>
      </c>
      <c r="Q320" s="34">
        <v>306</v>
      </c>
      <c r="R320" s="24">
        <v>4</v>
      </c>
      <c r="S320" s="24" t="s">
        <v>34</v>
      </c>
      <c r="T320" s="24" t="s">
        <v>49</v>
      </c>
      <c r="U320" s="34" t="str">
        <f>Sales_data!T320</f>
        <v>priya.patel@company.com</v>
      </c>
      <c r="V320" s="24">
        <v>9527326977</v>
      </c>
      <c r="W320" s="34" t="s">
        <v>2102</v>
      </c>
      <c r="X320" s="24">
        <v>12</v>
      </c>
      <c r="Y320" s="30" t="s">
        <v>2110</v>
      </c>
      <c r="Z320" s="29">
        <v>46446</v>
      </c>
      <c r="AA320" s="24" t="s">
        <v>2175</v>
      </c>
      <c r="AB320" s="24" t="s">
        <v>2108</v>
      </c>
      <c r="AC320" s="136" t="str">
        <f t="shared" si="8"/>
        <v>Pri002Mu</v>
      </c>
      <c r="AD320" s="136" t="str">
        <f t="shared" si="9"/>
        <v>priya.patel@company.com</v>
      </c>
    </row>
    <row r="321" spans="1:30">
      <c r="A321" s="24" t="s">
        <v>1457</v>
      </c>
      <c r="B321" s="24" t="s">
        <v>221</v>
      </c>
      <c r="C321" s="24" t="s">
        <v>259</v>
      </c>
      <c r="D321" s="30">
        <v>45739</v>
      </c>
      <c r="E321" s="24" t="s">
        <v>119</v>
      </c>
      <c r="F321" s="136" t="str">
        <f>PROPER(TRIM(Sales_data!F321))</f>
        <v>Vikas Mehta</v>
      </c>
      <c r="G321" s="30" t="s">
        <v>76</v>
      </c>
      <c r="H321" s="24" t="s">
        <v>226</v>
      </c>
      <c r="I321" s="24" t="s">
        <v>105</v>
      </c>
      <c r="J321" s="24" t="s">
        <v>106</v>
      </c>
      <c r="K321" s="24" t="s">
        <v>2113</v>
      </c>
      <c r="L321" s="24" t="s">
        <v>122</v>
      </c>
      <c r="M321" s="34" t="s">
        <v>263</v>
      </c>
      <c r="N321" s="37">
        <v>17</v>
      </c>
      <c r="O321" s="44">
        <v>33.75</v>
      </c>
      <c r="P321" s="35">
        <v>0.15</v>
      </c>
      <c r="Q321" s="34">
        <v>487.6875</v>
      </c>
      <c r="R321" s="24">
        <v>2</v>
      </c>
      <c r="S321" s="24" t="s">
        <v>2149</v>
      </c>
      <c r="T321" s="24" t="s">
        <v>151</v>
      </c>
      <c r="U321" s="34" t="str">
        <f>Sales_data!T321</f>
        <v>vikas.mehta@company.com</v>
      </c>
      <c r="V321" s="24">
        <v>9886970990</v>
      </c>
      <c r="W321" s="34" t="s">
        <v>2100</v>
      </c>
      <c r="X321" s="24">
        <v>12</v>
      </c>
      <c r="Y321" s="30" t="s">
        <v>2112</v>
      </c>
      <c r="Z321" s="29">
        <v>46106</v>
      </c>
      <c r="AA321" s="24" t="s">
        <v>2171</v>
      </c>
      <c r="AB321" s="24" t="s">
        <v>2160</v>
      </c>
      <c r="AC321" s="136" t="str">
        <f t="shared" si="8"/>
        <v>Vik005Mu</v>
      </c>
      <c r="AD321" s="136" t="str">
        <f t="shared" si="9"/>
        <v>vikas.mehta@company.com</v>
      </c>
    </row>
    <row r="322" spans="1:30">
      <c r="A322" s="24" t="s">
        <v>1460</v>
      </c>
      <c r="B322" s="24" t="s">
        <v>327</v>
      </c>
      <c r="C322" s="24" t="s">
        <v>184</v>
      </c>
      <c r="D322" s="30">
        <v>45715</v>
      </c>
      <c r="E322" s="24" t="s">
        <v>1461</v>
      </c>
      <c r="F322" s="136" t="str">
        <f>PROPER(TRIM(Sales_data!F322))</f>
        <v>Amit Sharma</v>
      </c>
      <c r="G322" s="30" t="s">
        <v>76</v>
      </c>
      <c r="H322" s="24" t="s">
        <v>331</v>
      </c>
      <c r="I322" s="24" t="s">
        <v>114</v>
      </c>
      <c r="J322" s="24" t="s">
        <v>106</v>
      </c>
      <c r="K322" s="24" t="s">
        <v>2109</v>
      </c>
      <c r="L322" s="24" t="s">
        <v>46</v>
      </c>
      <c r="M322" s="34" t="s">
        <v>189</v>
      </c>
      <c r="N322" s="37">
        <v>14</v>
      </c>
      <c r="O322" s="44">
        <v>525</v>
      </c>
      <c r="P322" s="35">
        <v>0.15</v>
      </c>
      <c r="Q322" s="34">
        <v>6247.5</v>
      </c>
      <c r="R322" s="24">
        <v>1</v>
      </c>
      <c r="S322" s="24" t="s">
        <v>79</v>
      </c>
      <c r="T322" s="24" t="s">
        <v>115</v>
      </c>
      <c r="U322" s="34" t="str">
        <f>Sales_data!T322</f>
        <v>amit.sharma@company.com</v>
      </c>
      <c r="V322" s="24">
        <v>9106930369</v>
      </c>
      <c r="W322" s="34" t="s">
        <v>2100</v>
      </c>
      <c r="X322" s="24">
        <v>24</v>
      </c>
      <c r="Y322" s="30" t="s">
        <v>2108</v>
      </c>
      <c r="Z322" s="29">
        <v>46456</v>
      </c>
      <c r="AA322" s="24" t="s">
        <v>2171</v>
      </c>
      <c r="AB322" s="24" t="s">
        <v>2160</v>
      </c>
      <c r="AC322" s="136" t="str">
        <f t="shared" si="8"/>
        <v>Ami001Pu</v>
      </c>
      <c r="AD322" s="136" t="str">
        <f t="shared" si="9"/>
        <v>amit.sharma@company.com</v>
      </c>
    </row>
    <row r="323" spans="1:30">
      <c r="A323" s="24" t="s">
        <v>1464</v>
      </c>
      <c r="B323" s="24" t="s">
        <v>83</v>
      </c>
      <c r="C323" s="24" t="s">
        <v>72</v>
      </c>
      <c r="D323" s="30">
        <v>45811</v>
      </c>
      <c r="E323" s="24" t="s">
        <v>948</v>
      </c>
      <c r="F323" s="136" t="str">
        <f>PROPER(TRIM(Sales_data!F323))</f>
        <v>Arjun Rao</v>
      </c>
      <c r="G323" s="30" t="s">
        <v>76</v>
      </c>
      <c r="H323" s="24" t="s">
        <v>87</v>
      </c>
      <c r="I323" s="24" t="s">
        <v>30</v>
      </c>
      <c r="J323" s="24" t="s">
        <v>31</v>
      </c>
      <c r="K323" s="24" t="s">
        <v>2109</v>
      </c>
      <c r="L323" s="24" t="s">
        <v>46</v>
      </c>
      <c r="M323" s="34" t="s">
        <v>78</v>
      </c>
      <c r="N323" s="37">
        <v>3</v>
      </c>
      <c r="O323" s="44">
        <v>900</v>
      </c>
      <c r="P323" s="35">
        <v>0.05</v>
      </c>
      <c r="Q323" s="34">
        <v>2565</v>
      </c>
      <c r="R323" s="24">
        <v>3</v>
      </c>
      <c r="S323" s="24" t="s">
        <v>2148</v>
      </c>
      <c r="T323" s="24" t="s">
        <v>151</v>
      </c>
      <c r="U323" s="34" t="str">
        <f>Sales_data!T323</f>
        <v>arjun.rao@company.com</v>
      </c>
      <c r="V323" s="24">
        <v>9342009114</v>
      </c>
      <c r="W323" s="34" t="s">
        <v>2100</v>
      </c>
      <c r="X323" s="24">
        <v>6</v>
      </c>
      <c r="Y323" s="30" t="s">
        <v>2108</v>
      </c>
      <c r="Z323" s="29">
        <v>46005</v>
      </c>
      <c r="AA323" s="24" t="s">
        <v>2174</v>
      </c>
      <c r="AB323" s="24" t="s">
        <v>2108</v>
      </c>
      <c r="AC323" s="136" t="str">
        <f t="shared" ref="AC323:AC386" si="10">PROPER(LEFT(TRIM(F323), 3)) &amp; RIGHT(TRIM(B323), 3) &amp; PROPER(LEFT(TRIM(I323), 2))</f>
        <v>Arj007Hy</v>
      </c>
      <c r="AD323" s="136" t="str">
        <f t="shared" ref="AD323:AD386" si="11">IF(ISNUMBER(SEARCH("@", U323)), LOWER(TRIM(U323)), "Invalid Email")</f>
        <v>arjun.rao@company.com</v>
      </c>
    </row>
    <row r="324" spans="1:30">
      <c r="A324" s="24" t="s">
        <v>1468</v>
      </c>
      <c r="B324" s="24" t="s">
        <v>23</v>
      </c>
      <c r="C324" s="24" t="s">
        <v>72</v>
      </c>
      <c r="D324" s="30">
        <v>45845</v>
      </c>
      <c r="E324" s="24" t="s">
        <v>914</v>
      </c>
      <c r="F324" s="136" t="str">
        <f>PROPER(TRIM(Sales_data!F324))</f>
        <v>Kavya Nair</v>
      </c>
      <c r="G324" s="30" t="s">
        <v>28</v>
      </c>
      <c r="H324" s="24" t="s">
        <v>29</v>
      </c>
      <c r="I324" s="24" t="s">
        <v>30</v>
      </c>
      <c r="J324" s="24" t="s">
        <v>31</v>
      </c>
      <c r="K324" s="24" t="s">
        <v>2111</v>
      </c>
      <c r="L324" s="24" t="s">
        <v>46</v>
      </c>
      <c r="M324" s="34" t="s">
        <v>78</v>
      </c>
      <c r="N324" s="37">
        <v>9</v>
      </c>
      <c r="O324" s="44">
        <v>900</v>
      </c>
      <c r="P324" s="35">
        <v>0.15</v>
      </c>
      <c r="Q324" s="34">
        <v>6885</v>
      </c>
      <c r="R324" s="24">
        <v>3</v>
      </c>
      <c r="S324" s="24" t="s">
        <v>34</v>
      </c>
      <c r="T324" s="24" t="s">
        <v>49</v>
      </c>
      <c r="U324" s="34" t="str">
        <f>Sales_data!T324</f>
        <v>kavya.nair@company.com</v>
      </c>
      <c r="V324" s="24">
        <v>9992739960</v>
      </c>
      <c r="W324" s="34" t="s">
        <v>2100</v>
      </c>
      <c r="X324" s="24">
        <v>6</v>
      </c>
      <c r="Y324" s="30" t="s">
        <v>2108</v>
      </c>
      <c r="Z324" s="29">
        <v>46038</v>
      </c>
      <c r="AA324" s="24" t="s">
        <v>2171</v>
      </c>
      <c r="AB324" s="24" t="s">
        <v>2108</v>
      </c>
      <c r="AC324" s="136" t="str">
        <f t="shared" si="10"/>
        <v>Kav008Hy</v>
      </c>
      <c r="AD324" s="136" t="str">
        <f t="shared" si="11"/>
        <v>kavya.nair@company.com</v>
      </c>
    </row>
    <row r="325" spans="1:30">
      <c r="A325" s="24" t="s">
        <v>1471</v>
      </c>
      <c r="B325" s="24" t="s">
        <v>251</v>
      </c>
      <c r="C325" s="24" t="s">
        <v>222</v>
      </c>
      <c r="D325" s="30">
        <v>46132</v>
      </c>
      <c r="E325" s="24" t="s">
        <v>360</v>
      </c>
      <c r="F325" s="136" t="str">
        <f>PROPER(TRIM(Sales_data!F325))</f>
        <v>Sneha Joshi</v>
      </c>
      <c r="G325" s="30" t="s">
        <v>28</v>
      </c>
      <c r="H325" s="24" t="s">
        <v>255</v>
      </c>
      <c r="I325" s="24" t="s">
        <v>114</v>
      </c>
      <c r="J325" s="24" t="s">
        <v>106</v>
      </c>
      <c r="K325" s="24" t="s">
        <v>2111</v>
      </c>
      <c r="L325" s="24" t="s">
        <v>122</v>
      </c>
      <c r="M325" s="34" t="s">
        <v>227</v>
      </c>
      <c r="N325" s="37">
        <v>5</v>
      </c>
      <c r="O325" s="44">
        <v>15</v>
      </c>
      <c r="P325" s="35">
        <v>0.05</v>
      </c>
      <c r="Q325" s="34">
        <v>71.25</v>
      </c>
      <c r="R325" s="24">
        <v>4</v>
      </c>
      <c r="S325" s="24" t="s">
        <v>34</v>
      </c>
      <c r="T325" s="24" t="s">
        <v>151</v>
      </c>
      <c r="U325" s="34" t="str">
        <f>Sales_data!T325</f>
        <v>sneha.joshi@company.com</v>
      </c>
      <c r="V325" s="24">
        <v>9241987748</v>
      </c>
      <c r="W325" s="34" t="s">
        <v>2103</v>
      </c>
      <c r="X325" s="24">
        <v>12</v>
      </c>
      <c r="Y325" s="30" t="s">
        <v>2112</v>
      </c>
      <c r="Z325" s="29">
        <v>46498</v>
      </c>
      <c r="AA325" s="24" t="s">
        <v>2173</v>
      </c>
      <c r="AB325" s="24" t="s">
        <v>2108</v>
      </c>
      <c r="AC325" s="136" t="str">
        <f t="shared" si="10"/>
        <v>Sne006Pu</v>
      </c>
      <c r="AD325" s="136" t="str">
        <f t="shared" si="11"/>
        <v>sneha.joshi@company.com</v>
      </c>
    </row>
    <row r="326" spans="1:30">
      <c r="A326" s="24" t="s">
        <v>1474</v>
      </c>
      <c r="B326" s="24" t="s">
        <v>251</v>
      </c>
      <c r="C326" s="24" t="s">
        <v>24</v>
      </c>
      <c r="D326" s="30">
        <v>46001</v>
      </c>
      <c r="E326" s="24" t="s">
        <v>1476</v>
      </c>
      <c r="F326" s="136" t="str">
        <f>PROPER(TRIM(Sales_data!F326))</f>
        <v>Sneha Joshi</v>
      </c>
      <c r="G326" s="30" t="s">
        <v>28</v>
      </c>
      <c r="H326" s="24" t="s">
        <v>255</v>
      </c>
      <c r="I326" s="24" t="s">
        <v>114</v>
      </c>
      <c r="J326" s="24" t="s">
        <v>106</v>
      </c>
      <c r="K326" s="24" t="s">
        <v>2111</v>
      </c>
      <c r="L326" s="24" t="s">
        <v>32</v>
      </c>
      <c r="M326" s="34" t="s">
        <v>33</v>
      </c>
      <c r="N326" s="37">
        <v>8</v>
      </c>
      <c r="O326" s="44">
        <v>1650</v>
      </c>
      <c r="P326" s="35">
        <v>0.1</v>
      </c>
      <c r="Q326" s="34">
        <v>11880</v>
      </c>
      <c r="R326" s="24">
        <v>4</v>
      </c>
      <c r="S326" s="24" t="s">
        <v>2149</v>
      </c>
      <c r="T326" s="24" t="s">
        <v>61</v>
      </c>
      <c r="U326" s="34" t="str">
        <f>Sales_data!T326</f>
        <v>sneha.joshi@company.com</v>
      </c>
      <c r="V326" s="24">
        <v>9571990711</v>
      </c>
      <c r="W326" s="34" t="s">
        <v>2101</v>
      </c>
      <c r="X326" s="24">
        <v>24</v>
      </c>
      <c r="Y326" s="30" t="s">
        <v>2112</v>
      </c>
      <c r="Z326" s="29">
        <v>46742</v>
      </c>
      <c r="AA326" s="24" t="s">
        <v>2173</v>
      </c>
      <c r="AB326" s="24" t="s">
        <v>2108</v>
      </c>
      <c r="AC326" s="136" t="str">
        <f t="shared" si="10"/>
        <v>Sne006Pu</v>
      </c>
      <c r="AD326" s="136" t="str">
        <f t="shared" si="11"/>
        <v>sneha.joshi@company.com</v>
      </c>
    </row>
    <row r="327" spans="1:30">
      <c r="A327" s="24" t="s">
        <v>1479</v>
      </c>
      <c r="B327" s="24" t="s">
        <v>251</v>
      </c>
      <c r="C327" s="24" t="s">
        <v>184</v>
      </c>
      <c r="D327" s="30">
        <v>46089</v>
      </c>
      <c r="E327" s="24" t="s">
        <v>1480</v>
      </c>
      <c r="F327" s="136" t="str">
        <f>PROPER(TRIM(Sales_data!F327))</f>
        <v>Sneha Joshi</v>
      </c>
      <c r="G327" s="30" t="s">
        <v>28</v>
      </c>
      <c r="H327" s="24" t="s">
        <v>255</v>
      </c>
      <c r="I327" s="24" t="s">
        <v>114</v>
      </c>
      <c r="J327" s="24" t="s">
        <v>106</v>
      </c>
      <c r="K327" s="24" t="s">
        <v>2111</v>
      </c>
      <c r="L327" s="24" t="s">
        <v>46</v>
      </c>
      <c r="M327" s="34" t="s">
        <v>189</v>
      </c>
      <c r="N327" s="37">
        <v>10</v>
      </c>
      <c r="O327" s="44">
        <v>525</v>
      </c>
      <c r="P327" s="35">
        <v>0.2</v>
      </c>
      <c r="Q327" s="34">
        <v>4200</v>
      </c>
      <c r="R327" s="24">
        <v>1</v>
      </c>
      <c r="S327" s="24" t="s">
        <v>2149</v>
      </c>
      <c r="T327" s="24" t="s">
        <v>115</v>
      </c>
      <c r="U327" s="34" t="str">
        <f>Sales_data!T327</f>
        <v>sneha.joshi@company.com</v>
      </c>
      <c r="V327" s="24">
        <v>9219231183</v>
      </c>
      <c r="W327" s="34" t="s">
        <v>2100</v>
      </c>
      <c r="X327" s="24">
        <v>24</v>
      </c>
      <c r="Y327" s="30" t="s">
        <v>2112</v>
      </c>
      <c r="Z327" s="29">
        <v>46824</v>
      </c>
      <c r="AA327" s="24" t="s">
        <v>2173</v>
      </c>
      <c r="AB327" s="24" t="s">
        <v>2160</v>
      </c>
      <c r="AC327" s="136" t="str">
        <f t="shared" si="10"/>
        <v>Sne006Pu</v>
      </c>
      <c r="AD327" s="136" t="str">
        <f t="shared" si="11"/>
        <v>sneha.joshi@company.com</v>
      </c>
    </row>
    <row r="328" spans="1:30">
      <c r="A328" s="24" t="s">
        <v>1483</v>
      </c>
      <c r="B328" s="24" t="s">
        <v>83</v>
      </c>
      <c r="C328" s="24" t="s">
        <v>184</v>
      </c>
      <c r="D328" s="30">
        <v>45986</v>
      </c>
      <c r="E328" s="24" t="s">
        <v>1485</v>
      </c>
      <c r="F328" s="136" t="str">
        <f>PROPER(TRIM(Sales_data!F328))</f>
        <v>Arjun Rao</v>
      </c>
      <c r="G328" s="30" t="s">
        <v>76</v>
      </c>
      <c r="H328" s="24" t="s">
        <v>87</v>
      </c>
      <c r="I328" s="24" t="s">
        <v>30</v>
      </c>
      <c r="J328" s="24" t="s">
        <v>31</v>
      </c>
      <c r="K328" s="24" t="s">
        <v>2109</v>
      </c>
      <c r="L328" s="24" t="s">
        <v>46</v>
      </c>
      <c r="M328" s="34" t="s">
        <v>189</v>
      </c>
      <c r="N328" s="37">
        <v>2</v>
      </c>
      <c r="O328" s="44">
        <v>525</v>
      </c>
      <c r="P328" s="35">
        <v>0.2</v>
      </c>
      <c r="Q328" s="34">
        <v>840</v>
      </c>
      <c r="R328" s="24">
        <v>2</v>
      </c>
      <c r="S328" s="24" t="s">
        <v>34</v>
      </c>
      <c r="T328" s="24" t="s">
        <v>115</v>
      </c>
      <c r="U328" s="34" t="str">
        <f>Sales_data!T328</f>
        <v>arjun.rao@company.com</v>
      </c>
      <c r="V328" s="24">
        <v>9847386174</v>
      </c>
      <c r="W328" s="34" t="s">
        <v>2100</v>
      </c>
      <c r="X328" s="24">
        <v>24</v>
      </c>
      <c r="Y328" s="30" t="s">
        <v>2108</v>
      </c>
      <c r="Z328" s="29">
        <v>46719</v>
      </c>
      <c r="AA328" s="24" t="s">
        <v>2174</v>
      </c>
      <c r="AB328" s="24" t="s">
        <v>2160</v>
      </c>
      <c r="AC328" s="136" t="str">
        <f t="shared" si="10"/>
        <v>Arj007Hy</v>
      </c>
      <c r="AD328" s="136" t="str">
        <f t="shared" si="11"/>
        <v>arjun.rao@company.com</v>
      </c>
    </row>
    <row r="329" spans="1:30">
      <c r="A329" s="24" t="s">
        <v>1488</v>
      </c>
      <c r="B329" s="24" t="s">
        <v>221</v>
      </c>
      <c r="C329" s="24" t="s">
        <v>92</v>
      </c>
      <c r="D329" s="30">
        <v>45827</v>
      </c>
      <c r="E329" s="24" t="s">
        <v>965</v>
      </c>
      <c r="F329" s="136" t="str">
        <f>PROPER(TRIM(Sales_data!F329))</f>
        <v>Vikas Mehta</v>
      </c>
      <c r="G329" s="30" t="s">
        <v>76</v>
      </c>
      <c r="H329" s="24" t="s">
        <v>226</v>
      </c>
      <c r="I329" s="24" t="s">
        <v>105</v>
      </c>
      <c r="J329" s="24" t="s">
        <v>106</v>
      </c>
      <c r="K329" s="24" t="s">
        <v>2113</v>
      </c>
      <c r="L329" s="24" t="s">
        <v>32</v>
      </c>
      <c r="M329" s="34" t="s">
        <v>97</v>
      </c>
      <c r="N329" s="37">
        <v>16</v>
      </c>
      <c r="O329" s="44">
        <v>2625</v>
      </c>
      <c r="P329" s="35">
        <v>0.2</v>
      </c>
      <c r="Q329" s="34">
        <v>33600</v>
      </c>
      <c r="R329" s="24">
        <v>2</v>
      </c>
      <c r="S329" s="24" t="s">
        <v>2149</v>
      </c>
      <c r="T329" s="24" t="s">
        <v>35</v>
      </c>
      <c r="U329" s="34" t="str">
        <f>Sales_data!T329</f>
        <v>vikas.mehta@company.com</v>
      </c>
      <c r="V329" s="24">
        <v>9941274924</v>
      </c>
      <c r="W329" s="34" t="s">
        <v>2101</v>
      </c>
      <c r="X329" s="24">
        <v>6</v>
      </c>
      <c r="Y329" s="30" t="s">
        <v>2112</v>
      </c>
      <c r="Z329" s="29">
        <v>46019</v>
      </c>
      <c r="AA329" s="24" t="s">
        <v>2171</v>
      </c>
      <c r="AB329" s="24" t="s">
        <v>2160</v>
      </c>
      <c r="AC329" s="136" t="str">
        <f t="shared" si="10"/>
        <v>Vik005Mu</v>
      </c>
      <c r="AD329" s="136" t="str">
        <f t="shared" si="11"/>
        <v>vikas.mehta@company.com</v>
      </c>
    </row>
    <row r="330" spans="1:30">
      <c r="A330" s="24" t="s">
        <v>1491</v>
      </c>
      <c r="B330" s="24" t="s">
        <v>168</v>
      </c>
      <c r="C330" s="24" t="s">
        <v>92</v>
      </c>
      <c r="D330" s="30">
        <v>45860</v>
      </c>
      <c r="E330" s="24" t="s">
        <v>756</v>
      </c>
      <c r="F330" s="136" t="str">
        <f>PROPER(TRIM(Sales_data!F330))</f>
        <v>Anita Gupta</v>
      </c>
      <c r="G330" s="30" t="s">
        <v>28</v>
      </c>
      <c r="H330" s="24" t="s">
        <v>173</v>
      </c>
      <c r="I330" s="24" t="s">
        <v>114</v>
      </c>
      <c r="J330" s="24" t="s">
        <v>106</v>
      </c>
      <c r="K330" s="24" t="s">
        <v>2111</v>
      </c>
      <c r="L330" s="24" t="s">
        <v>32</v>
      </c>
      <c r="M330" s="34" t="s">
        <v>97</v>
      </c>
      <c r="N330" s="37">
        <v>9</v>
      </c>
      <c r="O330" s="44">
        <v>2625</v>
      </c>
      <c r="P330" s="35">
        <v>0.2</v>
      </c>
      <c r="Q330" s="34">
        <v>18900</v>
      </c>
      <c r="R330" s="24">
        <v>1</v>
      </c>
      <c r="S330" s="24" t="s">
        <v>79</v>
      </c>
      <c r="T330" s="24" t="s">
        <v>49</v>
      </c>
      <c r="U330" s="34" t="str">
        <f>Sales_data!T330</f>
        <v>anita.gupta@company.com</v>
      </c>
      <c r="V330" s="24">
        <v>9950650508</v>
      </c>
      <c r="W330" s="34" t="s">
        <v>2101</v>
      </c>
      <c r="X330" s="24">
        <v>6</v>
      </c>
      <c r="Y330" s="30" t="s">
        <v>2112</v>
      </c>
      <c r="Z330" s="29">
        <v>46054</v>
      </c>
      <c r="AA330" s="24" t="s">
        <v>2177</v>
      </c>
      <c r="AB330" s="24" t="s">
        <v>2160</v>
      </c>
      <c r="AC330" s="136" t="str">
        <f t="shared" si="10"/>
        <v>Ani004Pu</v>
      </c>
      <c r="AD330" s="136" t="str">
        <f t="shared" si="11"/>
        <v>anita.gupta@company.com</v>
      </c>
    </row>
    <row r="331" spans="1:30">
      <c r="A331" s="24" t="s">
        <v>1494</v>
      </c>
      <c r="B331" s="24" t="s">
        <v>127</v>
      </c>
      <c r="C331" s="24" t="s">
        <v>184</v>
      </c>
      <c r="D331" s="30">
        <v>45959</v>
      </c>
      <c r="E331" s="24" t="s">
        <v>530</v>
      </c>
      <c r="F331" s="136" t="str">
        <f>PROPER(TRIM(Sales_data!F331))</f>
        <v>Rohit Singh</v>
      </c>
      <c r="G331" s="30" t="s">
        <v>76</v>
      </c>
      <c r="H331" s="24" t="s">
        <v>131</v>
      </c>
      <c r="I331" s="24" t="s">
        <v>44</v>
      </c>
      <c r="J331" s="24" t="s">
        <v>45</v>
      </c>
      <c r="K331" s="24" t="s">
        <v>2113</v>
      </c>
      <c r="L331" s="24" t="s">
        <v>46</v>
      </c>
      <c r="M331" s="34" t="s">
        <v>189</v>
      </c>
      <c r="N331" s="37">
        <v>15</v>
      </c>
      <c r="O331" s="44">
        <v>525</v>
      </c>
      <c r="P331" s="35">
        <v>0.05</v>
      </c>
      <c r="Q331" s="34">
        <v>7481.25</v>
      </c>
      <c r="R331" s="24">
        <v>1</v>
      </c>
      <c r="S331" s="24" t="s">
        <v>34</v>
      </c>
      <c r="T331" s="24" t="s">
        <v>49</v>
      </c>
      <c r="U331" s="34" t="str">
        <f>Sales_data!T331</f>
        <v>rohit.singh@company.com</v>
      </c>
      <c r="V331" s="24">
        <v>9464035549</v>
      </c>
      <c r="W331" s="34" t="s">
        <v>2100</v>
      </c>
      <c r="X331" s="24">
        <v>24</v>
      </c>
      <c r="Y331" s="30" t="s">
        <v>2112</v>
      </c>
      <c r="Z331" s="29">
        <v>46690</v>
      </c>
      <c r="AA331" s="24" t="s">
        <v>2176</v>
      </c>
      <c r="AB331" s="24" t="s">
        <v>2160</v>
      </c>
      <c r="AC331" s="136" t="str">
        <f t="shared" si="10"/>
        <v>Roh003De</v>
      </c>
      <c r="AD331" s="136" t="str">
        <f t="shared" si="11"/>
        <v>rohit.singh@company.com</v>
      </c>
    </row>
    <row r="332" spans="1:30">
      <c r="A332" s="24" t="s">
        <v>1497</v>
      </c>
      <c r="B332" s="24" t="s">
        <v>53</v>
      </c>
      <c r="C332" s="24" t="s">
        <v>72</v>
      </c>
      <c r="D332" s="30">
        <v>46086</v>
      </c>
      <c r="E332" s="24" t="s">
        <v>798</v>
      </c>
      <c r="F332" s="136" t="str">
        <f>PROPER(TRIM(Sales_data!F332))</f>
        <v>Pooja Shah</v>
      </c>
      <c r="G332" s="30" t="s">
        <v>28</v>
      </c>
      <c r="H332" s="24" t="s">
        <v>58</v>
      </c>
      <c r="I332" s="24" t="s">
        <v>59</v>
      </c>
      <c r="J332" s="24" t="s">
        <v>31</v>
      </c>
      <c r="K332" s="24" t="s">
        <v>2111</v>
      </c>
      <c r="L332" s="24" t="s">
        <v>46</v>
      </c>
      <c r="M332" s="34" t="s">
        <v>78</v>
      </c>
      <c r="N332" s="37">
        <v>13</v>
      </c>
      <c r="O332" s="44">
        <v>900</v>
      </c>
      <c r="P332" s="35">
        <v>0</v>
      </c>
      <c r="Q332" s="34">
        <v>11700</v>
      </c>
      <c r="R332" s="24">
        <v>3</v>
      </c>
      <c r="S332" s="24" t="s">
        <v>2148</v>
      </c>
      <c r="T332" s="24" t="s">
        <v>115</v>
      </c>
      <c r="U332" s="34" t="str">
        <f>Sales_data!T332</f>
        <v>pooja.shah@company.com</v>
      </c>
      <c r="V332" s="24">
        <v>9142334315</v>
      </c>
      <c r="W332" s="34" t="s">
        <v>2100</v>
      </c>
      <c r="X332" s="24">
        <v>6</v>
      </c>
      <c r="Y332" s="30" t="s">
        <v>2108</v>
      </c>
      <c r="Z332" s="29">
        <v>46275</v>
      </c>
      <c r="AA332" s="24" t="s">
        <v>2172</v>
      </c>
      <c r="AB332" s="24" t="s">
        <v>2108</v>
      </c>
      <c r="AC332" s="136" t="str">
        <f t="shared" si="10"/>
        <v>Poo010Be</v>
      </c>
      <c r="AD332" s="136" t="str">
        <f t="shared" si="11"/>
        <v>pooja.shah@company.com</v>
      </c>
    </row>
    <row r="333" spans="1:30">
      <c r="A333" s="24" t="s">
        <v>1500</v>
      </c>
      <c r="B333" s="24" t="s">
        <v>327</v>
      </c>
      <c r="C333" s="24" t="s">
        <v>40</v>
      </c>
      <c r="D333" s="30">
        <v>45895</v>
      </c>
      <c r="E333" s="24" t="s">
        <v>1502</v>
      </c>
      <c r="F333" s="136" t="str">
        <f>PROPER(TRIM(Sales_data!F333))</f>
        <v>Amit Sharma</v>
      </c>
      <c r="G333" s="30" t="s">
        <v>76</v>
      </c>
      <c r="H333" s="24" t="s">
        <v>331</v>
      </c>
      <c r="I333" s="24" t="s">
        <v>114</v>
      </c>
      <c r="J333" s="24" t="s">
        <v>106</v>
      </c>
      <c r="K333" s="24" t="s">
        <v>2109</v>
      </c>
      <c r="L333" s="24" t="s">
        <v>46</v>
      </c>
      <c r="M333" s="34" t="s">
        <v>47</v>
      </c>
      <c r="N333" s="37">
        <v>5</v>
      </c>
      <c r="O333" s="44">
        <v>9000</v>
      </c>
      <c r="P333" s="35">
        <v>0.1</v>
      </c>
      <c r="Q333" s="34">
        <v>40500</v>
      </c>
      <c r="R333" s="24">
        <v>3</v>
      </c>
      <c r="S333" s="24" t="s">
        <v>2149</v>
      </c>
      <c r="T333" s="24" t="s">
        <v>49</v>
      </c>
      <c r="U333" s="34" t="str">
        <f>Sales_data!T333</f>
        <v>amit.sharma@company.com</v>
      </c>
      <c r="V333" s="24">
        <v>9123961962</v>
      </c>
      <c r="W333" s="34" t="s">
        <v>2101</v>
      </c>
      <c r="X333" s="24">
        <v>24</v>
      </c>
      <c r="Y333" s="30" t="s">
        <v>2108</v>
      </c>
      <c r="Z333" s="29">
        <v>46637</v>
      </c>
      <c r="AA333" s="24" t="s">
        <v>2171</v>
      </c>
      <c r="AB333" s="24" t="s">
        <v>2108</v>
      </c>
      <c r="AC333" s="136" t="str">
        <f t="shared" si="10"/>
        <v>Ami001Pu</v>
      </c>
      <c r="AD333" s="136" t="str">
        <f t="shared" si="11"/>
        <v>amit.sharma@company.com</v>
      </c>
    </row>
    <row r="334" spans="1:30">
      <c r="A334" s="24" t="s">
        <v>1505</v>
      </c>
      <c r="B334" s="24" t="s">
        <v>53</v>
      </c>
      <c r="C334" s="24" t="s">
        <v>259</v>
      </c>
      <c r="D334" s="30">
        <v>45752</v>
      </c>
      <c r="E334" s="24" t="s">
        <v>1507</v>
      </c>
      <c r="F334" s="136" t="str">
        <f>PROPER(TRIM(Sales_data!F334))</f>
        <v>Pooja Shah</v>
      </c>
      <c r="G334" s="30" t="s">
        <v>28</v>
      </c>
      <c r="H334" s="24" t="s">
        <v>58</v>
      </c>
      <c r="I334" s="24" t="s">
        <v>59</v>
      </c>
      <c r="J334" s="24" t="s">
        <v>31</v>
      </c>
      <c r="K334" s="24" t="s">
        <v>2111</v>
      </c>
      <c r="L334" s="24" t="s">
        <v>122</v>
      </c>
      <c r="M334" s="34" t="s">
        <v>263</v>
      </c>
      <c r="N334" s="37">
        <v>12</v>
      </c>
      <c r="O334" s="44">
        <v>33.75</v>
      </c>
      <c r="P334" s="35">
        <v>0.2</v>
      </c>
      <c r="Q334" s="34">
        <v>324</v>
      </c>
      <c r="R334" s="24">
        <v>3</v>
      </c>
      <c r="S334" s="24" t="s">
        <v>2148</v>
      </c>
      <c r="T334" s="24" t="s">
        <v>61</v>
      </c>
      <c r="U334" s="34" t="str">
        <f>Sales_data!T334</f>
        <v>pooja.shah@company.com</v>
      </c>
      <c r="V334" s="24">
        <v>9741953402</v>
      </c>
      <c r="W334" s="34" t="s">
        <v>2100</v>
      </c>
      <c r="X334" s="24">
        <v>12</v>
      </c>
      <c r="Y334" s="30" t="s">
        <v>2108</v>
      </c>
      <c r="Z334" s="29">
        <v>46120</v>
      </c>
      <c r="AA334" s="24" t="s">
        <v>2172</v>
      </c>
      <c r="AB334" s="24" t="s">
        <v>2108</v>
      </c>
      <c r="AC334" s="136" t="str">
        <f t="shared" si="10"/>
        <v>Poo010Be</v>
      </c>
      <c r="AD334" s="136" t="str">
        <f t="shared" si="11"/>
        <v>pooja.shah@company.com</v>
      </c>
    </row>
    <row r="335" spans="1:30">
      <c r="A335" s="24" t="s">
        <v>1510</v>
      </c>
      <c r="B335" s="24" t="s">
        <v>23</v>
      </c>
      <c r="C335" s="24" t="s">
        <v>92</v>
      </c>
      <c r="D335" s="30">
        <v>45756</v>
      </c>
      <c r="E335" s="24" t="s">
        <v>666</v>
      </c>
      <c r="F335" s="136" t="str">
        <f>PROPER(TRIM(Sales_data!F335))</f>
        <v>Kavya Nair</v>
      </c>
      <c r="G335" s="30" t="s">
        <v>28</v>
      </c>
      <c r="H335" s="24" t="s">
        <v>29</v>
      </c>
      <c r="I335" s="24" t="s">
        <v>30</v>
      </c>
      <c r="J335" s="24" t="s">
        <v>31</v>
      </c>
      <c r="K335" s="24" t="s">
        <v>2111</v>
      </c>
      <c r="L335" s="24" t="s">
        <v>32</v>
      </c>
      <c r="M335" s="34" t="s">
        <v>97</v>
      </c>
      <c r="N335" s="37">
        <v>2</v>
      </c>
      <c r="O335" s="44">
        <v>2625</v>
      </c>
      <c r="P335" s="35">
        <v>0</v>
      </c>
      <c r="Q335" s="34">
        <v>5250</v>
      </c>
      <c r="R335" s="24">
        <v>1</v>
      </c>
      <c r="S335" s="24" t="s">
        <v>2148</v>
      </c>
      <c r="T335" s="24" t="s">
        <v>115</v>
      </c>
      <c r="U335" s="34" t="str">
        <f>Sales_data!T335</f>
        <v>kavya.nair@company.com</v>
      </c>
      <c r="V335" s="24">
        <v>9404733633</v>
      </c>
      <c r="W335" s="34" t="s">
        <v>2101</v>
      </c>
      <c r="X335" s="24">
        <v>6</v>
      </c>
      <c r="Y335" s="30" t="s">
        <v>2108</v>
      </c>
      <c r="Z335" s="29">
        <v>45944</v>
      </c>
      <c r="AA335" s="24" t="s">
        <v>2171</v>
      </c>
      <c r="AB335" s="24" t="s">
        <v>2160</v>
      </c>
      <c r="AC335" s="136" t="str">
        <f t="shared" si="10"/>
        <v>Kav008Hy</v>
      </c>
      <c r="AD335" s="136" t="str">
        <f t="shared" si="11"/>
        <v>kavya.nair@company.com</v>
      </c>
    </row>
    <row r="336" spans="1:30">
      <c r="A336" s="24" t="s">
        <v>1513</v>
      </c>
      <c r="B336" s="24" t="s">
        <v>23</v>
      </c>
      <c r="C336" s="24" t="s">
        <v>24</v>
      </c>
      <c r="D336" s="30">
        <v>46155</v>
      </c>
      <c r="E336" s="24" t="s">
        <v>1180</v>
      </c>
      <c r="F336" s="136" t="str">
        <f>PROPER(TRIM(Sales_data!F336))</f>
        <v>Kavya Nair</v>
      </c>
      <c r="G336" s="30" t="s">
        <v>28</v>
      </c>
      <c r="H336" s="24" t="s">
        <v>29</v>
      </c>
      <c r="I336" s="24" t="s">
        <v>30</v>
      </c>
      <c r="J336" s="24" t="s">
        <v>31</v>
      </c>
      <c r="K336" s="24" t="s">
        <v>2111</v>
      </c>
      <c r="L336" s="24" t="s">
        <v>32</v>
      </c>
      <c r="M336" s="34" t="s">
        <v>33</v>
      </c>
      <c r="N336" s="37">
        <v>15</v>
      </c>
      <c r="O336" s="44">
        <v>1650</v>
      </c>
      <c r="P336" s="35">
        <v>0.15</v>
      </c>
      <c r="Q336" s="34">
        <v>21037.5</v>
      </c>
      <c r="R336" s="24">
        <v>2</v>
      </c>
      <c r="S336" s="24" t="s">
        <v>2148</v>
      </c>
      <c r="T336" s="24" t="s">
        <v>49</v>
      </c>
      <c r="U336" s="34" t="str">
        <f>Sales_data!T336</f>
        <v>kavya.nair@company.com</v>
      </c>
      <c r="V336" s="24">
        <v>9297492337</v>
      </c>
      <c r="W336" s="34" t="s">
        <v>2101</v>
      </c>
      <c r="X336" s="24">
        <v>24</v>
      </c>
      <c r="Y336" s="30" t="s">
        <v>2108</v>
      </c>
      <c r="Z336" s="29">
        <v>46889</v>
      </c>
      <c r="AA336" s="24" t="s">
        <v>2171</v>
      </c>
      <c r="AB336" s="24" t="s">
        <v>2160</v>
      </c>
      <c r="AC336" s="136" t="str">
        <f t="shared" si="10"/>
        <v>Kav008Hy</v>
      </c>
      <c r="AD336" s="136" t="str">
        <f t="shared" si="11"/>
        <v>kavya.nair@company.com</v>
      </c>
    </row>
    <row r="337" spans="1:30">
      <c r="A337" s="24" t="s">
        <v>1516</v>
      </c>
      <c r="B337" s="24" t="s">
        <v>100</v>
      </c>
      <c r="C337" s="24" t="s">
        <v>222</v>
      </c>
      <c r="D337" s="30">
        <v>45995</v>
      </c>
      <c r="E337" s="24" t="s">
        <v>1253</v>
      </c>
      <c r="F337" s="136" t="str">
        <f>PROPER(TRIM(Sales_data!F337))</f>
        <v>Priya Patel</v>
      </c>
      <c r="G337" s="30" t="s">
        <v>28</v>
      </c>
      <c r="H337" s="24" t="s">
        <v>104</v>
      </c>
      <c r="I337" s="24" t="s">
        <v>105</v>
      </c>
      <c r="J337" s="24" t="s">
        <v>106</v>
      </c>
      <c r="K337" s="24" t="s">
        <v>2111</v>
      </c>
      <c r="L337" s="24" t="s">
        <v>122</v>
      </c>
      <c r="M337" s="34" t="s">
        <v>227</v>
      </c>
      <c r="N337" s="37">
        <v>8</v>
      </c>
      <c r="O337" s="44">
        <v>15</v>
      </c>
      <c r="P337" s="35">
        <v>0.2</v>
      </c>
      <c r="Q337" s="34">
        <v>96</v>
      </c>
      <c r="R337" s="24">
        <v>5</v>
      </c>
      <c r="S337" s="24" t="s">
        <v>2149</v>
      </c>
      <c r="T337" s="24" t="s">
        <v>49</v>
      </c>
      <c r="U337" s="34" t="str">
        <f>Sales_data!T337</f>
        <v>priya.patel@company.com</v>
      </c>
      <c r="V337" s="24">
        <v>9350338928</v>
      </c>
      <c r="W337" s="34" t="s">
        <v>2103</v>
      </c>
      <c r="X337" s="24">
        <v>12</v>
      </c>
      <c r="Y337" s="30" t="s">
        <v>2110</v>
      </c>
      <c r="Z337" s="29">
        <v>46368</v>
      </c>
      <c r="AA337" s="24" t="s">
        <v>2175</v>
      </c>
      <c r="AB337" s="24" t="s">
        <v>2108</v>
      </c>
      <c r="AC337" s="136" t="str">
        <f t="shared" si="10"/>
        <v>Pri002Mu</v>
      </c>
      <c r="AD337" s="136" t="str">
        <f t="shared" si="11"/>
        <v>priya.patel@company.com</v>
      </c>
    </row>
    <row r="338" spans="1:30">
      <c r="A338" s="24" t="s">
        <v>1519</v>
      </c>
      <c r="B338" s="24" t="s">
        <v>127</v>
      </c>
      <c r="C338" s="24" t="s">
        <v>222</v>
      </c>
      <c r="D338" s="30">
        <v>46089</v>
      </c>
      <c r="E338" s="24" t="s">
        <v>798</v>
      </c>
      <c r="F338" s="136" t="str">
        <f>PROPER(TRIM(Sales_data!F338))</f>
        <v>Rohit Singh</v>
      </c>
      <c r="G338" s="30" t="s">
        <v>76</v>
      </c>
      <c r="H338" s="24" t="s">
        <v>131</v>
      </c>
      <c r="I338" s="24" t="s">
        <v>44</v>
      </c>
      <c r="J338" s="24" t="s">
        <v>45</v>
      </c>
      <c r="K338" s="24" t="s">
        <v>2113</v>
      </c>
      <c r="L338" s="24" t="s">
        <v>122</v>
      </c>
      <c r="M338" s="34" t="s">
        <v>227</v>
      </c>
      <c r="N338" s="37">
        <v>1</v>
      </c>
      <c r="O338" s="44">
        <v>15</v>
      </c>
      <c r="P338" s="35">
        <v>0</v>
      </c>
      <c r="Q338" s="34">
        <v>15</v>
      </c>
      <c r="R338" s="24">
        <v>3</v>
      </c>
      <c r="S338" s="24" t="s">
        <v>2149</v>
      </c>
      <c r="T338" s="24" t="s">
        <v>35</v>
      </c>
      <c r="U338" s="34" t="str">
        <f>Sales_data!T338</f>
        <v>rohit.singh@company.com</v>
      </c>
      <c r="V338" s="24">
        <v>9933894798</v>
      </c>
      <c r="W338" s="34" t="s">
        <v>2103</v>
      </c>
      <c r="X338" s="24">
        <v>12</v>
      </c>
      <c r="Y338" s="30" t="s">
        <v>2112</v>
      </c>
      <c r="Z338" s="29">
        <v>46456</v>
      </c>
      <c r="AA338" s="24" t="s">
        <v>2176</v>
      </c>
      <c r="AB338" s="24" t="s">
        <v>2108</v>
      </c>
      <c r="AC338" s="136" t="str">
        <f t="shared" si="10"/>
        <v>Roh003De</v>
      </c>
      <c r="AD338" s="136" t="str">
        <f t="shared" si="11"/>
        <v>rohit.singh@company.com</v>
      </c>
    </row>
    <row r="339" spans="1:30">
      <c r="A339" s="24" t="s">
        <v>1522</v>
      </c>
      <c r="B339" s="24" t="s">
        <v>23</v>
      </c>
      <c r="C339" s="24" t="s">
        <v>184</v>
      </c>
      <c r="D339" s="30">
        <v>46027</v>
      </c>
      <c r="E339" s="24" t="s">
        <v>253</v>
      </c>
      <c r="F339" s="136" t="str">
        <f>PROPER(TRIM(Sales_data!F339))</f>
        <v>Kavya Nair</v>
      </c>
      <c r="G339" s="30" t="s">
        <v>28</v>
      </c>
      <c r="H339" s="24" t="s">
        <v>29</v>
      </c>
      <c r="I339" s="24" t="s">
        <v>30</v>
      </c>
      <c r="J339" s="24" t="s">
        <v>31</v>
      </c>
      <c r="K339" s="24" t="s">
        <v>2111</v>
      </c>
      <c r="L339" s="24" t="s">
        <v>46</v>
      </c>
      <c r="M339" s="34" t="s">
        <v>189</v>
      </c>
      <c r="N339" s="37">
        <v>15</v>
      </c>
      <c r="O339" s="44">
        <v>525</v>
      </c>
      <c r="P339" s="35">
        <v>0</v>
      </c>
      <c r="Q339" s="34">
        <v>7875</v>
      </c>
      <c r="R339" s="24">
        <v>2</v>
      </c>
      <c r="S339" s="24" t="s">
        <v>2149</v>
      </c>
      <c r="T339" s="24" t="s">
        <v>49</v>
      </c>
      <c r="U339" s="34" t="str">
        <f>Sales_data!T339</f>
        <v>kavya.nair@company.com</v>
      </c>
      <c r="V339" s="24">
        <v>9705218824</v>
      </c>
      <c r="W339" s="34" t="s">
        <v>2100</v>
      </c>
      <c r="X339" s="24">
        <v>24</v>
      </c>
      <c r="Y339" s="30" t="s">
        <v>2108</v>
      </c>
      <c r="Z339" s="29">
        <v>46768</v>
      </c>
      <c r="AA339" s="24" t="s">
        <v>2171</v>
      </c>
      <c r="AB339" s="24" t="s">
        <v>2160</v>
      </c>
      <c r="AC339" s="136" t="str">
        <f t="shared" si="10"/>
        <v>Kav008Hy</v>
      </c>
      <c r="AD339" s="136" t="str">
        <f t="shared" si="11"/>
        <v>kavya.nair@company.com</v>
      </c>
    </row>
    <row r="340" spans="1:30">
      <c r="A340" s="24" t="s">
        <v>1525</v>
      </c>
      <c r="B340" s="24" t="s">
        <v>327</v>
      </c>
      <c r="C340" s="24" t="s">
        <v>92</v>
      </c>
      <c r="D340" s="30">
        <v>45695</v>
      </c>
      <c r="E340" s="24" t="s">
        <v>1526</v>
      </c>
      <c r="F340" s="136" t="str">
        <f>PROPER(TRIM(Sales_data!F340))</f>
        <v>Amit Sharma</v>
      </c>
      <c r="G340" s="30" t="s">
        <v>76</v>
      </c>
      <c r="H340" s="24" t="s">
        <v>331</v>
      </c>
      <c r="I340" s="24" t="s">
        <v>114</v>
      </c>
      <c r="J340" s="24" t="s">
        <v>106</v>
      </c>
      <c r="K340" s="24" t="s">
        <v>2109</v>
      </c>
      <c r="L340" s="24" t="s">
        <v>32</v>
      </c>
      <c r="M340" s="34" t="s">
        <v>97</v>
      </c>
      <c r="N340" s="37">
        <v>15</v>
      </c>
      <c r="O340" s="44">
        <v>2625</v>
      </c>
      <c r="P340" s="35">
        <v>0.1</v>
      </c>
      <c r="Q340" s="34">
        <v>35437.5</v>
      </c>
      <c r="R340" s="24">
        <v>3</v>
      </c>
      <c r="S340" s="24" t="s">
        <v>34</v>
      </c>
      <c r="T340" s="24" t="s">
        <v>151</v>
      </c>
      <c r="U340" s="34" t="str">
        <f>Sales_data!T340</f>
        <v>amit.sharma@company.com</v>
      </c>
      <c r="V340" s="24">
        <v>9229164453</v>
      </c>
      <c r="W340" s="34" t="s">
        <v>2101</v>
      </c>
      <c r="X340" s="24">
        <v>6</v>
      </c>
      <c r="Y340" s="30" t="s">
        <v>2108</v>
      </c>
      <c r="Z340" s="29">
        <v>45879</v>
      </c>
      <c r="AA340" s="24" t="s">
        <v>2171</v>
      </c>
      <c r="AB340" s="24" t="s">
        <v>2108</v>
      </c>
      <c r="AC340" s="136" t="str">
        <f t="shared" si="10"/>
        <v>Ami001Pu</v>
      </c>
      <c r="AD340" s="136" t="str">
        <f t="shared" si="11"/>
        <v>amit.sharma@company.com</v>
      </c>
    </row>
    <row r="341" spans="1:30">
      <c r="A341" s="24" t="s">
        <v>1529</v>
      </c>
      <c r="B341" s="24" t="s">
        <v>23</v>
      </c>
      <c r="C341" s="24" t="s">
        <v>118</v>
      </c>
      <c r="D341" s="30">
        <v>45866</v>
      </c>
      <c r="E341" s="24" t="s">
        <v>156</v>
      </c>
      <c r="F341" s="136" t="str">
        <f>PROPER(TRIM(Sales_data!F341))</f>
        <v>Kavya Nair</v>
      </c>
      <c r="G341" s="30" t="s">
        <v>28</v>
      </c>
      <c r="H341" s="24" t="s">
        <v>29</v>
      </c>
      <c r="I341" s="24" t="s">
        <v>30</v>
      </c>
      <c r="J341" s="24" t="s">
        <v>31</v>
      </c>
      <c r="K341" s="24" t="s">
        <v>2111</v>
      </c>
      <c r="L341" s="24" t="s">
        <v>122</v>
      </c>
      <c r="M341" s="34" t="s">
        <v>123</v>
      </c>
      <c r="N341" s="37">
        <v>16</v>
      </c>
      <c r="O341" s="44">
        <v>45</v>
      </c>
      <c r="P341" s="35">
        <v>0.1</v>
      </c>
      <c r="Q341" s="34">
        <v>648</v>
      </c>
      <c r="R341" s="24">
        <v>4</v>
      </c>
      <c r="S341" s="24" t="s">
        <v>79</v>
      </c>
      <c r="T341" s="24" t="s">
        <v>61</v>
      </c>
      <c r="U341" s="34" t="str">
        <f>Sales_data!T341</f>
        <v>kavya.nair@company.com</v>
      </c>
      <c r="V341" s="24">
        <v>9219806176</v>
      </c>
      <c r="W341" s="34" t="s">
        <v>2102</v>
      </c>
      <c r="X341" s="24">
        <v>12</v>
      </c>
      <c r="Y341" s="30" t="s">
        <v>2108</v>
      </c>
      <c r="Z341" s="29">
        <v>46241</v>
      </c>
      <c r="AA341" s="24" t="s">
        <v>2171</v>
      </c>
      <c r="AB341" s="24" t="s">
        <v>2108</v>
      </c>
      <c r="AC341" s="136" t="str">
        <f t="shared" si="10"/>
        <v>Kav008Hy</v>
      </c>
      <c r="AD341" s="136" t="str">
        <f t="shared" si="11"/>
        <v>kavya.nair@company.com</v>
      </c>
    </row>
    <row r="342" spans="1:30">
      <c r="A342" s="24" t="s">
        <v>1533</v>
      </c>
      <c r="B342" s="24" t="s">
        <v>127</v>
      </c>
      <c r="C342" s="24" t="s">
        <v>259</v>
      </c>
      <c r="D342" s="30">
        <v>45945</v>
      </c>
      <c r="E342" s="24" t="s">
        <v>793</v>
      </c>
      <c r="F342" s="136" t="str">
        <f>PROPER(TRIM(Sales_data!F342))</f>
        <v>Rohit Singh</v>
      </c>
      <c r="G342" s="30" t="s">
        <v>76</v>
      </c>
      <c r="H342" s="24" t="s">
        <v>131</v>
      </c>
      <c r="I342" s="24" t="s">
        <v>44</v>
      </c>
      <c r="J342" s="24" t="s">
        <v>45</v>
      </c>
      <c r="K342" s="24" t="s">
        <v>2113</v>
      </c>
      <c r="L342" s="24" t="s">
        <v>122</v>
      </c>
      <c r="M342" s="34" t="s">
        <v>263</v>
      </c>
      <c r="N342" s="37">
        <v>2</v>
      </c>
      <c r="O342" s="44">
        <v>33.75</v>
      </c>
      <c r="P342" s="35">
        <v>0.15</v>
      </c>
      <c r="Q342" s="34">
        <v>57.375</v>
      </c>
      <c r="R342" s="24">
        <v>1</v>
      </c>
      <c r="S342" s="24" t="s">
        <v>2149</v>
      </c>
      <c r="T342" s="24" t="s">
        <v>151</v>
      </c>
      <c r="U342" s="34" t="str">
        <f>Sales_data!T342</f>
        <v>rohit.singh@company.com</v>
      </c>
      <c r="V342" s="24">
        <v>9630210250</v>
      </c>
      <c r="W342" s="34" t="s">
        <v>2100</v>
      </c>
      <c r="X342" s="24">
        <v>12</v>
      </c>
      <c r="Y342" s="30" t="s">
        <v>2112</v>
      </c>
      <c r="Z342" s="29">
        <v>46316</v>
      </c>
      <c r="AA342" s="24" t="s">
        <v>2176</v>
      </c>
      <c r="AB342" s="24" t="s">
        <v>2160</v>
      </c>
      <c r="AC342" s="136" t="str">
        <f t="shared" si="10"/>
        <v>Roh003De</v>
      </c>
      <c r="AD342" s="136" t="str">
        <f t="shared" si="11"/>
        <v>rohit.singh@company.com</v>
      </c>
    </row>
    <row r="343" spans="1:30">
      <c r="A343" s="24" t="s">
        <v>1536</v>
      </c>
      <c r="B343" s="24" t="s">
        <v>168</v>
      </c>
      <c r="C343" s="24" t="s">
        <v>118</v>
      </c>
      <c r="D343" s="30">
        <v>45997</v>
      </c>
      <c r="E343" s="24" t="s">
        <v>1214</v>
      </c>
      <c r="F343" s="136" t="str">
        <f>PROPER(TRIM(Sales_data!F343))</f>
        <v>Anita Gupta</v>
      </c>
      <c r="G343" s="30" t="s">
        <v>28</v>
      </c>
      <c r="H343" s="24" t="s">
        <v>173</v>
      </c>
      <c r="I343" s="24" t="s">
        <v>114</v>
      </c>
      <c r="J343" s="24" t="s">
        <v>106</v>
      </c>
      <c r="K343" s="24" t="s">
        <v>2111</v>
      </c>
      <c r="L343" s="24" t="s">
        <v>122</v>
      </c>
      <c r="M343" s="34" t="s">
        <v>123</v>
      </c>
      <c r="N343" s="37">
        <v>13</v>
      </c>
      <c r="O343" s="44">
        <v>45</v>
      </c>
      <c r="P343" s="35">
        <v>0.15</v>
      </c>
      <c r="Q343" s="34">
        <v>497.25</v>
      </c>
      <c r="R343" s="24">
        <v>2</v>
      </c>
      <c r="S343" s="24" t="s">
        <v>2148</v>
      </c>
      <c r="T343" s="24" t="s">
        <v>61</v>
      </c>
      <c r="U343" s="34" t="str">
        <f>Sales_data!T343</f>
        <v>anita.gupta@company.com</v>
      </c>
      <c r="V343" s="24">
        <v>9583354052</v>
      </c>
      <c r="W343" s="34" t="s">
        <v>2102</v>
      </c>
      <c r="X343" s="24">
        <v>12</v>
      </c>
      <c r="Y343" s="30" t="s">
        <v>2112</v>
      </c>
      <c r="Z343" s="29">
        <v>46371</v>
      </c>
      <c r="AA343" s="24" t="s">
        <v>2177</v>
      </c>
      <c r="AB343" s="24" t="s">
        <v>2160</v>
      </c>
      <c r="AC343" s="136" t="str">
        <f t="shared" si="10"/>
        <v>Ani004Pu</v>
      </c>
      <c r="AD343" s="136" t="str">
        <f t="shared" si="11"/>
        <v>anita.gupta@company.com</v>
      </c>
    </row>
    <row r="344" spans="1:30">
      <c r="A344" s="24" t="s">
        <v>1540</v>
      </c>
      <c r="B344" s="24" t="s">
        <v>83</v>
      </c>
      <c r="C344" s="24" t="s">
        <v>40</v>
      </c>
      <c r="D344" s="30">
        <v>45797</v>
      </c>
      <c r="E344" s="24" t="s">
        <v>236</v>
      </c>
      <c r="F344" s="136" t="str">
        <f>PROPER(TRIM(Sales_data!F344))</f>
        <v>Arjun Rao</v>
      </c>
      <c r="G344" s="30" t="s">
        <v>76</v>
      </c>
      <c r="H344" s="24" t="s">
        <v>87</v>
      </c>
      <c r="I344" s="24" t="s">
        <v>30</v>
      </c>
      <c r="J344" s="24" t="s">
        <v>31</v>
      </c>
      <c r="K344" s="24" t="s">
        <v>2109</v>
      </c>
      <c r="L344" s="24" t="s">
        <v>46</v>
      </c>
      <c r="M344" s="34" t="s">
        <v>47</v>
      </c>
      <c r="N344" s="37">
        <v>15</v>
      </c>
      <c r="O344" s="44">
        <v>9000</v>
      </c>
      <c r="P344" s="35">
        <v>0.2</v>
      </c>
      <c r="Q344" s="34">
        <v>108000</v>
      </c>
      <c r="R344" s="24">
        <v>3</v>
      </c>
      <c r="S344" s="24" t="s">
        <v>79</v>
      </c>
      <c r="T344" s="24" t="s">
        <v>35</v>
      </c>
      <c r="U344" s="34" t="str">
        <f>Sales_data!T344</f>
        <v>arjun.rao@company.com</v>
      </c>
      <c r="V344" s="24">
        <v>9242534507</v>
      </c>
      <c r="W344" s="34" t="s">
        <v>2101</v>
      </c>
      <c r="X344" s="24">
        <v>24</v>
      </c>
      <c r="Y344" s="30" t="s">
        <v>2108</v>
      </c>
      <c r="Z344" s="29">
        <v>46529</v>
      </c>
      <c r="AA344" s="24" t="s">
        <v>2174</v>
      </c>
      <c r="AB344" s="24" t="s">
        <v>2112</v>
      </c>
      <c r="AC344" s="136" t="str">
        <f t="shared" si="10"/>
        <v>Arj007Hy</v>
      </c>
      <c r="AD344" s="136" t="str">
        <f t="shared" si="11"/>
        <v>arjun.rao@company.com</v>
      </c>
    </row>
    <row r="345" spans="1:30">
      <c r="A345" s="24" t="s">
        <v>1543</v>
      </c>
      <c r="B345" s="24" t="s">
        <v>327</v>
      </c>
      <c r="C345" s="24" t="s">
        <v>222</v>
      </c>
      <c r="D345" s="30">
        <v>45863</v>
      </c>
      <c r="E345" s="24" t="s">
        <v>1544</v>
      </c>
      <c r="F345" s="136" t="str">
        <f>PROPER(TRIM(Sales_data!F345))</f>
        <v>Amit Sharma</v>
      </c>
      <c r="G345" s="30" t="s">
        <v>76</v>
      </c>
      <c r="H345" s="24" t="s">
        <v>331</v>
      </c>
      <c r="I345" s="24" t="s">
        <v>114</v>
      </c>
      <c r="J345" s="24" t="s">
        <v>106</v>
      </c>
      <c r="K345" s="24" t="s">
        <v>2109</v>
      </c>
      <c r="L345" s="24" t="s">
        <v>122</v>
      </c>
      <c r="M345" s="34" t="s">
        <v>227</v>
      </c>
      <c r="N345" s="37">
        <v>2</v>
      </c>
      <c r="O345" s="44">
        <v>15</v>
      </c>
      <c r="P345" s="35">
        <v>0.2</v>
      </c>
      <c r="Q345" s="34">
        <v>24</v>
      </c>
      <c r="R345" s="24">
        <v>4</v>
      </c>
      <c r="S345" s="24" t="s">
        <v>34</v>
      </c>
      <c r="T345" s="24" t="s">
        <v>35</v>
      </c>
      <c r="U345" s="34" t="str">
        <f>Sales_data!T345</f>
        <v>amit.sharma@company.com</v>
      </c>
      <c r="V345" s="24">
        <v>9291239150</v>
      </c>
      <c r="W345" s="34" t="s">
        <v>2103</v>
      </c>
      <c r="X345" s="24">
        <v>12</v>
      </c>
      <c r="Y345" s="30" t="s">
        <v>2108</v>
      </c>
      <c r="Z345" s="29">
        <v>46236</v>
      </c>
      <c r="AA345" s="24" t="s">
        <v>2171</v>
      </c>
      <c r="AB345" s="24" t="s">
        <v>2108</v>
      </c>
      <c r="AC345" s="136" t="str">
        <f t="shared" si="10"/>
        <v>Ami001Pu</v>
      </c>
      <c r="AD345" s="136" t="str">
        <f t="shared" si="11"/>
        <v>amit.sharma@company.com</v>
      </c>
    </row>
    <row r="346" spans="1:30">
      <c r="A346" s="24" t="s">
        <v>1547</v>
      </c>
      <c r="B346" s="24" t="s">
        <v>127</v>
      </c>
      <c r="C346" s="24" t="s">
        <v>92</v>
      </c>
      <c r="D346" s="30">
        <v>45874</v>
      </c>
      <c r="E346" s="24" t="s">
        <v>1548</v>
      </c>
      <c r="F346" s="136" t="str">
        <f>PROPER(TRIM(Sales_data!F346))</f>
        <v>Rohit Singh</v>
      </c>
      <c r="G346" s="30" t="s">
        <v>76</v>
      </c>
      <c r="H346" s="24" t="s">
        <v>131</v>
      </c>
      <c r="I346" s="24" t="s">
        <v>44</v>
      </c>
      <c r="J346" s="24" t="s">
        <v>45</v>
      </c>
      <c r="K346" s="24" t="s">
        <v>2113</v>
      </c>
      <c r="L346" s="24" t="s">
        <v>32</v>
      </c>
      <c r="M346" s="34" t="s">
        <v>97</v>
      </c>
      <c r="N346" s="37">
        <v>16</v>
      </c>
      <c r="O346" s="44">
        <v>2625</v>
      </c>
      <c r="P346" s="35">
        <v>0</v>
      </c>
      <c r="Q346" s="34">
        <v>42000</v>
      </c>
      <c r="R346" s="24">
        <v>4</v>
      </c>
      <c r="S346" s="24" t="s">
        <v>34</v>
      </c>
      <c r="T346" s="24" t="s">
        <v>115</v>
      </c>
      <c r="U346" s="34" t="str">
        <f>Sales_data!T346</f>
        <v>rohit.singh@company.com</v>
      </c>
      <c r="V346" s="24">
        <v>9550820904</v>
      </c>
      <c r="W346" s="34" t="s">
        <v>2101</v>
      </c>
      <c r="X346" s="24">
        <v>6</v>
      </c>
      <c r="Y346" s="30" t="s">
        <v>2112</v>
      </c>
      <c r="Z346" s="29">
        <v>46070</v>
      </c>
      <c r="AA346" s="24" t="s">
        <v>2176</v>
      </c>
      <c r="AB346" s="24" t="s">
        <v>2108</v>
      </c>
      <c r="AC346" s="136" t="str">
        <f t="shared" si="10"/>
        <v>Roh003De</v>
      </c>
      <c r="AD346" s="136" t="str">
        <f t="shared" si="11"/>
        <v>rohit.singh@company.com</v>
      </c>
    </row>
    <row r="347" spans="1:30">
      <c r="A347" s="24" t="s">
        <v>1551</v>
      </c>
      <c r="B347" s="24" t="s">
        <v>53</v>
      </c>
      <c r="C347" s="24" t="s">
        <v>92</v>
      </c>
      <c r="D347" s="30">
        <v>46071</v>
      </c>
      <c r="E347" s="24" t="s">
        <v>94</v>
      </c>
      <c r="F347" s="136" t="str">
        <f>PROPER(TRIM(Sales_data!F347))</f>
        <v>Pooja Shah</v>
      </c>
      <c r="G347" s="30" t="s">
        <v>28</v>
      </c>
      <c r="H347" s="24" t="s">
        <v>58</v>
      </c>
      <c r="I347" s="24" t="s">
        <v>59</v>
      </c>
      <c r="J347" s="24" t="s">
        <v>31</v>
      </c>
      <c r="K347" s="24" t="s">
        <v>2111</v>
      </c>
      <c r="L347" s="24" t="s">
        <v>32</v>
      </c>
      <c r="M347" s="34" t="s">
        <v>97</v>
      </c>
      <c r="N347" s="37">
        <v>18</v>
      </c>
      <c r="O347" s="44">
        <v>2625</v>
      </c>
      <c r="P347" s="35">
        <v>0.15</v>
      </c>
      <c r="Q347" s="34">
        <v>40162.5</v>
      </c>
      <c r="R347" s="24">
        <v>5</v>
      </c>
      <c r="S347" s="24" t="s">
        <v>34</v>
      </c>
      <c r="T347" s="24" t="s">
        <v>151</v>
      </c>
      <c r="U347" s="34" t="str">
        <f>Sales_data!T347</f>
        <v>pooja.shah@company.com</v>
      </c>
      <c r="V347" s="24">
        <v>9294486423</v>
      </c>
      <c r="W347" s="34" t="s">
        <v>2101</v>
      </c>
      <c r="X347" s="24">
        <v>6</v>
      </c>
      <c r="Y347" s="30" t="s">
        <v>2108</v>
      </c>
      <c r="Z347" s="29">
        <v>46259</v>
      </c>
      <c r="AA347" s="24" t="s">
        <v>2172</v>
      </c>
      <c r="AB347" s="24" t="s">
        <v>2108</v>
      </c>
      <c r="AC347" s="136" t="str">
        <f t="shared" si="10"/>
        <v>Poo010Be</v>
      </c>
      <c r="AD347" s="136" t="str">
        <f t="shared" si="11"/>
        <v>pooja.shah@company.com</v>
      </c>
    </row>
    <row r="348" spans="1:30">
      <c r="A348" s="24" t="s">
        <v>1554</v>
      </c>
      <c r="B348" s="24" t="s">
        <v>23</v>
      </c>
      <c r="C348" s="24" t="s">
        <v>259</v>
      </c>
      <c r="D348" s="30">
        <v>46102</v>
      </c>
      <c r="E348" s="24" t="s">
        <v>544</v>
      </c>
      <c r="F348" s="136" t="str">
        <f>PROPER(TRIM(Sales_data!F348))</f>
        <v>Kavya Nair</v>
      </c>
      <c r="G348" s="30" t="s">
        <v>28</v>
      </c>
      <c r="H348" s="24" t="s">
        <v>29</v>
      </c>
      <c r="I348" s="24" t="s">
        <v>30</v>
      </c>
      <c r="J348" s="24" t="s">
        <v>31</v>
      </c>
      <c r="K348" s="24" t="s">
        <v>2111</v>
      </c>
      <c r="L348" s="24" t="s">
        <v>122</v>
      </c>
      <c r="M348" s="34" t="s">
        <v>263</v>
      </c>
      <c r="N348" s="37">
        <v>20</v>
      </c>
      <c r="O348" s="44">
        <v>33.75</v>
      </c>
      <c r="P348" s="35">
        <v>0.15</v>
      </c>
      <c r="Q348" s="34">
        <v>573.75</v>
      </c>
      <c r="R348" s="24">
        <v>4</v>
      </c>
      <c r="S348" s="24" t="s">
        <v>34</v>
      </c>
      <c r="T348" s="24" t="s">
        <v>151</v>
      </c>
      <c r="U348" s="34" t="str">
        <f>Sales_data!T348</f>
        <v>kavya.nair@company.com</v>
      </c>
      <c r="V348" s="24">
        <v>9260258621</v>
      </c>
      <c r="W348" s="34" t="s">
        <v>2100</v>
      </c>
      <c r="X348" s="24">
        <v>12</v>
      </c>
      <c r="Y348" s="30" t="s">
        <v>2108</v>
      </c>
      <c r="Z348" s="29">
        <v>46472</v>
      </c>
      <c r="AA348" s="24" t="s">
        <v>2171</v>
      </c>
      <c r="AB348" s="24" t="s">
        <v>2108</v>
      </c>
      <c r="AC348" s="136" t="str">
        <f t="shared" si="10"/>
        <v>Kav008Hy</v>
      </c>
      <c r="AD348" s="136" t="str">
        <f t="shared" si="11"/>
        <v>kavya.nair@company.com</v>
      </c>
    </row>
    <row r="349" spans="1:30">
      <c r="A349" s="24" t="s">
        <v>1557</v>
      </c>
      <c r="B349" s="24" t="s">
        <v>251</v>
      </c>
      <c r="C349" s="24" t="s">
        <v>24</v>
      </c>
      <c r="D349" s="30">
        <v>46128</v>
      </c>
      <c r="E349" s="24" t="s">
        <v>356</v>
      </c>
      <c r="F349" s="136" t="str">
        <f>PROPER(TRIM(Sales_data!F349))</f>
        <v>Sneha Joshi</v>
      </c>
      <c r="G349" s="30" t="s">
        <v>28</v>
      </c>
      <c r="H349" s="24" t="s">
        <v>255</v>
      </c>
      <c r="I349" s="24" t="s">
        <v>114</v>
      </c>
      <c r="J349" s="24" t="s">
        <v>106</v>
      </c>
      <c r="K349" s="24" t="s">
        <v>2111</v>
      </c>
      <c r="L349" s="24" t="s">
        <v>32</v>
      </c>
      <c r="M349" s="34" t="s">
        <v>33</v>
      </c>
      <c r="N349" s="37">
        <v>13</v>
      </c>
      <c r="O349" s="44">
        <v>1650</v>
      </c>
      <c r="P349" s="35">
        <v>0.15</v>
      </c>
      <c r="Q349" s="34">
        <v>18232.5</v>
      </c>
      <c r="R349" s="24">
        <v>2</v>
      </c>
      <c r="S349" s="24" t="s">
        <v>2148</v>
      </c>
      <c r="T349" s="24" t="s">
        <v>115</v>
      </c>
      <c r="U349" s="34" t="str">
        <f>Sales_data!T349</f>
        <v>sneha.joshi@company.com</v>
      </c>
      <c r="V349" s="24">
        <v>9697433584</v>
      </c>
      <c r="W349" s="34" t="s">
        <v>2101</v>
      </c>
      <c r="X349" s="24">
        <v>24</v>
      </c>
      <c r="Y349" s="30" t="s">
        <v>2112</v>
      </c>
      <c r="Z349" s="29">
        <v>46862</v>
      </c>
      <c r="AA349" s="24" t="s">
        <v>2173</v>
      </c>
      <c r="AB349" s="24" t="s">
        <v>2160</v>
      </c>
      <c r="AC349" s="136" t="str">
        <f t="shared" si="10"/>
        <v>Sne006Pu</v>
      </c>
      <c r="AD349" s="136" t="str">
        <f t="shared" si="11"/>
        <v>sneha.joshi@company.com</v>
      </c>
    </row>
    <row r="350" spans="1:30">
      <c r="A350" s="24" t="s">
        <v>1560</v>
      </c>
      <c r="B350" s="24" t="s">
        <v>53</v>
      </c>
      <c r="C350" s="24" t="s">
        <v>1561</v>
      </c>
      <c r="D350" s="30">
        <v>45943</v>
      </c>
      <c r="E350" s="24" t="s">
        <v>346</v>
      </c>
      <c r="F350" s="136" t="str">
        <f>PROPER(TRIM(Sales_data!F350))</f>
        <v>Pooja Shah</v>
      </c>
      <c r="G350" s="30" t="s">
        <v>28</v>
      </c>
      <c r="H350" s="24" t="s">
        <v>58</v>
      </c>
      <c r="I350" s="24" t="s">
        <v>59</v>
      </c>
      <c r="J350" s="24" t="s">
        <v>31</v>
      </c>
      <c r="K350" s="24" t="s">
        <v>2111</v>
      </c>
      <c r="L350" s="24" t="e">
        <v>#N/A</v>
      </c>
      <c r="M350" s="34" t="e">
        <v>#N/A</v>
      </c>
      <c r="N350" s="37">
        <v>11</v>
      </c>
      <c r="O350" s="44" t="e">
        <v>#N/A</v>
      </c>
      <c r="P350" s="35">
        <v>0.05</v>
      </c>
      <c r="Q350" s="34" t="e">
        <v>#N/A</v>
      </c>
      <c r="R350" s="24">
        <v>1</v>
      </c>
      <c r="S350" s="24" t="s">
        <v>2149</v>
      </c>
      <c r="T350" s="24" t="s">
        <v>115</v>
      </c>
      <c r="U350" s="34" t="str">
        <f>Sales_data!T350</f>
        <v>pooja.shah@company.com</v>
      </c>
      <c r="V350" s="24">
        <v>9837969758</v>
      </c>
      <c r="W350" s="34" t="e">
        <v>#N/A</v>
      </c>
      <c r="X350" s="24" t="e">
        <v>#N/A</v>
      </c>
      <c r="Y350" s="30" t="s">
        <v>2108</v>
      </c>
      <c r="Z350" s="29" t="e">
        <v>#N/A</v>
      </c>
      <c r="AA350" s="24" t="s">
        <v>2172</v>
      </c>
      <c r="AB350" s="24" t="s">
        <v>2160</v>
      </c>
      <c r="AC350" s="136" t="str">
        <f t="shared" si="10"/>
        <v>Poo010Be</v>
      </c>
      <c r="AD350" s="136" t="str">
        <f t="shared" si="11"/>
        <v>pooja.shah@company.com</v>
      </c>
    </row>
    <row r="351" spans="1:30">
      <c r="A351" s="24" t="s">
        <v>1564</v>
      </c>
      <c r="B351" s="24" t="s">
        <v>53</v>
      </c>
      <c r="C351" s="24" t="s">
        <v>24</v>
      </c>
      <c r="D351" s="30">
        <v>45996</v>
      </c>
      <c r="E351" s="24" t="s">
        <v>1475</v>
      </c>
      <c r="F351" s="136" t="str">
        <f>PROPER(TRIM(Sales_data!F351))</f>
        <v>Pooja Shah</v>
      </c>
      <c r="G351" s="30" t="s">
        <v>28</v>
      </c>
      <c r="H351" s="24" t="s">
        <v>58</v>
      </c>
      <c r="I351" s="24" t="s">
        <v>59</v>
      </c>
      <c r="J351" s="24" t="s">
        <v>31</v>
      </c>
      <c r="K351" s="24" t="s">
        <v>2111</v>
      </c>
      <c r="L351" s="24" t="s">
        <v>32</v>
      </c>
      <c r="M351" s="34" t="s">
        <v>33</v>
      </c>
      <c r="N351" s="37">
        <v>2</v>
      </c>
      <c r="O351" s="44">
        <v>1650</v>
      </c>
      <c r="P351" s="35">
        <v>0</v>
      </c>
      <c r="Q351" s="34">
        <v>3300</v>
      </c>
      <c r="R351" s="24">
        <v>4</v>
      </c>
      <c r="S351" s="24" t="s">
        <v>2149</v>
      </c>
      <c r="T351" s="24" t="s">
        <v>151</v>
      </c>
      <c r="U351" s="34" t="str">
        <f>Sales_data!T351</f>
        <v>pooja.shah@company.com</v>
      </c>
      <c r="V351" s="24">
        <v>9209736419</v>
      </c>
      <c r="W351" s="34" t="s">
        <v>2101</v>
      </c>
      <c r="X351" s="24">
        <v>24</v>
      </c>
      <c r="Y351" s="30" t="s">
        <v>2108</v>
      </c>
      <c r="Z351" s="29">
        <v>46731</v>
      </c>
      <c r="AA351" s="24" t="s">
        <v>2172</v>
      </c>
      <c r="AB351" s="24" t="s">
        <v>2108</v>
      </c>
      <c r="AC351" s="136" t="str">
        <f t="shared" si="10"/>
        <v>Poo010Be</v>
      </c>
      <c r="AD351" s="136" t="str">
        <f t="shared" si="11"/>
        <v>pooja.shah@company.com</v>
      </c>
    </row>
    <row r="352" spans="1:30">
      <c r="A352" s="24" t="s">
        <v>1568</v>
      </c>
      <c r="B352" s="24" t="s">
        <v>83</v>
      </c>
      <c r="C352" s="24" t="s">
        <v>184</v>
      </c>
      <c r="D352" s="30">
        <v>45868</v>
      </c>
      <c r="E352" s="24" t="s">
        <v>720</v>
      </c>
      <c r="F352" s="136" t="str">
        <f>PROPER(TRIM(Sales_data!F352))</f>
        <v>Arjun Rao</v>
      </c>
      <c r="G352" s="30" t="s">
        <v>76</v>
      </c>
      <c r="H352" s="24" t="s">
        <v>87</v>
      </c>
      <c r="I352" s="24" t="s">
        <v>30</v>
      </c>
      <c r="J352" s="24" t="s">
        <v>31</v>
      </c>
      <c r="K352" s="24" t="s">
        <v>2109</v>
      </c>
      <c r="L352" s="24" t="s">
        <v>46</v>
      </c>
      <c r="M352" s="34" t="s">
        <v>189</v>
      </c>
      <c r="N352" s="37">
        <v>15</v>
      </c>
      <c r="O352" s="44">
        <v>525</v>
      </c>
      <c r="P352" s="35">
        <v>0.15</v>
      </c>
      <c r="Q352" s="34">
        <v>6693.75</v>
      </c>
      <c r="R352" s="24">
        <v>3</v>
      </c>
      <c r="S352" s="24" t="s">
        <v>2148</v>
      </c>
      <c r="T352" s="24" t="s">
        <v>115</v>
      </c>
      <c r="U352" s="34" t="str">
        <f>Sales_data!T352</f>
        <v>arjun.rao@company.com</v>
      </c>
      <c r="V352" s="24">
        <v>9645907237</v>
      </c>
      <c r="W352" s="34" t="s">
        <v>2100</v>
      </c>
      <c r="X352" s="24">
        <v>24</v>
      </c>
      <c r="Y352" s="30" t="s">
        <v>2108</v>
      </c>
      <c r="Z352" s="29">
        <v>46603</v>
      </c>
      <c r="AA352" s="24" t="s">
        <v>2174</v>
      </c>
      <c r="AB352" s="24" t="s">
        <v>2108</v>
      </c>
      <c r="AC352" s="136" t="str">
        <f t="shared" si="10"/>
        <v>Arj007Hy</v>
      </c>
      <c r="AD352" s="136" t="str">
        <f t="shared" si="11"/>
        <v>arjun.rao@company.com</v>
      </c>
    </row>
    <row r="353" spans="1:30">
      <c r="A353" s="24" t="s">
        <v>1571</v>
      </c>
      <c r="B353" s="24" t="s">
        <v>127</v>
      </c>
      <c r="C353" s="24" t="s">
        <v>24</v>
      </c>
      <c r="D353" s="30">
        <v>45856</v>
      </c>
      <c r="E353" s="24" t="s">
        <v>835</v>
      </c>
      <c r="F353" s="136" t="str">
        <f>PROPER(TRIM(Sales_data!F353))</f>
        <v>Rohit Singh</v>
      </c>
      <c r="G353" s="30" t="s">
        <v>76</v>
      </c>
      <c r="H353" s="24" t="s">
        <v>131</v>
      </c>
      <c r="I353" s="24" t="s">
        <v>44</v>
      </c>
      <c r="J353" s="24" t="s">
        <v>45</v>
      </c>
      <c r="K353" s="24" t="s">
        <v>2113</v>
      </c>
      <c r="L353" s="24" t="s">
        <v>32</v>
      </c>
      <c r="M353" s="34" t="s">
        <v>33</v>
      </c>
      <c r="N353" s="37">
        <v>5</v>
      </c>
      <c r="O353" s="44">
        <v>1650</v>
      </c>
      <c r="P353" s="35">
        <v>0.15</v>
      </c>
      <c r="Q353" s="34">
        <v>7012.5</v>
      </c>
      <c r="R353" s="24">
        <v>1</v>
      </c>
      <c r="S353" s="24" t="s">
        <v>2148</v>
      </c>
      <c r="T353" s="24" t="s">
        <v>115</v>
      </c>
      <c r="U353" s="34" t="str">
        <f>Sales_data!T353</f>
        <v>rohit.singh@company.com</v>
      </c>
      <c r="V353" s="24">
        <v>9566149945</v>
      </c>
      <c r="W353" s="34" t="s">
        <v>2101</v>
      </c>
      <c r="X353" s="24">
        <v>24</v>
      </c>
      <c r="Y353" s="30" t="s">
        <v>2112</v>
      </c>
      <c r="Z353" s="29">
        <v>46592</v>
      </c>
      <c r="AA353" s="24" t="s">
        <v>2176</v>
      </c>
      <c r="AB353" s="24" t="s">
        <v>2160</v>
      </c>
      <c r="AC353" s="136" t="str">
        <f t="shared" si="10"/>
        <v>Roh003De</v>
      </c>
      <c r="AD353" s="136" t="str">
        <f t="shared" si="11"/>
        <v>rohit.singh@company.com</v>
      </c>
    </row>
    <row r="354" spans="1:30">
      <c r="A354" s="24" t="s">
        <v>1575</v>
      </c>
      <c r="B354" s="24" t="s">
        <v>83</v>
      </c>
      <c r="C354" s="24" t="s">
        <v>72</v>
      </c>
      <c r="D354" s="30">
        <v>46092</v>
      </c>
      <c r="E354" s="24" t="s">
        <v>1480</v>
      </c>
      <c r="F354" s="136" t="str">
        <f>PROPER(TRIM(Sales_data!F354))</f>
        <v>Arjun Rao</v>
      </c>
      <c r="G354" s="30" t="s">
        <v>76</v>
      </c>
      <c r="H354" s="24" t="s">
        <v>87</v>
      </c>
      <c r="I354" s="24" t="s">
        <v>30</v>
      </c>
      <c r="J354" s="24" t="s">
        <v>31</v>
      </c>
      <c r="K354" s="24" t="s">
        <v>2109</v>
      </c>
      <c r="L354" s="24" t="s">
        <v>46</v>
      </c>
      <c r="M354" s="34" t="s">
        <v>78</v>
      </c>
      <c r="N354" s="37">
        <v>15</v>
      </c>
      <c r="O354" s="44">
        <v>900</v>
      </c>
      <c r="P354" s="35">
        <v>0</v>
      </c>
      <c r="Q354" s="34">
        <v>13500</v>
      </c>
      <c r="R354" s="24">
        <v>3</v>
      </c>
      <c r="S354" s="24" t="s">
        <v>2148</v>
      </c>
      <c r="T354" s="24" t="s">
        <v>61</v>
      </c>
      <c r="U354" s="34" t="str">
        <f>Sales_data!T354</f>
        <v>arjun.rao@company.com</v>
      </c>
      <c r="V354" s="24">
        <v>9935018068</v>
      </c>
      <c r="W354" s="34" t="s">
        <v>2100</v>
      </c>
      <c r="X354" s="24">
        <v>6</v>
      </c>
      <c r="Y354" s="30" t="s">
        <v>2108</v>
      </c>
      <c r="Z354" s="29">
        <v>46277</v>
      </c>
      <c r="AA354" s="24" t="s">
        <v>2174</v>
      </c>
      <c r="AB354" s="24" t="s">
        <v>2108</v>
      </c>
      <c r="AC354" s="136" t="str">
        <f t="shared" si="10"/>
        <v>Arj007Hy</v>
      </c>
      <c r="AD354" s="136" t="str">
        <f t="shared" si="11"/>
        <v>arjun.rao@company.com</v>
      </c>
    </row>
    <row r="355" spans="1:30">
      <c r="A355" s="24" t="s">
        <v>1578</v>
      </c>
      <c r="B355" s="24" t="s">
        <v>251</v>
      </c>
      <c r="C355" s="24" t="s">
        <v>72</v>
      </c>
      <c r="D355" s="30">
        <v>46120</v>
      </c>
      <c r="E355" s="24" t="s">
        <v>657</v>
      </c>
      <c r="F355" s="136" t="str">
        <f>PROPER(TRIM(Sales_data!F355))</f>
        <v>Sneha Joshi</v>
      </c>
      <c r="G355" s="30" t="s">
        <v>28</v>
      </c>
      <c r="H355" s="24" t="s">
        <v>255</v>
      </c>
      <c r="I355" s="24" t="s">
        <v>114</v>
      </c>
      <c r="J355" s="24" t="s">
        <v>106</v>
      </c>
      <c r="K355" s="24" t="s">
        <v>2111</v>
      </c>
      <c r="L355" s="24" t="s">
        <v>46</v>
      </c>
      <c r="M355" s="34" t="s">
        <v>78</v>
      </c>
      <c r="N355" s="37">
        <v>19</v>
      </c>
      <c r="O355" s="44">
        <v>900</v>
      </c>
      <c r="P355" s="35">
        <v>0</v>
      </c>
      <c r="Q355" s="34">
        <v>17100</v>
      </c>
      <c r="R355" s="24">
        <v>1</v>
      </c>
      <c r="S355" s="24" t="s">
        <v>34</v>
      </c>
      <c r="T355" s="24" t="s">
        <v>49</v>
      </c>
      <c r="U355" s="34" t="str">
        <f>Sales_data!T355</f>
        <v>sneha.joshi@company.com</v>
      </c>
      <c r="V355" s="24">
        <v>9171794652</v>
      </c>
      <c r="W355" s="34" t="s">
        <v>2100</v>
      </c>
      <c r="X355" s="24">
        <v>6</v>
      </c>
      <c r="Y355" s="30" t="s">
        <v>2112</v>
      </c>
      <c r="Z355" s="29">
        <v>46305</v>
      </c>
      <c r="AA355" s="24" t="s">
        <v>2173</v>
      </c>
      <c r="AB355" s="24" t="s">
        <v>2160</v>
      </c>
      <c r="AC355" s="136" t="str">
        <f t="shared" si="10"/>
        <v>Sne006Pu</v>
      </c>
      <c r="AD355" s="136" t="str">
        <f t="shared" si="11"/>
        <v>sneha.joshi@company.com</v>
      </c>
    </row>
    <row r="356" spans="1:30">
      <c r="A356" s="24" t="s">
        <v>1581</v>
      </c>
      <c r="B356" s="24" t="s">
        <v>168</v>
      </c>
      <c r="C356" s="24" t="s">
        <v>40</v>
      </c>
      <c r="D356" s="30">
        <v>45918</v>
      </c>
      <c r="E356" s="24" t="s">
        <v>1582</v>
      </c>
      <c r="F356" s="136" t="str">
        <f>PROPER(TRIM(Sales_data!F356))</f>
        <v>Anita Gupta</v>
      </c>
      <c r="G356" s="30" t="s">
        <v>28</v>
      </c>
      <c r="H356" s="24" t="s">
        <v>173</v>
      </c>
      <c r="I356" s="24" t="s">
        <v>114</v>
      </c>
      <c r="J356" s="24" t="s">
        <v>106</v>
      </c>
      <c r="K356" s="24" t="s">
        <v>2111</v>
      </c>
      <c r="L356" s="24" t="s">
        <v>46</v>
      </c>
      <c r="M356" s="34" t="s">
        <v>47</v>
      </c>
      <c r="N356" s="37">
        <v>9</v>
      </c>
      <c r="O356" s="44">
        <v>9000</v>
      </c>
      <c r="P356" s="35">
        <v>0.15</v>
      </c>
      <c r="Q356" s="34">
        <v>68850</v>
      </c>
      <c r="R356" s="24">
        <v>3</v>
      </c>
      <c r="S356" s="24" t="s">
        <v>2149</v>
      </c>
      <c r="T356" s="24" t="s">
        <v>49</v>
      </c>
      <c r="U356" s="34" t="str">
        <f>Sales_data!T356</f>
        <v>anita.gupta@company.com</v>
      </c>
      <c r="V356" s="24">
        <v>9671497416</v>
      </c>
      <c r="W356" s="34" t="s">
        <v>2101</v>
      </c>
      <c r="X356" s="24">
        <v>24</v>
      </c>
      <c r="Y356" s="30" t="s">
        <v>2112</v>
      </c>
      <c r="Z356" s="29">
        <v>46655</v>
      </c>
      <c r="AA356" s="24" t="s">
        <v>2177</v>
      </c>
      <c r="AB356" s="24" t="s">
        <v>2112</v>
      </c>
      <c r="AC356" s="136" t="str">
        <f t="shared" si="10"/>
        <v>Ani004Pu</v>
      </c>
      <c r="AD356" s="136" t="str">
        <f t="shared" si="11"/>
        <v>anita.gupta@company.com</v>
      </c>
    </row>
    <row r="357" spans="1:30">
      <c r="A357" s="24" t="s">
        <v>1585</v>
      </c>
      <c r="B357" s="24" t="s">
        <v>23</v>
      </c>
      <c r="C357" s="24" t="s">
        <v>259</v>
      </c>
      <c r="D357" s="30">
        <v>45941</v>
      </c>
      <c r="E357" s="24" t="s">
        <v>793</v>
      </c>
      <c r="F357" s="136" t="str">
        <f>PROPER(TRIM(Sales_data!F357))</f>
        <v>Kavya Nair</v>
      </c>
      <c r="G357" s="30" t="s">
        <v>28</v>
      </c>
      <c r="H357" s="24" t="s">
        <v>29</v>
      </c>
      <c r="I357" s="24" t="s">
        <v>30</v>
      </c>
      <c r="J357" s="24" t="s">
        <v>31</v>
      </c>
      <c r="K357" s="24" t="s">
        <v>2111</v>
      </c>
      <c r="L357" s="24" t="s">
        <v>122</v>
      </c>
      <c r="M357" s="34" t="s">
        <v>263</v>
      </c>
      <c r="N357" s="37">
        <v>5</v>
      </c>
      <c r="O357" s="44">
        <v>33.75</v>
      </c>
      <c r="P357" s="35">
        <v>0.05</v>
      </c>
      <c r="Q357" s="34">
        <v>160.3125</v>
      </c>
      <c r="R357" s="24">
        <v>1</v>
      </c>
      <c r="S357" s="24" t="s">
        <v>79</v>
      </c>
      <c r="T357" s="24" t="s">
        <v>115</v>
      </c>
      <c r="U357" s="34" t="str">
        <f>Sales_data!T357</f>
        <v>kavya.nair@company.com</v>
      </c>
      <c r="V357" s="24">
        <v>9810433484</v>
      </c>
      <c r="W357" s="34" t="s">
        <v>2100</v>
      </c>
      <c r="X357" s="24">
        <v>12</v>
      </c>
      <c r="Y357" s="30" t="s">
        <v>2108</v>
      </c>
      <c r="Z357" s="29">
        <v>46316</v>
      </c>
      <c r="AA357" s="24" t="s">
        <v>2171</v>
      </c>
      <c r="AB357" s="24" t="s">
        <v>2160</v>
      </c>
      <c r="AC357" s="136" t="str">
        <f t="shared" si="10"/>
        <v>Kav008Hy</v>
      </c>
      <c r="AD357" s="136" t="str">
        <f t="shared" si="11"/>
        <v>kavya.nair@company.com</v>
      </c>
    </row>
    <row r="358" spans="1:30">
      <c r="A358" s="24" t="s">
        <v>1588</v>
      </c>
      <c r="B358" s="24" t="s">
        <v>251</v>
      </c>
      <c r="C358" s="24" t="s">
        <v>184</v>
      </c>
      <c r="D358" s="30"/>
      <c r="E358" s="24" t="s">
        <v>1373</v>
      </c>
      <c r="F358" s="136" t="str">
        <f>PROPER(TRIM(Sales_data!F358))</f>
        <v>Sneha Joshi</v>
      </c>
      <c r="G358" s="30" t="s">
        <v>28</v>
      </c>
      <c r="H358" s="24" t="s">
        <v>255</v>
      </c>
      <c r="I358" s="24" t="s">
        <v>114</v>
      </c>
      <c r="J358" s="24" t="s">
        <v>106</v>
      </c>
      <c r="K358" s="24" t="s">
        <v>2111</v>
      </c>
      <c r="L358" s="24" t="s">
        <v>46</v>
      </c>
      <c r="M358" s="34" t="s">
        <v>189</v>
      </c>
      <c r="N358" s="37">
        <v>3</v>
      </c>
      <c r="O358" s="44">
        <v>525</v>
      </c>
      <c r="P358" s="35">
        <v>0.15</v>
      </c>
      <c r="Q358" s="34">
        <v>1338.75</v>
      </c>
      <c r="R358" s="24">
        <v>4</v>
      </c>
      <c r="S358" s="24" t="s">
        <v>34</v>
      </c>
      <c r="T358" s="24" t="s">
        <v>151</v>
      </c>
      <c r="U358" s="34" t="str">
        <f>Sales_data!T358</f>
        <v>sneha.joshi@company.com</v>
      </c>
      <c r="V358" s="24">
        <v>9990243436</v>
      </c>
      <c r="W358" s="34" t="s">
        <v>2100</v>
      </c>
      <c r="X358" s="24">
        <v>24</v>
      </c>
      <c r="Y358" s="30" t="s">
        <v>2112</v>
      </c>
      <c r="Z358" s="29">
        <v>46429</v>
      </c>
      <c r="AA358" s="24" t="s">
        <v>2173</v>
      </c>
      <c r="AB358" s="24" t="s">
        <v>2108</v>
      </c>
      <c r="AC358" s="136" t="str">
        <f t="shared" si="10"/>
        <v>Sne006Pu</v>
      </c>
      <c r="AD358" s="136" t="str">
        <f t="shared" si="11"/>
        <v>sneha.joshi@company.com</v>
      </c>
    </row>
    <row r="359" spans="1:30">
      <c r="A359" s="24" t="s">
        <v>1592</v>
      </c>
      <c r="B359" s="24" t="s">
        <v>71</v>
      </c>
      <c r="C359" s="24" t="s">
        <v>169</v>
      </c>
      <c r="D359" s="30">
        <v>46005</v>
      </c>
      <c r="E359" s="24" t="s">
        <v>961</v>
      </c>
      <c r="F359" s="136" t="str">
        <f>PROPER(TRIM(Sales_data!F359))</f>
        <v>Mohit Verma</v>
      </c>
      <c r="G359" s="30" t="s">
        <v>76</v>
      </c>
      <c r="H359" s="24" t="s">
        <v>77</v>
      </c>
      <c r="I359" s="24" t="s">
        <v>44</v>
      </c>
      <c r="J359" s="24" t="s">
        <v>45</v>
      </c>
      <c r="K359" s="24" t="s">
        <v>2114</v>
      </c>
      <c r="L359" s="24" t="s">
        <v>32</v>
      </c>
      <c r="M359" s="34" t="s">
        <v>174</v>
      </c>
      <c r="N359" s="37">
        <v>12</v>
      </c>
      <c r="O359" s="44">
        <v>6375</v>
      </c>
      <c r="P359" s="35">
        <v>0.05</v>
      </c>
      <c r="Q359" s="34">
        <v>72675</v>
      </c>
      <c r="R359" s="24">
        <v>3</v>
      </c>
      <c r="S359" s="24" t="s">
        <v>79</v>
      </c>
      <c r="T359" s="24" t="s">
        <v>61</v>
      </c>
      <c r="U359" s="34" t="str">
        <f>Sales_data!T359</f>
        <v>mohit.verma@company.com</v>
      </c>
      <c r="V359" s="24">
        <v>9396678031</v>
      </c>
      <c r="W359" s="34" t="s">
        <v>2100</v>
      </c>
      <c r="X359" s="24">
        <v>24</v>
      </c>
      <c r="Y359" s="30" t="s">
        <v>2110</v>
      </c>
      <c r="Z359" s="29">
        <v>46747</v>
      </c>
      <c r="AA359" s="24" t="s">
        <v>2173</v>
      </c>
      <c r="AB359" s="24" t="s">
        <v>2112</v>
      </c>
      <c r="AC359" s="136" t="str">
        <f t="shared" si="10"/>
        <v>Moh009De</v>
      </c>
      <c r="AD359" s="136" t="str">
        <f t="shared" si="11"/>
        <v>mohit.verma@company.com</v>
      </c>
    </row>
    <row r="360" spans="1:30">
      <c r="A360" s="24" t="s">
        <v>1595</v>
      </c>
      <c r="B360" s="24" t="s">
        <v>251</v>
      </c>
      <c r="C360" s="24" t="s">
        <v>169</v>
      </c>
      <c r="D360" s="30">
        <v>46123</v>
      </c>
      <c r="E360" s="24" t="s">
        <v>356</v>
      </c>
      <c r="F360" s="136" t="str">
        <f>PROPER(TRIM(Sales_data!F360))</f>
        <v>Sneha Joshi</v>
      </c>
      <c r="G360" s="30" t="s">
        <v>28</v>
      </c>
      <c r="H360" s="24" t="s">
        <v>255</v>
      </c>
      <c r="I360" s="24" t="s">
        <v>114</v>
      </c>
      <c r="J360" s="24" t="s">
        <v>106</v>
      </c>
      <c r="K360" s="24" t="s">
        <v>2111</v>
      </c>
      <c r="L360" s="24" t="s">
        <v>32</v>
      </c>
      <c r="M360" s="34" t="s">
        <v>174</v>
      </c>
      <c r="N360" s="37">
        <v>4</v>
      </c>
      <c r="O360" s="44">
        <v>6375</v>
      </c>
      <c r="P360" s="35">
        <v>0.15</v>
      </c>
      <c r="Q360" s="34">
        <v>21675</v>
      </c>
      <c r="R360" s="24">
        <v>4</v>
      </c>
      <c r="S360" s="24" t="s">
        <v>2148</v>
      </c>
      <c r="T360" s="24" t="s">
        <v>61</v>
      </c>
      <c r="U360" s="34" t="str">
        <f>Sales_data!T360</f>
        <v>sneha.joshi@company.com</v>
      </c>
      <c r="V360" s="24">
        <v>9818591245</v>
      </c>
      <c r="W360" s="34" t="s">
        <v>2100</v>
      </c>
      <c r="X360" s="24">
        <v>24</v>
      </c>
      <c r="Y360" s="30" t="s">
        <v>2112</v>
      </c>
      <c r="Z360" s="29">
        <v>46862</v>
      </c>
      <c r="AA360" s="24" t="s">
        <v>2173</v>
      </c>
      <c r="AB360" s="24" t="s">
        <v>2108</v>
      </c>
      <c r="AC360" s="136" t="str">
        <f t="shared" si="10"/>
        <v>Sne006Pu</v>
      </c>
      <c r="AD360" s="136" t="str">
        <f t="shared" si="11"/>
        <v>sneha.joshi@company.com</v>
      </c>
    </row>
    <row r="361" spans="1:30">
      <c r="A361" s="24" t="s">
        <v>1598</v>
      </c>
      <c r="B361" s="24" t="s">
        <v>127</v>
      </c>
      <c r="C361" s="24" t="s">
        <v>222</v>
      </c>
      <c r="D361" s="30">
        <v>45766</v>
      </c>
      <c r="E361" s="24" t="s">
        <v>953</v>
      </c>
      <c r="F361" s="136" t="str">
        <f>PROPER(TRIM(Sales_data!F361))</f>
        <v>Rohit Singh</v>
      </c>
      <c r="G361" s="30" t="s">
        <v>76</v>
      </c>
      <c r="H361" s="24" t="s">
        <v>131</v>
      </c>
      <c r="I361" s="24" t="s">
        <v>44</v>
      </c>
      <c r="J361" s="24" t="s">
        <v>45</v>
      </c>
      <c r="K361" s="24" t="s">
        <v>2113</v>
      </c>
      <c r="L361" s="24" t="s">
        <v>122</v>
      </c>
      <c r="M361" s="34" t="s">
        <v>227</v>
      </c>
      <c r="N361" s="37">
        <v>16</v>
      </c>
      <c r="O361" s="44">
        <v>15</v>
      </c>
      <c r="P361" s="35">
        <v>0.1</v>
      </c>
      <c r="Q361" s="34">
        <v>216</v>
      </c>
      <c r="R361" s="24">
        <v>4</v>
      </c>
      <c r="S361" s="24" t="s">
        <v>34</v>
      </c>
      <c r="T361" s="24" t="s">
        <v>115</v>
      </c>
      <c r="U361" s="34" t="str">
        <f>Sales_data!T361</f>
        <v>rohit.singh@company.com</v>
      </c>
      <c r="V361" s="24">
        <v>9505550047</v>
      </c>
      <c r="W361" s="34" t="s">
        <v>2103</v>
      </c>
      <c r="X361" s="24">
        <v>12</v>
      </c>
      <c r="Y361" s="30" t="s">
        <v>2112</v>
      </c>
      <c r="Z361" s="29">
        <v>46134</v>
      </c>
      <c r="AA361" s="24" t="s">
        <v>2176</v>
      </c>
      <c r="AB361" s="24" t="s">
        <v>2108</v>
      </c>
      <c r="AC361" s="136" t="str">
        <f t="shared" si="10"/>
        <v>Roh003De</v>
      </c>
      <c r="AD361" s="136" t="str">
        <f t="shared" si="11"/>
        <v>rohit.singh@company.com</v>
      </c>
    </row>
    <row r="362" spans="1:30">
      <c r="A362" s="24" t="s">
        <v>1601</v>
      </c>
      <c r="B362" s="24" t="s">
        <v>127</v>
      </c>
      <c r="C362" s="24" t="s">
        <v>118</v>
      </c>
      <c r="D362" s="30">
        <v>46152</v>
      </c>
      <c r="E362" s="24" t="s">
        <v>1602</v>
      </c>
      <c r="F362" s="136" t="str">
        <f>PROPER(TRIM(Sales_data!F362))</f>
        <v>Rohit Singh</v>
      </c>
      <c r="G362" s="30" t="s">
        <v>76</v>
      </c>
      <c r="H362" s="24" t="s">
        <v>131</v>
      </c>
      <c r="I362" s="24" t="s">
        <v>44</v>
      </c>
      <c r="J362" s="24" t="s">
        <v>45</v>
      </c>
      <c r="K362" s="24" t="s">
        <v>2113</v>
      </c>
      <c r="L362" s="24" t="s">
        <v>122</v>
      </c>
      <c r="M362" s="34" t="s">
        <v>123</v>
      </c>
      <c r="N362" s="37">
        <v>3</v>
      </c>
      <c r="O362" s="44">
        <v>45</v>
      </c>
      <c r="P362" s="35">
        <v>0.2</v>
      </c>
      <c r="Q362" s="34">
        <v>108</v>
      </c>
      <c r="R362" s="24">
        <v>4</v>
      </c>
      <c r="S362" s="24" t="s">
        <v>2149</v>
      </c>
      <c r="T362" s="24" t="s">
        <v>151</v>
      </c>
      <c r="U362" s="34" t="str">
        <f>Sales_data!T362</f>
        <v>rohit.singh@company.com</v>
      </c>
      <c r="V362" s="24">
        <v>9469828772</v>
      </c>
      <c r="W362" s="34" t="s">
        <v>2102</v>
      </c>
      <c r="X362" s="24">
        <v>12</v>
      </c>
      <c r="Y362" s="30" t="s">
        <v>2112</v>
      </c>
      <c r="Z362" s="29">
        <v>46525</v>
      </c>
      <c r="AA362" s="24" t="s">
        <v>2176</v>
      </c>
      <c r="AB362" s="24" t="s">
        <v>2108</v>
      </c>
      <c r="AC362" s="136" t="str">
        <f t="shared" si="10"/>
        <v>Roh003De</v>
      </c>
      <c r="AD362" s="136" t="str">
        <f t="shared" si="11"/>
        <v>rohit.singh@company.com</v>
      </c>
    </row>
    <row r="363" spans="1:30">
      <c r="A363" s="24" t="s">
        <v>1605</v>
      </c>
      <c r="B363" s="24" t="s">
        <v>71</v>
      </c>
      <c r="C363" s="24" t="s">
        <v>24</v>
      </c>
      <c r="D363" s="30">
        <v>45858</v>
      </c>
      <c r="E363" s="24" t="s">
        <v>155</v>
      </c>
      <c r="F363" s="136" t="str">
        <f>PROPER(TRIM(Sales_data!F363))</f>
        <v>Mohit Verma</v>
      </c>
      <c r="G363" s="30" t="s">
        <v>76</v>
      </c>
      <c r="H363" s="24" t="s">
        <v>77</v>
      </c>
      <c r="I363" s="24" t="s">
        <v>44</v>
      </c>
      <c r="J363" s="24" t="s">
        <v>45</v>
      </c>
      <c r="K363" s="24" t="s">
        <v>2114</v>
      </c>
      <c r="L363" s="24" t="s">
        <v>32</v>
      </c>
      <c r="M363" s="34" t="s">
        <v>33</v>
      </c>
      <c r="N363" s="37">
        <v>19</v>
      </c>
      <c r="O363" s="44">
        <v>1650</v>
      </c>
      <c r="P363" s="35">
        <v>0.1</v>
      </c>
      <c r="Q363" s="34">
        <v>28215</v>
      </c>
      <c r="R363" s="24">
        <v>2</v>
      </c>
      <c r="S363" s="24" t="s">
        <v>34</v>
      </c>
      <c r="T363" s="24" t="s">
        <v>151</v>
      </c>
      <c r="U363" s="34" t="str">
        <f>Sales_data!T363</f>
        <v>mohit.verma@company.com</v>
      </c>
      <c r="V363" s="24">
        <v>9885092680</v>
      </c>
      <c r="W363" s="34" t="s">
        <v>2101</v>
      </c>
      <c r="X363" s="24">
        <v>24</v>
      </c>
      <c r="Y363" s="30" t="s">
        <v>2110</v>
      </c>
      <c r="Z363" s="29">
        <v>46594</v>
      </c>
      <c r="AA363" s="24" t="s">
        <v>2173</v>
      </c>
      <c r="AB363" s="24" t="s">
        <v>2160</v>
      </c>
      <c r="AC363" s="136" t="str">
        <f t="shared" si="10"/>
        <v>Moh009De</v>
      </c>
      <c r="AD363" s="136" t="str">
        <f t="shared" si="11"/>
        <v>mohit.verma@company.com</v>
      </c>
    </row>
    <row r="364" spans="1:30">
      <c r="A364" s="24" t="s">
        <v>1608</v>
      </c>
      <c r="B364" s="24" t="s">
        <v>71</v>
      </c>
      <c r="C364" s="24" t="s">
        <v>72</v>
      </c>
      <c r="D364" s="30">
        <v>46045</v>
      </c>
      <c r="E364" s="24" t="s">
        <v>588</v>
      </c>
      <c r="F364" s="136" t="str">
        <f>PROPER(TRIM(Sales_data!F364))</f>
        <v>Mohit Verma</v>
      </c>
      <c r="G364" s="30" t="s">
        <v>76</v>
      </c>
      <c r="H364" s="24" t="s">
        <v>77</v>
      </c>
      <c r="I364" s="24" t="s">
        <v>44</v>
      </c>
      <c r="J364" s="24" t="s">
        <v>45</v>
      </c>
      <c r="K364" s="24" t="s">
        <v>2114</v>
      </c>
      <c r="L364" s="24" t="s">
        <v>46</v>
      </c>
      <c r="M364" s="34" t="s">
        <v>78</v>
      </c>
      <c r="N364" s="37">
        <v>7</v>
      </c>
      <c r="O364" s="44">
        <v>900</v>
      </c>
      <c r="P364" s="35">
        <v>0.2</v>
      </c>
      <c r="Q364" s="34">
        <v>5040</v>
      </c>
      <c r="R364" s="24">
        <v>3</v>
      </c>
      <c r="S364" s="24" t="s">
        <v>79</v>
      </c>
      <c r="T364" s="24" t="s">
        <v>115</v>
      </c>
      <c r="U364" s="34" t="str">
        <f>Sales_data!T364</f>
        <v>mohit.verma@company.com</v>
      </c>
      <c r="V364" s="24">
        <v>9362319457</v>
      </c>
      <c r="W364" s="34" t="s">
        <v>2100</v>
      </c>
      <c r="X364" s="24">
        <v>6</v>
      </c>
      <c r="Y364" s="30" t="s">
        <v>2110</v>
      </c>
      <c r="Z364" s="29">
        <v>46230</v>
      </c>
      <c r="AA364" s="24" t="s">
        <v>2173</v>
      </c>
      <c r="AB364" s="24" t="s">
        <v>2108</v>
      </c>
      <c r="AC364" s="136" t="str">
        <f t="shared" si="10"/>
        <v>Moh009De</v>
      </c>
      <c r="AD364" s="136" t="str">
        <f t="shared" si="11"/>
        <v>mohit.verma@company.com</v>
      </c>
    </row>
    <row r="365" spans="1:30">
      <c r="A365" s="24" t="s">
        <v>1612</v>
      </c>
      <c r="B365" s="24" t="s">
        <v>53</v>
      </c>
      <c r="C365" s="24" t="s">
        <v>222</v>
      </c>
      <c r="D365" s="30">
        <v>46097</v>
      </c>
      <c r="E365" s="24" t="s">
        <v>65</v>
      </c>
      <c r="F365" s="136" t="str">
        <f>PROPER(TRIM(Sales_data!F365))</f>
        <v>Pooja Shah</v>
      </c>
      <c r="G365" s="30" t="s">
        <v>28</v>
      </c>
      <c r="H365" s="24" t="s">
        <v>58</v>
      </c>
      <c r="I365" s="24" t="s">
        <v>59</v>
      </c>
      <c r="J365" s="24" t="s">
        <v>31</v>
      </c>
      <c r="K365" s="24" t="s">
        <v>2111</v>
      </c>
      <c r="L365" s="24" t="s">
        <v>122</v>
      </c>
      <c r="M365" s="34" t="s">
        <v>227</v>
      </c>
      <c r="N365" s="37">
        <v>20</v>
      </c>
      <c r="O365" s="44">
        <v>15</v>
      </c>
      <c r="P365" s="35">
        <v>0.2</v>
      </c>
      <c r="Q365" s="34">
        <v>240</v>
      </c>
      <c r="R365" s="24">
        <v>5</v>
      </c>
      <c r="S365" s="24" t="s">
        <v>79</v>
      </c>
      <c r="T365" s="24" t="s">
        <v>115</v>
      </c>
      <c r="U365" s="34" t="str">
        <f>Sales_data!T365</f>
        <v>pooja.shah@company.com</v>
      </c>
      <c r="V365" s="24">
        <v>9223945130</v>
      </c>
      <c r="W365" s="34" t="s">
        <v>2103</v>
      </c>
      <c r="X365" s="24">
        <v>12</v>
      </c>
      <c r="Y365" s="30" t="s">
        <v>2108</v>
      </c>
      <c r="Z365" s="29">
        <v>46467</v>
      </c>
      <c r="AA365" s="24" t="s">
        <v>2172</v>
      </c>
      <c r="AB365" s="24" t="s">
        <v>2108</v>
      </c>
      <c r="AC365" s="136" t="str">
        <f t="shared" si="10"/>
        <v>Poo010Be</v>
      </c>
      <c r="AD365" s="136" t="str">
        <f t="shared" si="11"/>
        <v>pooja.shah@company.com</v>
      </c>
    </row>
    <row r="366" spans="1:30">
      <c r="A366" s="24" t="s">
        <v>1615</v>
      </c>
      <c r="B366" s="24" t="s">
        <v>100</v>
      </c>
      <c r="C366" s="24" t="s">
        <v>72</v>
      </c>
      <c r="D366" s="30">
        <v>45777</v>
      </c>
      <c r="E366" s="24" t="s">
        <v>1616</v>
      </c>
      <c r="F366" s="136" t="str">
        <f>PROPER(TRIM(Sales_data!F366))</f>
        <v>Priya Patel</v>
      </c>
      <c r="G366" s="30" t="s">
        <v>28</v>
      </c>
      <c r="H366" s="24" t="s">
        <v>104</v>
      </c>
      <c r="I366" s="24" t="s">
        <v>105</v>
      </c>
      <c r="J366" s="24" t="s">
        <v>106</v>
      </c>
      <c r="K366" s="24" t="s">
        <v>2111</v>
      </c>
      <c r="L366" s="24" t="s">
        <v>46</v>
      </c>
      <c r="M366" s="34" t="s">
        <v>78</v>
      </c>
      <c r="N366" s="37">
        <v>19</v>
      </c>
      <c r="O366" s="44">
        <v>900</v>
      </c>
      <c r="P366" s="35">
        <v>0.05</v>
      </c>
      <c r="Q366" s="34">
        <v>16245</v>
      </c>
      <c r="R366" s="24">
        <v>3</v>
      </c>
      <c r="S366" s="24" t="s">
        <v>79</v>
      </c>
      <c r="T366" s="24" t="s">
        <v>35</v>
      </c>
      <c r="U366" s="34" t="str">
        <f>Sales_data!T366</f>
        <v>priya.patel@company.com</v>
      </c>
      <c r="V366" s="24">
        <v>9910804926</v>
      </c>
      <c r="W366" s="34" t="s">
        <v>2100</v>
      </c>
      <c r="X366" s="24">
        <v>6</v>
      </c>
      <c r="Y366" s="30" t="s">
        <v>2110</v>
      </c>
      <c r="Z366" s="29">
        <v>45968</v>
      </c>
      <c r="AA366" s="24" t="s">
        <v>2175</v>
      </c>
      <c r="AB366" s="24" t="s">
        <v>2108</v>
      </c>
      <c r="AC366" s="136" t="str">
        <f t="shared" si="10"/>
        <v>Pri002Mu</v>
      </c>
      <c r="AD366" s="136" t="str">
        <f t="shared" si="11"/>
        <v>priya.patel@company.com</v>
      </c>
    </row>
    <row r="367" spans="1:30">
      <c r="A367" s="24" t="s">
        <v>1619</v>
      </c>
      <c r="B367" s="24" t="s">
        <v>53</v>
      </c>
      <c r="C367" s="24" t="s">
        <v>222</v>
      </c>
      <c r="D367" s="30">
        <v>45691</v>
      </c>
      <c r="E367" s="24" t="s">
        <v>302</v>
      </c>
      <c r="F367" s="136" t="str">
        <f>PROPER(TRIM(Sales_data!F367))</f>
        <v>Pooja Shah</v>
      </c>
      <c r="G367" s="30" t="s">
        <v>28</v>
      </c>
      <c r="H367" s="24" t="s">
        <v>58</v>
      </c>
      <c r="I367" s="24" t="s">
        <v>59</v>
      </c>
      <c r="J367" s="24" t="s">
        <v>31</v>
      </c>
      <c r="K367" s="24" t="s">
        <v>2111</v>
      </c>
      <c r="L367" s="24" t="s">
        <v>122</v>
      </c>
      <c r="M367" s="34" t="s">
        <v>227</v>
      </c>
      <c r="N367" s="37">
        <v>5</v>
      </c>
      <c r="O367" s="44">
        <v>15</v>
      </c>
      <c r="P367" s="35">
        <v>0</v>
      </c>
      <c r="Q367" s="34">
        <v>75</v>
      </c>
      <c r="R367" s="24">
        <v>2</v>
      </c>
      <c r="S367" s="24" t="s">
        <v>2149</v>
      </c>
      <c r="T367" s="24" t="s">
        <v>49</v>
      </c>
      <c r="U367" s="34" t="str">
        <f>Sales_data!T367</f>
        <v>pooja.shah@company.com</v>
      </c>
      <c r="V367" s="24">
        <v>9274269744</v>
      </c>
      <c r="W367" s="34" t="s">
        <v>2103</v>
      </c>
      <c r="X367" s="24">
        <v>12</v>
      </c>
      <c r="Y367" s="30" t="s">
        <v>2108</v>
      </c>
      <c r="Z367" s="29">
        <v>46066</v>
      </c>
      <c r="AA367" s="24" t="s">
        <v>2172</v>
      </c>
      <c r="AB367" s="24" t="s">
        <v>2160</v>
      </c>
      <c r="AC367" s="136" t="str">
        <f t="shared" si="10"/>
        <v>Poo010Be</v>
      </c>
      <c r="AD367" s="136" t="str">
        <f t="shared" si="11"/>
        <v>pooja.shah@company.com</v>
      </c>
    </row>
    <row r="368" spans="1:30">
      <c r="A368" s="24" t="s">
        <v>1623</v>
      </c>
      <c r="B368" s="24" t="s">
        <v>100</v>
      </c>
      <c r="C368" s="24" t="s">
        <v>259</v>
      </c>
      <c r="D368" s="30">
        <v>46088</v>
      </c>
      <c r="E368" s="24" t="s">
        <v>543</v>
      </c>
      <c r="F368" s="136" t="str">
        <f>PROPER(TRIM(Sales_data!F368))</f>
        <v>Priya Patel</v>
      </c>
      <c r="G368" s="30" t="s">
        <v>28</v>
      </c>
      <c r="H368" s="24" t="s">
        <v>104</v>
      </c>
      <c r="I368" s="24" t="s">
        <v>105</v>
      </c>
      <c r="J368" s="24" t="s">
        <v>106</v>
      </c>
      <c r="K368" s="24" t="s">
        <v>2111</v>
      </c>
      <c r="L368" s="24" t="s">
        <v>122</v>
      </c>
      <c r="M368" s="34" t="s">
        <v>263</v>
      </c>
      <c r="N368" s="37">
        <v>16</v>
      </c>
      <c r="O368" s="44">
        <v>33.75</v>
      </c>
      <c r="P368" s="35">
        <v>0.15</v>
      </c>
      <c r="Q368" s="34">
        <v>459</v>
      </c>
      <c r="R368" s="24">
        <v>5</v>
      </c>
      <c r="S368" s="24" t="s">
        <v>34</v>
      </c>
      <c r="T368" s="24" t="s">
        <v>61</v>
      </c>
      <c r="U368" s="34" t="str">
        <f>Sales_data!T368</f>
        <v>priya.patel@company.com</v>
      </c>
      <c r="V368" s="24">
        <v>9223196101</v>
      </c>
      <c r="W368" s="34" t="s">
        <v>2100</v>
      </c>
      <c r="X368" s="24">
        <v>12</v>
      </c>
      <c r="Y368" s="30" t="s">
        <v>2110</v>
      </c>
      <c r="Z368" s="29">
        <v>46462</v>
      </c>
      <c r="AA368" s="24" t="s">
        <v>2175</v>
      </c>
      <c r="AB368" s="24" t="s">
        <v>2108</v>
      </c>
      <c r="AC368" s="136" t="str">
        <f t="shared" si="10"/>
        <v>Pri002Mu</v>
      </c>
      <c r="AD368" s="136" t="str">
        <f t="shared" si="11"/>
        <v>priya.patel@company.com</v>
      </c>
    </row>
    <row r="369" spans="1:30">
      <c r="A369" s="24" t="s">
        <v>1626</v>
      </c>
      <c r="B369" s="24" t="s">
        <v>23</v>
      </c>
      <c r="C369" s="24" t="s">
        <v>24</v>
      </c>
      <c r="D369" s="30">
        <v>45780</v>
      </c>
      <c r="E369" s="24" t="s">
        <v>944</v>
      </c>
      <c r="F369" s="136" t="str">
        <f>PROPER(TRIM(Sales_data!F369))</f>
        <v>Kavya Nair</v>
      </c>
      <c r="G369" s="30" t="s">
        <v>28</v>
      </c>
      <c r="H369" s="24" t="s">
        <v>29</v>
      </c>
      <c r="I369" s="24" t="s">
        <v>30</v>
      </c>
      <c r="J369" s="24" t="s">
        <v>31</v>
      </c>
      <c r="K369" s="24" t="s">
        <v>2111</v>
      </c>
      <c r="L369" s="24" t="s">
        <v>32</v>
      </c>
      <c r="M369" s="34" t="s">
        <v>33</v>
      </c>
      <c r="N369" s="37">
        <v>1</v>
      </c>
      <c r="O369" s="44">
        <v>1650</v>
      </c>
      <c r="P369" s="35">
        <v>0.1</v>
      </c>
      <c r="Q369" s="34">
        <v>1485</v>
      </c>
      <c r="R369" s="24">
        <v>5</v>
      </c>
      <c r="S369" s="24" t="s">
        <v>79</v>
      </c>
      <c r="T369" s="24" t="s">
        <v>49</v>
      </c>
      <c r="U369" s="34" t="str">
        <f>Sales_data!T369</f>
        <v>kavya.nair@company.com</v>
      </c>
      <c r="V369" s="24">
        <v>9888477457</v>
      </c>
      <c r="W369" s="34" t="s">
        <v>2101</v>
      </c>
      <c r="X369" s="24">
        <v>24</v>
      </c>
      <c r="Y369" s="30" t="s">
        <v>2108</v>
      </c>
      <c r="Z369" s="29">
        <v>46522</v>
      </c>
      <c r="AA369" s="24" t="s">
        <v>2171</v>
      </c>
      <c r="AB369" s="24" t="s">
        <v>2108</v>
      </c>
      <c r="AC369" s="136" t="str">
        <f t="shared" si="10"/>
        <v>Kav008Hy</v>
      </c>
      <c r="AD369" s="136" t="str">
        <f t="shared" si="11"/>
        <v>kavya.nair@company.com</v>
      </c>
    </row>
    <row r="370" spans="1:30">
      <c r="A370" s="24" t="s">
        <v>1629</v>
      </c>
      <c r="B370" s="24" t="s">
        <v>53</v>
      </c>
      <c r="C370" s="24" t="s">
        <v>118</v>
      </c>
      <c r="D370" s="30">
        <v>46113</v>
      </c>
      <c r="E370" s="24" t="s">
        <v>1630</v>
      </c>
      <c r="F370" s="136" t="str">
        <f>PROPER(TRIM(Sales_data!F370))</f>
        <v>Pooja Shah</v>
      </c>
      <c r="G370" s="30" t="s">
        <v>28</v>
      </c>
      <c r="H370" s="24" t="s">
        <v>58</v>
      </c>
      <c r="I370" s="24" t="s">
        <v>59</v>
      </c>
      <c r="J370" s="24" t="s">
        <v>31</v>
      </c>
      <c r="K370" s="24" t="s">
        <v>2111</v>
      </c>
      <c r="L370" s="24" t="s">
        <v>122</v>
      </c>
      <c r="M370" s="34" t="s">
        <v>123</v>
      </c>
      <c r="N370" s="37">
        <v>19</v>
      </c>
      <c r="O370" s="44">
        <v>45</v>
      </c>
      <c r="P370" s="35">
        <v>0.15</v>
      </c>
      <c r="Q370" s="34">
        <v>726.75</v>
      </c>
      <c r="R370" s="24">
        <v>4</v>
      </c>
      <c r="S370" s="24" t="s">
        <v>2148</v>
      </c>
      <c r="T370" s="24" t="s">
        <v>115</v>
      </c>
      <c r="U370" s="34" t="str">
        <f>Sales_data!T370</f>
        <v>pooja.shah@company.com</v>
      </c>
      <c r="V370" s="24">
        <v>9435947486</v>
      </c>
      <c r="W370" s="34" t="s">
        <v>2102</v>
      </c>
      <c r="X370" s="24">
        <v>12</v>
      </c>
      <c r="Y370" s="30" t="s">
        <v>2108</v>
      </c>
      <c r="Z370" s="29">
        <v>46482</v>
      </c>
      <c r="AA370" s="24" t="s">
        <v>2172</v>
      </c>
      <c r="AB370" s="24" t="s">
        <v>2108</v>
      </c>
      <c r="AC370" s="136" t="str">
        <f t="shared" si="10"/>
        <v>Poo010Be</v>
      </c>
      <c r="AD370" s="136" t="str">
        <f t="shared" si="11"/>
        <v>pooja.shah@company.com</v>
      </c>
    </row>
    <row r="371" spans="1:30">
      <c r="A371" s="24" t="s">
        <v>1633</v>
      </c>
      <c r="B371" s="24" t="s">
        <v>327</v>
      </c>
      <c r="C371" s="24" t="s">
        <v>54</v>
      </c>
      <c r="D371" s="30"/>
      <c r="E371" s="24" t="s">
        <v>1634</v>
      </c>
      <c r="F371" s="136" t="str">
        <f>PROPER(TRIM(Sales_data!F371))</f>
        <v>Amit Sharma</v>
      </c>
      <c r="G371" s="30" t="s">
        <v>76</v>
      </c>
      <c r="H371" s="24" t="s">
        <v>331</v>
      </c>
      <c r="I371" s="24" t="s">
        <v>114</v>
      </c>
      <c r="J371" s="24" t="s">
        <v>106</v>
      </c>
      <c r="K371" s="24" t="s">
        <v>2109</v>
      </c>
      <c r="L371" s="24" t="s">
        <v>46</v>
      </c>
      <c r="M371" s="34" t="s">
        <v>60</v>
      </c>
      <c r="N371" s="37">
        <v>15</v>
      </c>
      <c r="O371" s="44">
        <v>41250</v>
      </c>
      <c r="P371" s="35">
        <v>0</v>
      </c>
      <c r="Q371" s="34">
        <v>618750</v>
      </c>
      <c r="R371" s="24">
        <v>5</v>
      </c>
      <c r="S371" s="24" t="s">
        <v>79</v>
      </c>
      <c r="T371" s="24" t="s">
        <v>115</v>
      </c>
      <c r="U371" s="34" t="str">
        <f>Sales_data!T371</f>
        <v>amit.sharma@company.com</v>
      </c>
      <c r="V371" s="24">
        <v>9411668831</v>
      </c>
      <c r="W371" s="34" t="s">
        <v>2100</v>
      </c>
      <c r="X371" s="24">
        <v>12</v>
      </c>
      <c r="Y371" s="30" t="s">
        <v>2108</v>
      </c>
      <c r="Z371" s="29">
        <v>46055</v>
      </c>
      <c r="AA371" s="24" t="s">
        <v>2171</v>
      </c>
      <c r="AB371" s="24" t="s">
        <v>2110</v>
      </c>
      <c r="AC371" s="136" t="str">
        <f t="shared" si="10"/>
        <v>Ami001Pu</v>
      </c>
      <c r="AD371" s="136" t="str">
        <f t="shared" si="11"/>
        <v>amit.sharma@company.com</v>
      </c>
    </row>
    <row r="372" spans="1:30">
      <c r="A372" s="24" t="s">
        <v>1637</v>
      </c>
      <c r="B372" s="24" t="s">
        <v>71</v>
      </c>
      <c r="C372" s="24" t="s">
        <v>259</v>
      </c>
      <c r="D372" s="30">
        <v>45936</v>
      </c>
      <c r="E372" s="24" t="s">
        <v>1638</v>
      </c>
      <c r="F372" s="136" t="str">
        <f>PROPER(TRIM(Sales_data!F372))</f>
        <v>Mohit Verma</v>
      </c>
      <c r="G372" s="30" t="s">
        <v>76</v>
      </c>
      <c r="H372" s="24" t="s">
        <v>77</v>
      </c>
      <c r="I372" s="24" t="s">
        <v>44</v>
      </c>
      <c r="J372" s="24" t="s">
        <v>45</v>
      </c>
      <c r="K372" s="24" t="s">
        <v>2114</v>
      </c>
      <c r="L372" s="24" t="s">
        <v>122</v>
      </c>
      <c r="M372" s="34" t="s">
        <v>263</v>
      </c>
      <c r="N372" s="37">
        <v>11</v>
      </c>
      <c r="O372" s="44">
        <v>33.75</v>
      </c>
      <c r="P372" s="35">
        <v>0.05</v>
      </c>
      <c r="Q372" s="34">
        <v>352.6875</v>
      </c>
      <c r="R372" s="24">
        <v>5</v>
      </c>
      <c r="S372" s="24" t="s">
        <v>2148</v>
      </c>
      <c r="T372" s="24" t="s">
        <v>151</v>
      </c>
      <c r="U372" s="34" t="str">
        <f>Sales_data!T372</f>
        <v>mohit.verma@company.com</v>
      </c>
      <c r="V372" s="24">
        <v>9523682403</v>
      </c>
      <c r="W372" s="34" t="s">
        <v>2100</v>
      </c>
      <c r="X372" s="24">
        <v>12</v>
      </c>
      <c r="Y372" s="30" t="s">
        <v>2110</v>
      </c>
      <c r="Z372" s="29">
        <v>46303</v>
      </c>
      <c r="AA372" s="24" t="s">
        <v>2173</v>
      </c>
      <c r="AB372" s="24" t="s">
        <v>2108</v>
      </c>
      <c r="AC372" s="136" t="str">
        <f t="shared" si="10"/>
        <v>Moh009De</v>
      </c>
      <c r="AD372" s="136" t="str">
        <f t="shared" si="11"/>
        <v>mohit.verma@company.com</v>
      </c>
    </row>
    <row r="373" spans="1:30">
      <c r="A373" s="24" t="s">
        <v>1641</v>
      </c>
      <c r="B373" s="24" t="s">
        <v>251</v>
      </c>
      <c r="C373" s="24" t="s">
        <v>222</v>
      </c>
      <c r="D373" s="30">
        <v>45820</v>
      </c>
      <c r="E373" s="24" t="s">
        <v>1643</v>
      </c>
      <c r="F373" s="136" t="str">
        <f>PROPER(TRIM(Sales_data!F373))</f>
        <v>Sneha Joshi</v>
      </c>
      <c r="G373" s="30" t="s">
        <v>28</v>
      </c>
      <c r="H373" s="24" t="s">
        <v>255</v>
      </c>
      <c r="I373" s="24" t="s">
        <v>114</v>
      </c>
      <c r="J373" s="24" t="s">
        <v>106</v>
      </c>
      <c r="K373" s="24" t="s">
        <v>2111</v>
      </c>
      <c r="L373" s="24" t="s">
        <v>122</v>
      </c>
      <c r="M373" s="34" t="s">
        <v>227</v>
      </c>
      <c r="N373" s="37">
        <v>9</v>
      </c>
      <c r="O373" s="44">
        <v>15</v>
      </c>
      <c r="P373" s="35">
        <v>0.1</v>
      </c>
      <c r="Q373" s="34">
        <v>121.5</v>
      </c>
      <c r="R373" s="24">
        <v>1</v>
      </c>
      <c r="S373" s="24" t="s">
        <v>79</v>
      </c>
      <c r="T373" s="24" t="s">
        <v>49</v>
      </c>
      <c r="U373" s="34" t="str">
        <f>Sales_data!T373</f>
        <v>sneha.joshi@company.com</v>
      </c>
      <c r="V373" s="24">
        <v>9652936744</v>
      </c>
      <c r="W373" s="34" t="s">
        <v>2103</v>
      </c>
      <c r="X373" s="24">
        <v>12</v>
      </c>
      <c r="Y373" s="30" t="s">
        <v>2112</v>
      </c>
      <c r="Z373" s="29">
        <v>46190</v>
      </c>
      <c r="AA373" s="24" t="s">
        <v>2173</v>
      </c>
      <c r="AB373" s="24" t="s">
        <v>2160</v>
      </c>
      <c r="AC373" s="136" t="str">
        <f t="shared" si="10"/>
        <v>Sne006Pu</v>
      </c>
      <c r="AD373" s="136" t="str">
        <f t="shared" si="11"/>
        <v>sneha.joshi@company.com</v>
      </c>
    </row>
    <row r="374" spans="1:30">
      <c r="A374" s="24" t="s">
        <v>1646</v>
      </c>
      <c r="B374" s="24" t="s">
        <v>168</v>
      </c>
      <c r="C374" s="24" t="s">
        <v>259</v>
      </c>
      <c r="D374" s="30">
        <v>45979</v>
      </c>
      <c r="E374" s="24" t="s">
        <v>980</v>
      </c>
      <c r="F374" s="136" t="str">
        <f>PROPER(TRIM(Sales_data!F374))</f>
        <v>Anita Gupta</v>
      </c>
      <c r="G374" s="30" t="s">
        <v>28</v>
      </c>
      <c r="H374" s="24" t="s">
        <v>173</v>
      </c>
      <c r="I374" s="24" t="s">
        <v>114</v>
      </c>
      <c r="J374" s="24" t="s">
        <v>106</v>
      </c>
      <c r="K374" s="24" t="s">
        <v>2111</v>
      </c>
      <c r="L374" s="24" t="s">
        <v>122</v>
      </c>
      <c r="M374" s="34" t="s">
        <v>263</v>
      </c>
      <c r="N374" s="37">
        <v>5</v>
      </c>
      <c r="O374" s="44">
        <v>33.75</v>
      </c>
      <c r="P374" s="35">
        <v>0.05</v>
      </c>
      <c r="Q374" s="34">
        <v>160.3125</v>
      </c>
      <c r="R374" s="24">
        <v>3</v>
      </c>
      <c r="S374" s="24" t="s">
        <v>79</v>
      </c>
      <c r="T374" s="24" t="s">
        <v>115</v>
      </c>
      <c r="U374" s="34" t="str">
        <f>Sales_data!T374</f>
        <v>anita.gupta@company.com</v>
      </c>
      <c r="V374" s="24">
        <v>9726464733</v>
      </c>
      <c r="W374" s="34" t="s">
        <v>2100</v>
      </c>
      <c r="X374" s="24">
        <v>12</v>
      </c>
      <c r="Y374" s="30" t="s">
        <v>2112</v>
      </c>
      <c r="Z374" s="29">
        <v>46346</v>
      </c>
      <c r="AA374" s="24" t="s">
        <v>2177</v>
      </c>
      <c r="AB374" s="24" t="s">
        <v>2108</v>
      </c>
      <c r="AC374" s="136" t="str">
        <f t="shared" si="10"/>
        <v>Ani004Pu</v>
      </c>
      <c r="AD374" s="136" t="str">
        <f t="shared" si="11"/>
        <v>anita.gupta@company.com</v>
      </c>
    </row>
    <row r="375" spans="1:30">
      <c r="A375" s="24" t="s">
        <v>1649</v>
      </c>
      <c r="B375" s="24" t="s">
        <v>83</v>
      </c>
      <c r="C375" s="24" t="s">
        <v>184</v>
      </c>
      <c r="D375" s="30">
        <v>45962</v>
      </c>
      <c r="E375" s="24" t="s">
        <v>1102</v>
      </c>
      <c r="F375" s="136" t="str">
        <f>PROPER(TRIM(Sales_data!F375))</f>
        <v>Arjun Rao</v>
      </c>
      <c r="G375" s="30" t="s">
        <v>76</v>
      </c>
      <c r="H375" s="24" t="s">
        <v>87</v>
      </c>
      <c r="I375" s="24" t="s">
        <v>30</v>
      </c>
      <c r="J375" s="24" t="s">
        <v>31</v>
      </c>
      <c r="K375" s="24" t="s">
        <v>2109</v>
      </c>
      <c r="L375" s="24" t="s">
        <v>46</v>
      </c>
      <c r="M375" s="34" t="s">
        <v>189</v>
      </c>
      <c r="N375" s="37">
        <v>5</v>
      </c>
      <c r="O375" s="44">
        <v>525</v>
      </c>
      <c r="P375" s="35">
        <v>0.1</v>
      </c>
      <c r="Q375" s="34">
        <v>2362.5</v>
      </c>
      <c r="R375" s="24">
        <v>2</v>
      </c>
      <c r="S375" s="24" t="s">
        <v>2149</v>
      </c>
      <c r="T375" s="24" t="s">
        <v>49</v>
      </c>
      <c r="U375" s="34" t="str">
        <f>Sales_data!T375</f>
        <v>arjun.rao@company.com</v>
      </c>
      <c r="V375" s="24">
        <v>9273520544</v>
      </c>
      <c r="W375" s="34" t="s">
        <v>2100</v>
      </c>
      <c r="X375" s="24">
        <v>24</v>
      </c>
      <c r="Y375" s="30" t="s">
        <v>2108</v>
      </c>
      <c r="Z375" s="29">
        <v>46693</v>
      </c>
      <c r="AA375" s="24" t="s">
        <v>2174</v>
      </c>
      <c r="AB375" s="24" t="s">
        <v>2160</v>
      </c>
      <c r="AC375" s="136" t="str">
        <f t="shared" si="10"/>
        <v>Arj007Hy</v>
      </c>
      <c r="AD375" s="136" t="str">
        <f t="shared" si="11"/>
        <v>arjun.rao@company.com</v>
      </c>
    </row>
    <row r="376" spans="1:30">
      <c r="A376" s="24" t="s">
        <v>1653</v>
      </c>
      <c r="B376" s="24" t="s">
        <v>221</v>
      </c>
      <c r="C376" s="24" t="s">
        <v>184</v>
      </c>
      <c r="D376" s="30">
        <v>45681</v>
      </c>
      <c r="E376" s="24" t="s">
        <v>1654</v>
      </c>
      <c r="F376" s="136" t="str">
        <f>PROPER(TRIM(Sales_data!F376))</f>
        <v>Vikas Mehta</v>
      </c>
      <c r="G376" s="30" t="s">
        <v>76</v>
      </c>
      <c r="H376" s="24" t="s">
        <v>226</v>
      </c>
      <c r="I376" s="24" t="s">
        <v>105</v>
      </c>
      <c r="J376" s="24" t="s">
        <v>106</v>
      </c>
      <c r="K376" s="24" t="s">
        <v>2113</v>
      </c>
      <c r="L376" s="24" t="s">
        <v>46</v>
      </c>
      <c r="M376" s="34" t="s">
        <v>189</v>
      </c>
      <c r="N376" s="37">
        <v>1</v>
      </c>
      <c r="O376" s="44">
        <v>525</v>
      </c>
      <c r="P376" s="35">
        <v>0</v>
      </c>
      <c r="Q376" s="34">
        <v>525</v>
      </c>
      <c r="R376" s="24">
        <v>1</v>
      </c>
      <c r="S376" s="24" t="s">
        <v>2149</v>
      </c>
      <c r="T376" s="24" t="s">
        <v>151</v>
      </c>
      <c r="U376" s="34" t="str">
        <f>Sales_data!T376</f>
        <v>vikas.mehta@company.com</v>
      </c>
      <c r="V376" s="24">
        <v>9374259988</v>
      </c>
      <c r="W376" s="34" t="s">
        <v>2100</v>
      </c>
      <c r="X376" s="24">
        <v>24</v>
      </c>
      <c r="Y376" s="30" t="s">
        <v>2112</v>
      </c>
      <c r="Z376" s="29">
        <v>46418</v>
      </c>
      <c r="AA376" s="24" t="s">
        <v>2171</v>
      </c>
      <c r="AB376" s="24" t="s">
        <v>2160</v>
      </c>
      <c r="AC376" s="136" t="str">
        <f t="shared" si="10"/>
        <v>Vik005Mu</v>
      </c>
      <c r="AD376" s="136" t="str">
        <f t="shared" si="11"/>
        <v>vikas.mehta@company.com</v>
      </c>
    </row>
    <row r="377" spans="1:30">
      <c r="A377" s="24" t="s">
        <v>1657</v>
      </c>
      <c r="B377" s="24" t="s">
        <v>23</v>
      </c>
      <c r="C377" s="24" t="s">
        <v>184</v>
      </c>
      <c r="D377" s="30">
        <v>46066</v>
      </c>
      <c r="E377" s="24" t="s">
        <v>923</v>
      </c>
      <c r="F377" s="136" t="str">
        <f>PROPER(TRIM(Sales_data!F377))</f>
        <v>Kavya Nair</v>
      </c>
      <c r="G377" s="30" t="s">
        <v>28</v>
      </c>
      <c r="H377" s="24" t="s">
        <v>29</v>
      </c>
      <c r="I377" s="24" t="s">
        <v>30</v>
      </c>
      <c r="J377" s="24" t="s">
        <v>31</v>
      </c>
      <c r="K377" s="24" t="s">
        <v>2111</v>
      </c>
      <c r="L377" s="24" t="s">
        <v>46</v>
      </c>
      <c r="M377" s="34" t="s">
        <v>189</v>
      </c>
      <c r="N377" s="37">
        <v>13</v>
      </c>
      <c r="O377" s="44">
        <v>525</v>
      </c>
      <c r="P377" s="35">
        <v>0.2</v>
      </c>
      <c r="Q377" s="34">
        <v>5460</v>
      </c>
      <c r="R377" s="24">
        <v>2</v>
      </c>
      <c r="S377" s="24" t="s">
        <v>79</v>
      </c>
      <c r="T377" s="24" t="s">
        <v>35</v>
      </c>
      <c r="U377" s="34" t="str">
        <f>Sales_data!T377</f>
        <v>kavya.nair@company.com</v>
      </c>
      <c r="V377" s="24">
        <v>9538129419</v>
      </c>
      <c r="W377" s="34" t="s">
        <v>2100</v>
      </c>
      <c r="X377" s="24">
        <v>24</v>
      </c>
      <c r="Y377" s="30" t="s">
        <v>2108</v>
      </c>
      <c r="Z377" s="29">
        <v>46804</v>
      </c>
      <c r="AA377" s="24" t="s">
        <v>2171</v>
      </c>
      <c r="AB377" s="24" t="s">
        <v>2160</v>
      </c>
      <c r="AC377" s="136" t="str">
        <f t="shared" si="10"/>
        <v>Kav008Hy</v>
      </c>
      <c r="AD377" s="136" t="str">
        <f t="shared" si="11"/>
        <v>kavya.nair@company.com</v>
      </c>
    </row>
    <row r="378" spans="1:30">
      <c r="A378" s="24" t="s">
        <v>1660</v>
      </c>
      <c r="B378" s="24" t="s">
        <v>71</v>
      </c>
      <c r="C378" s="24" t="s">
        <v>40</v>
      </c>
      <c r="D378" s="30">
        <v>45696</v>
      </c>
      <c r="E378" s="24" t="s">
        <v>303</v>
      </c>
      <c r="F378" s="136" t="str">
        <f>PROPER(TRIM(Sales_data!F378))</f>
        <v>Mohit Verma</v>
      </c>
      <c r="G378" s="30" t="s">
        <v>76</v>
      </c>
      <c r="H378" s="24" t="s">
        <v>77</v>
      </c>
      <c r="I378" s="24" t="s">
        <v>44</v>
      </c>
      <c r="J378" s="24" t="s">
        <v>45</v>
      </c>
      <c r="K378" s="24" t="s">
        <v>2114</v>
      </c>
      <c r="L378" s="24" t="s">
        <v>46</v>
      </c>
      <c r="M378" s="34" t="s">
        <v>47</v>
      </c>
      <c r="N378" s="37">
        <v>20</v>
      </c>
      <c r="O378" s="44">
        <v>9000</v>
      </c>
      <c r="P378" s="35">
        <v>0</v>
      </c>
      <c r="Q378" s="34">
        <v>180000</v>
      </c>
      <c r="R378" s="24">
        <v>2</v>
      </c>
      <c r="S378" s="24" t="s">
        <v>79</v>
      </c>
      <c r="T378" s="24" t="s">
        <v>115</v>
      </c>
      <c r="U378" s="34" t="str">
        <f>Sales_data!T378</f>
        <v>mohit.verma@company.com</v>
      </c>
      <c r="V378" s="24">
        <v>9382815686</v>
      </c>
      <c r="W378" s="34" t="s">
        <v>2101</v>
      </c>
      <c r="X378" s="24">
        <v>24</v>
      </c>
      <c r="Y378" s="30" t="s">
        <v>2110</v>
      </c>
      <c r="Z378" s="29">
        <v>46437</v>
      </c>
      <c r="AA378" s="24" t="s">
        <v>2173</v>
      </c>
      <c r="AB378" s="24" t="s">
        <v>2160</v>
      </c>
      <c r="AC378" s="136" t="str">
        <f t="shared" si="10"/>
        <v>Moh009De</v>
      </c>
      <c r="AD378" s="136" t="str">
        <f t="shared" si="11"/>
        <v>mohit.verma@company.com</v>
      </c>
    </row>
    <row r="379" spans="1:30">
      <c r="A379" s="24" t="s">
        <v>1663</v>
      </c>
      <c r="B379" s="24" t="s">
        <v>83</v>
      </c>
      <c r="C379" s="24" t="s">
        <v>72</v>
      </c>
      <c r="D379" s="30">
        <v>46019</v>
      </c>
      <c r="E379" s="24" t="s">
        <v>712</v>
      </c>
      <c r="F379" s="136" t="str">
        <f>PROPER(TRIM(Sales_data!F379))</f>
        <v>Arjun Rao</v>
      </c>
      <c r="G379" s="30" t="s">
        <v>76</v>
      </c>
      <c r="H379" s="24" t="s">
        <v>87</v>
      </c>
      <c r="I379" s="24" t="s">
        <v>30</v>
      </c>
      <c r="J379" s="24" t="s">
        <v>31</v>
      </c>
      <c r="K379" s="24" t="s">
        <v>2109</v>
      </c>
      <c r="L379" s="24" t="s">
        <v>46</v>
      </c>
      <c r="M379" s="34" t="s">
        <v>78</v>
      </c>
      <c r="N379" s="37">
        <v>9</v>
      </c>
      <c r="O379" s="44">
        <v>900</v>
      </c>
      <c r="P379" s="35">
        <v>0.15</v>
      </c>
      <c r="Q379" s="34">
        <v>6885</v>
      </c>
      <c r="R379" s="24">
        <v>1</v>
      </c>
      <c r="S379" s="24" t="s">
        <v>2149</v>
      </c>
      <c r="T379" s="24" t="s">
        <v>35</v>
      </c>
      <c r="U379" s="34" t="str">
        <f>Sales_data!T379</f>
        <v>arjun.rao@company.com</v>
      </c>
      <c r="V379" s="24">
        <v>9450746157</v>
      </c>
      <c r="W379" s="34" t="s">
        <v>2100</v>
      </c>
      <c r="X379" s="24">
        <v>6</v>
      </c>
      <c r="Y379" s="30" t="s">
        <v>2108</v>
      </c>
      <c r="Z379" s="29">
        <v>46209</v>
      </c>
      <c r="AA379" s="24" t="s">
        <v>2174</v>
      </c>
      <c r="AB379" s="24" t="s">
        <v>2160</v>
      </c>
      <c r="AC379" s="136" t="str">
        <f t="shared" si="10"/>
        <v>Arj007Hy</v>
      </c>
      <c r="AD379" s="136" t="str">
        <f t="shared" si="11"/>
        <v>arjun.rao@company.com</v>
      </c>
    </row>
    <row r="380" spans="1:30">
      <c r="A380" s="24" t="s">
        <v>1666</v>
      </c>
      <c r="B380" s="24" t="s">
        <v>83</v>
      </c>
      <c r="C380" s="24" t="s">
        <v>222</v>
      </c>
      <c r="D380" s="30">
        <v>45931</v>
      </c>
      <c r="E380" s="24" t="s">
        <v>1667</v>
      </c>
      <c r="F380" s="136" t="str">
        <f>PROPER(TRIM(Sales_data!F380))</f>
        <v>Arjun Rao</v>
      </c>
      <c r="G380" s="30" t="s">
        <v>76</v>
      </c>
      <c r="H380" s="24" t="s">
        <v>87</v>
      </c>
      <c r="I380" s="24" t="s">
        <v>30</v>
      </c>
      <c r="J380" s="24" t="s">
        <v>31</v>
      </c>
      <c r="K380" s="24" t="s">
        <v>2109</v>
      </c>
      <c r="L380" s="24" t="s">
        <v>122</v>
      </c>
      <c r="M380" s="34" t="s">
        <v>227</v>
      </c>
      <c r="N380" s="37">
        <v>3</v>
      </c>
      <c r="O380" s="44">
        <v>15</v>
      </c>
      <c r="P380" s="35">
        <v>0.15</v>
      </c>
      <c r="Q380" s="34">
        <v>38.25</v>
      </c>
      <c r="R380" s="24">
        <v>3</v>
      </c>
      <c r="S380" s="24" t="s">
        <v>34</v>
      </c>
      <c r="T380" s="24" t="s">
        <v>115</v>
      </c>
      <c r="U380" s="34" t="str">
        <f>Sales_data!T380</f>
        <v>arjun.rao@company.com</v>
      </c>
      <c r="V380" s="24">
        <v>9349012570</v>
      </c>
      <c r="W380" s="34" t="s">
        <v>2103</v>
      </c>
      <c r="X380" s="24">
        <v>12</v>
      </c>
      <c r="Y380" s="30" t="s">
        <v>2108</v>
      </c>
      <c r="Z380" s="29">
        <v>46298</v>
      </c>
      <c r="AA380" s="24" t="s">
        <v>2174</v>
      </c>
      <c r="AB380" s="24" t="s">
        <v>2108</v>
      </c>
      <c r="AC380" s="136" t="str">
        <f t="shared" si="10"/>
        <v>Arj007Hy</v>
      </c>
      <c r="AD380" s="136" t="str">
        <f t="shared" si="11"/>
        <v>arjun.rao@company.com</v>
      </c>
    </row>
    <row r="381" spans="1:30">
      <c r="A381" s="24" t="s">
        <v>1670</v>
      </c>
      <c r="B381" s="24" t="s">
        <v>251</v>
      </c>
      <c r="C381" s="24" t="s">
        <v>54</v>
      </c>
      <c r="D381" s="30">
        <v>46009</v>
      </c>
      <c r="E381" s="24" t="s">
        <v>455</v>
      </c>
      <c r="F381" s="136" t="str">
        <f>PROPER(TRIM(Sales_data!F381))</f>
        <v>Sneha Joshi</v>
      </c>
      <c r="G381" s="30" t="s">
        <v>28</v>
      </c>
      <c r="H381" s="24" t="s">
        <v>255</v>
      </c>
      <c r="I381" s="24" t="s">
        <v>114</v>
      </c>
      <c r="J381" s="24" t="s">
        <v>106</v>
      </c>
      <c r="K381" s="24" t="s">
        <v>2111</v>
      </c>
      <c r="L381" s="24" t="s">
        <v>46</v>
      </c>
      <c r="M381" s="34" t="s">
        <v>60</v>
      </c>
      <c r="N381" s="37">
        <v>8</v>
      </c>
      <c r="O381" s="44">
        <v>41250</v>
      </c>
      <c r="P381" s="35">
        <v>0.2</v>
      </c>
      <c r="Q381" s="34">
        <v>264000</v>
      </c>
      <c r="R381" s="24">
        <v>5</v>
      </c>
      <c r="S381" s="24" t="s">
        <v>79</v>
      </c>
      <c r="T381" s="24" t="s">
        <v>151</v>
      </c>
      <c r="U381" s="34" t="str">
        <f>Sales_data!T381</f>
        <v>sneha.joshi@company.com</v>
      </c>
      <c r="V381" s="24">
        <v>9442163790</v>
      </c>
      <c r="W381" s="34" t="s">
        <v>2100</v>
      </c>
      <c r="X381" s="24">
        <v>12</v>
      </c>
      <c r="Y381" s="30" t="s">
        <v>2112</v>
      </c>
      <c r="Z381" s="29">
        <v>46375</v>
      </c>
      <c r="AA381" s="24" t="s">
        <v>2173</v>
      </c>
      <c r="AB381" s="24" t="s">
        <v>2112</v>
      </c>
      <c r="AC381" s="136" t="str">
        <f t="shared" si="10"/>
        <v>Sne006Pu</v>
      </c>
      <c r="AD381" s="136" t="str">
        <f t="shared" si="11"/>
        <v>sneha.joshi@company.com</v>
      </c>
    </row>
    <row r="382" spans="1:30">
      <c r="A382" s="24" t="s">
        <v>1673</v>
      </c>
      <c r="B382" s="24" t="s">
        <v>251</v>
      </c>
      <c r="C382" s="24" t="s">
        <v>118</v>
      </c>
      <c r="D382" s="30">
        <v>45929</v>
      </c>
      <c r="E382" s="24" t="s">
        <v>74</v>
      </c>
      <c r="F382" s="136" t="str">
        <f>PROPER(TRIM(Sales_data!F382))</f>
        <v>Sneha Joshi</v>
      </c>
      <c r="G382" s="30" t="s">
        <v>28</v>
      </c>
      <c r="H382" s="24" t="s">
        <v>255</v>
      </c>
      <c r="I382" s="24" t="s">
        <v>114</v>
      </c>
      <c r="J382" s="24" t="s">
        <v>106</v>
      </c>
      <c r="K382" s="24" t="s">
        <v>2111</v>
      </c>
      <c r="L382" s="24" t="s">
        <v>122</v>
      </c>
      <c r="M382" s="34" t="s">
        <v>123</v>
      </c>
      <c r="N382" s="37">
        <v>17</v>
      </c>
      <c r="O382" s="44">
        <v>45</v>
      </c>
      <c r="P382" s="35">
        <v>0.2</v>
      </c>
      <c r="Q382" s="34">
        <v>612</v>
      </c>
      <c r="R382" s="24">
        <v>1</v>
      </c>
      <c r="S382" s="24" t="s">
        <v>2149</v>
      </c>
      <c r="T382" s="24" t="s">
        <v>35</v>
      </c>
      <c r="U382" s="34" t="str">
        <f>Sales_data!T382</f>
        <v>sneha.joshi@company.com</v>
      </c>
      <c r="V382" s="24">
        <v>9953329223</v>
      </c>
      <c r="W382" s="34" t="s">
        <v>2102</v>
      </c>
      <c r="X382" s="24">
        <v>12</v>
      </c>
      <c r="Y382" s="30" t="s">
        <v>2112</v>
      </c>
      <c r="Z382" s="29">
        <v>46302</v>
      </c>
      <c r="AA382" s="24" t="s">
        <v>2173</v>
      </c>
      <c r="AB382" s="24" t="s">
        <v>2160</v>
      </c>
      <c r="AC382" s="136" t="str">
        <f t="shared" si="10"/>
        <v>Sne006Pu</v>
      </c>
      <c r="AD382" s="136" t="str">
        <f t="shared" si="11"/>
        <v>sneha.joshi@company.com</v>
      </c>
    </row>
    <row r="383" spans="1:30">
      <c r="A383" s="24" t="s">
        <v>1676</v>
      </c>
      <c r="B383" s="24" t="s">
        <v>127</v>
      </c>
      <c r="C383" s="24" t="s">
        <v>222</v>
      </c>
      <c r="D383" s="30">
        <v>45791</v>
      </c>
      <c r="E383" s="24" t="s">
        <v>236</v>
      </c>
      <c r="F383" s="136" t="str">
        <f>PROPER(TRIM(Sales_data!F383))</f>
        <v>Rohit Singh</v>
      </c>
      <c r="G383" s="30" t="s">
        <v>76</v>
      </c>
      <c r="H383" s="24" t="s">
        <v>131</v>
      </c>
      <c r="I383" s="24" t="s">
        <v>44</v>
      </c>
      <c r="J383" s="24" t="s">
        <v>45</v>
      </c>
      <c r="K383" s="24" t="s">
        <v>2113</v>
      </c>
      <c r="L383" s="24" t="s">
        <v>122</v>
      </c>
      <c r="M383" s="34" t="s">
        <v>227</v>
      </c>
      <c r="N383" s="37">
        <v>4</v>
      </c>
      <c r="O383" s="44">
        <v>15</v>
      </c>
      <c r="P383" s="35">
        <v>0.15</v>
      </c>
      <c r="Q383" s="34">
        <v>51</v>
      </c>
      <c r="R383" s="24">
        <v>3</v>
      </c>
      <c r="S383" s="24" t="s">
        <v>2148</v>
      </c>
      <c r="T383" s="24" t="s">
        <v>61</v>
      </c>
      <c r="U383" s="34" t="str">
        <f>Sales_data!T383</f>
        <v>rohit.singh@company.com</v>
      </c>
      <c r="V383" s="24">
        <v>9202321359</v>
      </c>
      <c r="W383" s="34" t="s">
        <v>2103</v>
      </c>
      <c r="X383" s="24">
        <v>12</v>
      </c>
      <c r="Y383" s="30" t="s">
        <v>2112</v>
      </c>
      <c r="Z383" s="29">
        <v>46164</v>
      </c>
      <c r="AA383" s="24" t="s">
        <v>2176</v>
      </c>
      <c r="AB383" s="24" t="s">
        <v>2108</v>
      </c>
      <c r="AC383" s="136" t="str">
        <f t="shared" si="10"/>
        <v>Roh003De</v>
      </c>
      <c r="AD383" s="136" t="str">
        <f t="shared" si="11"/>
        <v>rohit.singh@company.com</v>
      </c>
    </row>
    <row r="384" spans="1:30">
      <c r="A384" s="24" t="s">
        <v>1680</v>
      </c>
      <c r="B384" s="24" t="s">
        <v>127</v>
      </c>
      <c r="C384" s="24" t="s">
        <v>24</v>
      </c>
      <c r="D384" s="30">
        <v>45748</v>
      </c>
      <c r="E384" s="24" t="s">
        <v>775</v>
      </c>
      <c r="F384" s="136" t="str">
        <f>PROPER(TRIM(Sales_data!F384))</f>
        <v>Rohit Singh</v>
      </c>
      <c r="G384" s="30" t="s">
        <v>76</v>
      </c>
      <c r="H384" s="24" t="s">
        <v>131</v>
      </c>
      <c r="I384" s="24" t="s">
        <v>44</v>
      </c>
      <c r="J384" s="24" t="s">
        <v>45</v>
      </c>
      <c r="K384" s="24" t="s">
        <v>2113</v>
      </c>
      <c r="L384" s="24" t="s">
        <v>32</v>
      </c>
      <c r="M384" s="34" t="s">
        <v>33</v>
      </c>
      <c r="N384" s="37">
        <v>2</v>
      </c>
      <c r="O384" s="44">
        <v>1650</v>
      </c>
      <c r="P384" s="35">
        <v>0.1</v>
      </c>
      <c r="Q384" s="34">
        <v>2970</v>
      </c>
      <c r="R384" s="24">
        <v>2</v>
      </c>
      <c r="S384" s="24" t="s">
        <v>2149</v>
      </c>
      <c r="T384" s="24" t="s">
        <v>49</v>
      </c>
      <c r="U384" s="34" t="str">
        <f>Sales_data!T384</f>
        <v>rohit.singh@company.com</v>
      </c>
      <c r="V384" s="24">
        <v>9812564160</v>
      </c>
      <c r="W384" s="34" t="s">
        <v>2101</v>
      </c>
      <c r="X384" s="24">
        <v>24</v>
      </c>
      <c r="Y384" s="30" t="s">
        <v>2112</v>
      </c>
      <c r="Z384" s="29">
        <v>46488</v>
      </c>
      <c r="AA384" s="24" t="s">
        <v>2176</v>
      </c>
      <c r="AB384" s="24" t="s">
        <v>2160</v>
      </c>
      <c r="AC384" s="136" t="str">
        <f t="shared" si="10"/>
        <v>Roh003De</v>
      </c>
      <c r="AD384" s="136" t="str">
        <f t="shared" si="11"/>
        <v>rohit.singh@company.com</v>
      </c>
    </row>
    <row r="385" spans="1:30">
      <c r="A385" s="24" t="s">
        <v>1684</v>
      </c>
      <c r="B385" s="24" t="s">
        <v>221</v>
      </c>
      <c r="C385" s="24" t="s">
        <v>118</v>
      </c>
      <c r="D385" s="30">
        <v>45754</v>
      </c>
      <c r="E385" s="24" t="s">
        <v>539</v>
      </c>
      <c r="F385" s="136" t="str">
        <f>PROPER(TRIM(Sales_data!F385))</f>
        <v>Vikas Mehta</v>
      </c>
      <c r="G385" s="30" t="s">
        <v>76</v>
      </c>
      <c r="H385" s="24" t="s">
        <v>226</v>
      </c>
      <c r="I385" s="24" t="s">
        <v>105</v>
      </c>
      <c r="J385" s="24" t="s">
        <v>106</v>
      </c>
      <c r="K385" s="24" t="s">
        <v>2113</v>
      </c>
      <c r="L385" s="24" t="s">
        <v>122</v>
      </c>
      <c r="M385" s="34" t="s">
        <v>123</v>
      </c>
      <c r="N385" s="37">
        <v>5</v>
      </c>
      <c r="O385" s="44">
        <v>45</v>
      </c>
      <c r="P385" s="35">
        <v>0.05</v>
      </c>
      <c r="Q385" s="34">
        <v>213.75</v>
      </c>
      <c r="R385" s="24">
        <v>1</v>
      </c>
      <c r="S385" s="24" t="s">
        <v>2149</v>
      </c>
      <c r="T385" s="24" t="s">
        <v>35</v>
      </c>
      <c r="U385" s="34" t="str">
        <f>Sales_data!T385</f>
        <v>vikas.mehta@company.com</v>
      </c>
      <c r="V385" s="24">
        <v>9688458222</v>
      </c>
      <c r="W385" s="34" t="s">
        <v>2102</v>
      </c>
      <c r="X385" s="24">
        <v>12</v>
      </c>
      <c r="Y385" s="30" t="s">
        <v>2112</v>
      </c>
      <c r="Z385" s="29">
        <v>46130</v>
      </c>
      <c r="AA385" s="24" t="s">
        <v>2171</v>
      </c>
      <c r="AB385" s="24" t="s">
        <v>2160</v>
      </c>
      <c r="AC385" s="136" t="str">
        <f t="shared" si="10"/>
        <v>Vik005Mu</v>
      </c>
      <c r="AD385" s="136" t="str">
        <f t="shared" si="11"/>
        <v>vikas.mehta@company.com</v>
      </c>
    </row>
    <row r="386" spans="1:30">
      <c r="A386" s="24" t="s">
        <v>1687</v>
      </c>
      <c r="B386" s="24" t="s">
        <v>127</v>
      </c>
      <c r="C386" s="24" t="s">
        <v>24</v>
      </c>
      <c r="D386" s="30">
        <v>46072</v>
      </c>
      <c r="E386" s="24" t="s">
        <v>1689</v>
      </c>
      <c r="F386" s="136" t="str">
        <f>PROPER(TRIM(Sales_data!F386))</f>
        <v>Rohit Singh</v>
      </c>
      <c r="G386" s="30" t="s">
        <v>76</v>
      </c>
      <c r="H386" s="24" t="s">
        <v>131</v>
      </c>
      <c r="I386" s="24" t="s">
        <v>44</v>
      </c>
      <c r="J386" s="24" t="s">
        <v>45</v>
      </c>
      <c r="K386" s="24" t="s">
        <v>2113</v>
      </c>
      <c r="L386" s="24" t="s">
        <v>32</v>
      </c>
      <c r="M386" s="34" t="s">
        <v>33</v>
      </c>
      <c r="N386" s="37">
        <v>17</v>
      </c>
      <c r="O386" s="44">
        <v>1650</v>
      </c>
      <c r="P386" s="35">
        <v>0</v>
      </c>
      <c r="Q386" s="34">
        <v>28050</v>
      </c>
      <c r="R386" s="24">
        <v>2</v>
      </c>
      <c r="S386" s="24" t="s">
        <v>2149</v>
      </c>
      <c r="T386" s="24" t="s">
        <v>151</v>
      </c>
      <c r="U386" s="34" t="str">
        <f>Sales_data!T386</f>
        <v>rohit.singh@company.com</v>
      </c>
      <c r="V386" s="24">
        <v>9634473337</v>
      </c>
      <c r="W386" s="34" t="s">
        <v>2101</v>
      </c>
      <c r="X386" s="24">
        <v>24</v>
      </c>
      <c r="Y386" s="30" t="s">
        <v>2112</v>
      </c>
      <c r="Z386" s="29">
        <v>46806</v>
      </c>
      <c r="AA386" s="24" t="s">
        <v>2176</v>
      </c>
      <c r="AB386" s="24" t="s">
        <v>2160</v>
      </c>
      <c r="AC386" s="136" t="str">
        <f t="shared" si="10"/>
        <v>Roh003De</v>
      </c>
      <c r="AD386" s="136" t="str">
        <f t="shared" si="11"/>
        <v>rohit.singh@company.com</v>
      </c>
    </row>
    <row r="387" spans="1:30">
      <c r="A387" s="24" t="s">
        <v>1692</v>
      </c>
      <c r="B387" s="24" t="s">
        <v>168</v>
      </c>
      <c r="C387" s="24" t="s">
        <v>118</v>
      </c>
      <c r="D387" s="30">
        <v>45995</v>
      </c>
      <c r="E387" s="24" t="s">
        <v>610</v>
      </c>
      <c r="F387" s="136" t="str">
        <f>PROPER(TRIM(Sales_data!F387))</f>
        <v>Anita Gupta</v>
      </c>
      <c r="G387" s="30" t="s">
        <v>28</v>
      </c>
      <c r="H387" s="24" t="s">
        <v>173</v>
      </c>
      <c r="I387" s="24" t="s">
        <v>114</v>
      </c>
      <c r="J387" s="24" t="s">
        <v>106</v>
      </c>
      <c r="K387" s="24" t="s">
        <v>2111</v>
      </c>
      <c r="L387" s="24" t="s">
        <v>122</v>
      </c>
      <c r="M387" s="34" t="s">
        <v>123</v>
      </c>
      <c r="N387" s="37">
        <v>7</v>
      </c>
      <c r="O387" s="44">
        <v>45</v>
      </c>
      <c r="P387" s="35">
        <v>0</v>
      </c>
      <c r="Q387" s="34">
        <v>315</v>
      </c>
      <c r="R387" s="24">
        <v>2</v>
      </c>
      <c r="S387" s="24" t="s">
        <v>2149</v>
      </c>
      <c r="T387" s="24" t="s">
        <v>61</v>
      </c>
      <c r="U387" s="34" t="str">
        <f>Sales_data!T387</f>
        <v>anita.gupta@company.com</v>
      </c>
      <c r="V387" s="24">
        <v>9608737026</v>
      </c>
      <c r="W387" s="34" t="s">
        <v>2102</v>
      </c>
      <c r="X387" s="24">
        <v>12</v>
      </c>
      <c r="Y387" s="30" t="s">
        <v>2112</v>
      </c>
      <c r="Z387" s="29">
        <v>46367</v>
      </c>
      <c r="AA387" s="24" t="s">
        <v>2177</v>
      </c>
      <c r="AB387" s="24" t="s">
        <v>2160</v>
      </c>
      <c r="AC387" s="136" t="str">
        <f t="shared" ref="AC387:AC450" si="12">PROPER(LEFT(TRIM(F387), 3)) &amp; RIGHT(TRIM(B387), 3) &amp; PROPER(LEFT(TRIM(I387), 2))</f>
        <v>Ani004Pu</v>
      </c>
      <c r="AD387" s="136" t="str">
        <f t="shared" ref="AD387:AD450" si="13">IF(ISNUMBER(SEARCH("@", U387)), LOWER(TRIM(U387)), "Invalid Email")</f>
        <v>anita.gupta@company.com</v>
      </c>
    </row>
    <row r="388" spans="1:30">
      <c r="A388" s="24" t="s">
        <v>1695</v>
      </c>
      <c r="B388" s="24" t="s">
        <v>221</v>
      </c>
      <c r="C388" s="24" t="s">
        <v>54</v>
      </c>
      <c r="D388" s="30">
        <v>45950</v>
      </c>
      <c r="E388" s="24" t="s">
        <v>1696</v>
      </c>
      <c r="F388" s="136" t="str">
        <f>PROPER(TRIM(Sales_data!F388))</f>
        <v>Vikas Mehta</v>
      </c>
      <c r="G388" s="30" t="s">
        <v>76</v>
      </c>
      <c r="H388" s="24" t="s">
        <v>226</v>
      </c>
      <c r="I388" s="24" t="s">
        <v>105</v>
      </c>
      <c r="J388" s="24" t="s">
        <v>106</v>
      </c>
      <c r="K388" s="24" t="s">
        <v>2113</v>
      </c>
      <c r="L388" s="24" t="s">
        <v>46</v>
      </c>
      <c r="M388" s="34" t="s">
        <v>60</v>
      </c>
      <c r="N388" s="37">
        <v>6</v>
      </c>
      <c r="O388" s="44">
        <v>41250</v>
      </c>
      <c r="P388" s="35">
        <v>0.05</v>
      </c>
      <c r="Q388" s="34">
        <v>235125</v>
      </c>
      <c r="R388" s="24">
        <v>4</v>
      </c>
      <c r="S388" s="24" t="s">
        <v>79</v>
      </c>
      <c r="T388" s="24" t="s">
        <v>61</v>
      </c>
      <c r="U388" s="34" t="str">
        <f>Sales_data!T388</f>
        <v>vikas.mehta@company.com</v>
      </c>
      <c r="V388" s="24">
        <v>9804498139</v>
      </c>
      <c r="W388" s="34" t="s">
        <v>2100</v>
      </c>
      <c r="X388" s="24">
        <v>12</v>
      </c>
      <c r="Y388" s="30" t="s">
        <v>2112</v>
      </c>
      <c r="Z388" s="29">
        <v>46319</v>
      </c>
      <c r="AA388" s="24" t="s">
        <v>2171</v>
      </c>
      <c r="AB388" s="24" t="s">
        <v>2110</v>
      </c>
      <c r="AC388" s="136" t="str">
        <f t="shared" si="12"/>
        <v>Vik005Mu</v>
      </c>
      <c r="AD388" s="136" t="str">
        <f t="shared" si="13"/>
        <v>vikas.mehta@company.com</v>
      </c>
    </row>
    <row r="389" spans="1:30">
      <c r="A389" s="24" t="s">
        <v>1699</v>
      </c>
      <c r="B389" s="24" t="s">
        <v>71</v>
      </c>
      <c r="C389" s="24" t="s">
        <v>222</v>
      </c>
      <c r="D389" s="30">
        <v>46043</v>
      </c>
      <c r="E389" s="24" t="s">
        <v>1700</v>
      </c>
      <c r="F389" s="136" t="str">
        <f>PROPER(TRIM(Sales_data!F389))</f>
        <v>Mohit Verma</v>
      </c>
      <c r="G389" s="30" t="s">
        <v>76</v>
      </c>
      <c r="H389" s="24" t="s">
        <v>77</v>
      </c>
      <c r="I389" s="24" t="s">
        <v>44</v>
      </c>
      <c r="J389" s="24" t="s">
        <v>45</v>
      </c>
      <c r="K389" s="24" t="s">
        <v>2114</v>
      </c>
      <c r="L389" s="24" t="s">
        <v>122</v>
      </c>
      <c r="M389" s="34" t="s">
        <v>227</v>
      </c>
      <c r="N389" s="37">
        <v>16</v>
      </c>
      <c r="O389" s="44">
        <v>15</v>
      </c>
      <c r="P389" s="35">
        <v>0.05</v>
      </c>
      <c r="Q389" s="34">
        <v>228</v>
      </c>
      <c r="R389" s="24">
        <v>1</v>
      </c>
      <c r="S389" s="24" t="s">
        <v>79</v>
      </c>
      <c r="T389" s="24" t="s">
        <v>49</v>
      </c>
      <c r="U389" s="34" t="str">
        <f>Sales_data!T389</f>
        <v>mohit.verma@company.com</v>
      </c>
      <c r="V389" s="24">
        <v>9798643580</v>
      </c>
      <c r="W389" s="34" t="s">
        <v>2103</v>
      </c>
      <c r="X389" s="24">
        <v>12</v>
      </c>
      <c r="Y389" s="30" t="s">
        <v>2110</v>
      </c>
      <c r="Z389" s="29">
        <v>46412</v>
      </c>
      <c r="AA389" s="24" t="s">
        <v>2173</v>
      </c>
      <c r="AB389" s="24" t="s">
        <v>2160</v>
      </c>
      <c r="AC389" s="136" t="str">
        <f t="shared" si="12"/>
        <v>Moh009De</v>
      </c>
      <c r="AD389" s="136" t="str">
        <f t="shared" si="13"/>
        <v>mohit.verma@company.com</v>
      </c>
    </row>
    <row r="390" spans="1:30">
      <c r="A390" s="24" t="s">
        <v>1703</v>
      </c>
      <c r="B390" s="24" t="s">
        <v>23</v>
      </c>
      <c r="C390" s="24" t="s">
        <v>24</v>
      </c>
      <c r="D390" s="30">
        <v>45682</v>
      </c>
      <c r="E390" s="24" t="s">
        <v>1705</v>
      </c>
      <c r="F390" s="136" t="str">
        <f>PROPER(TRIM(Sales_data!F390))</f>
        <v>Kavya Nair</v>
      </c>
      <c r="G390" s="30" t="s">
        <v>28</v>
      </c>
      <c r="H390" s="24" t="s">
        <v>29</v>
      </c>
      <c r="I390" s="24" t="s">
        <v>30</v>
      </c>
      <c r="J390" s="24" t="s">
        <v>31</v>
      </c>
      <c r="K390" s="24" t="s">
        <v>2111</v>
      </c>
      <c r="L390" s="24" t="s">
        <v>32</v>
      </c>
      <c r="M390" s="34" t="s">
        <v>33</v>
      </c>
      <c r="N390" s="37">
        <v>11</v>
      </c>
      <c r="O390" s="44">
        <v>1650</v>
      </c>
      <c r="P390" s="35">
        <v>0.15</v>
      </c>
      <c r="Q390" s="34">
        <v>15427.5</v>
      </c>
      <c r="R390" s="24">
        <v>1</v>
      </c>
      <c r="S390" s="24" t="s">
        <v>2148</v>
      </c>
      <c r="T390" s="24" t="s">
        <v>115</v>
      </c>
      <c r="U390" s="34" t="str">
        <f>Sales_data!T390</f>
        <v>kavya.nair@company.com</v>
      </c>
      <c r="V390" s="24">
        <v>9809823278</v>
      </c>
      <c r="W390" s="34" t="s">
        <v>2101</v>
      </c>
      <c r="X390" s="24">
        <v>24</v>
      </c>
      <c r="Y390" s="30" t="s">
        <v>2108</v>
      </c>
      <c r="Z390" s="29">
        <v>46415</v>
      </c>
      <c r="AA390" s="24" t="s">
        <v>2171</v>
      </c>
      <c r="AB390" s="24" t="s">
        <v>2160</v>
      </c>
      <c r="AC390" s="136" t="str">
        <f t="shared" si="12"/>
        <v>Kav008Hy</v>
      </c>
      <c r="AD390" s="136" t="str">
        <f t="shared" si="13"/>
        <v>kavya.nair@company.com</v>
      </c>
    </row>
    <row r="391" spans="1:30">
      <c r="A391" s="24" t="s">
        <v>1708</v>
      </c>
      <c r="B391" s="24" t="s">
        <v>100</v>
      </c>
      <c r="C391" s="24" t="s">
        <v>222</v>
      </c>
      <c r="D391" s="30">
        <v>45716</v>
      </c>
      <c r="E391" s="24" t="s">
        <v>1409</v>
      </c>
      <c r="F391" s="136" t="str">
        <f>PROPER(TRIM(Sales_data!F391))</f>
        <v>Priya Patel</v>
      </c>
      <c r="G391" s="30" t="s">
        <v>28</v>
      </c>
      <c r="H391" s="24" t="s">
        <v>104</v>
      </c>
      <c r="I391" s="24" t="s">
        <v>105</v>
      </c>
      <c r="J391" s="24" t="s">
        <v>106</v>
      </c>
      <c r="K391" s="24" t="s">
        <v>2111</v>
      </c>
      <c r="L391" s="24" t="s">
        <v>122</v>
      </c>
      <c r="M391" s="34" t="s">
        <v>227</v>
      </c>
      <c r="N391" s="37">
        <v>19</v>
      </c>
      <c r="O391" s="44">
        <v>15</v>
      </c>
      <c r="P391" s="35">
        <v>0.05</v>
      </c>
      <c r="Q391" s="34">
        <v>270.75</v>
      </c>
      <c r="R391" s="24">
        <v>4</v>
      </c>
      <c r="S391" s="24" t="s">
        <v>2149</v>
      </c>
      <c r="T391" s="24" t="s">
        <v>35</v>
      </c>
      <c r="U391" s="34" t="str">
        <f>Sales_data!T391</f>
        <v>priya.patel@company.com</v>
      </c>
      <c r="V391" s="24">
        <v>9177767854</v>
      </c>
      <c r="W391" s="34" t="s">
        <v>2103</v>
      </c>
      <c r="X391" s="24">
        <v>12</v>
      </c>
      <c r="Y391" s="30" t="s">
        <v>2110</v>
      </c>
      <c r="Z391" s="29">
        <v>46083</v>
      </c>
      <c r="AA391" s="24" t="s">
        <v>2175</v>
      </c>
      <c r="AB391" s="24" t="s">
        <v>2108</v>
      </c>
      <c r="AC391" s="136" t="str">
        <f t="shared" si="12"/>
        <v>Pri002Mu</v>
      </c>
      <c r="AD391" s="136" t="str">
        <f t="shared" si="13"/>
        <v>priya.patel@company.com</v>
      </c>
    </row>
    <row r="392" spans="1:30">
      <c r="A392" s="24" t="s">
        <v>1711</v>
      </c>
      <c r="B392" s="24" t="s">
        <v>100</v>
      </c>
      <c r="C392" s="24" t="s">
        <v>72</v>
      </c>
      <c r="D392" s="30">
        <v>45828</v>
      </c>
      <c r="E392" s="24" t="s">
        <v>1713</v>
      </c>
      <c r="F392" s="136" t="str">
        <f>PROPER(TRIM(Sales_data!F392))</f>
        <v>Priya Patel</v>
      </c>
      <c r="G392" s="30" t="s">
        <v>28</v>
      </c>
      <c r="H392" s="24" t="s">
        <v>104</v>
      </c>
      <c r="I392" s="24" t="s">
        <v>105</v>
      </c>
      <c r="J392" s="24" t="s">
        <v>106</v>
      </c>
      <c r="K392" s="24" t="s">
        <v>2111</v>
      </c>
      <c r="L392" s="24" t="s">
        <v>46</v>
      </c>
      <c r="M392" s="34" t="s">
        <v>78</v>
      </c>
      <c r="N392" s="37">
        <v>20</v>
      </c>
      <c r="O392" s="44">
        <v>900</v>
      </c>
      <c r="P392" s="35">
        <v>0.15</v>
      </c>
      <c r="Q392" s="34">
        <v>15300</v>
      </c>
      <c r="R392" s="24">
        <v>4</v>
      </c>
      <c r="S392" s="24" t="s">
        <v>79</v>
      </c>
      <c r="T392" s="24" t="s">
        <v>35</v>
      </c>
      <c r="U392" s="34" t="str">
        <f>Sales_data!T392</f>
        <v>priya.patel@company.com</v>
      </c>
      <c r="V392" s="24">
        <v>9643440006</v>
      </c>
      <c r="W392" s="34" t="s">
        <v>2100</v>
      </c>
      <c r="X392" s="24">
        <v>6</v>
      </c>
      <c r="Y392" s="30" t="s">
        <v>2110</v>
      </c>
      <c r="Z392" s="29">
        <v>46012</v>
      </c>
      <c r="AA392" s="24" t="s">
        <v>2175</v>
      </c>
      <c r="AB392" s="24" t="s">
        <v>2108</v>
      </c>
      <c r="AC392" s="136" t="str">
        <f t="shared" si="12"/>
        <v>Pri002Mu</v>
      </c>
      <c r="AD392" s="136" t="str">
        <f t="shared" si="13"/>
        <v>priya.patel@company.com</v>
      </c>
    </row>
    <row r="393" spans="1:30">
      <c r="A393" s="24" t="s">
        <v>1716</v>
      </c>
      <c r="B393" s="24" t="s">
        <v>53</v>
      </c>
      <c r="C393" s="24" t="s">
        <v>222</v>
      </c>
      <c r="D393" s="30">
        <v>45805</v>
      </c>
      <c r="E393" s="24" t="s">
        <v>1718</v>
      </c>
      <c r="F393" s="136" t="str">
        <f>PROPER(TRIM(Sales_data!F393))</f>
        <v>Pooja Shah</v>
      </c>
      <c r="G393" s="30" t="s">
        <v>28</v>
      </c>
      <c r="H393" s="24" t="s">
        <v>58</v>
      </c>
      <c r="I393" s="24" t="s">
        <v>59</v>
      </c>
      <c r="J393" s="24" t="s">
        <v>31</v>
      </c>
      <c r="K393" s="24" t="s">
        <v>2111</v>
      </c>
      <c r="L393" s="24" t="s">
        <v>122</v>
      </c>
      <c r="M393" s="34" t="s">
        <v>227</v>
      </c>
      <c r="N393" s="37">
        <v>13</v>
      </c>
      <c r="O393" s="44">
        <v>15</v>
      </c>
      <c r="P393" s="35">
        <v>0.15</v>
      </c>
      <c r="Q393" s="34">
        <v>165.75</v>
      </c>
      <c r="R393" s="24">
        <v>4</v>
      </c>
      <c r="S393" s="24" t="s">
        <v>34</v>
      </c>
      <c r="T393" s="24" t="s">
        <v>35</v>
      </c>
      <c r="U393" s="34" t="str">
        <f>Sales_data!T393</f>
        <v>pooja.shah@company.com</v>
      </c>
      <c r="V393" s="24">
        <v>9673698825</v>
      </c>
      <c r="W393" s="34" t="s">
        <v>2103</v>
      </c>
      <c r="X393" s="24">
        <v>12</v>
      </c>
      <c r="Y393" s="30" t="s">
        <v>2108</v>
      </c>
      <c r="Z393" s="29">
        <v>46179</v>
      </c>
      <c r="AA393" s="24" t="s">
        <v>2172</v>
      </c>
      <c r="AB393" s="24" t="s">
        <v>2108</v>
      </c>
      <c r="AC393" s="136" t="str">
        <f t="shared" si="12"/>
        <v>Poo010Be</v>
      </c>
      <c r="AD393" s="136" t="str">
        <f t="shared" si="13"/>
        <v>pooja.shah@company.com</v>
      </c>
    </row>
    <row r="394" spans="1:30">
      <c r="A394" s="24" t="s">
        <v>1721</v>
      </c>
      <c r="B394" s="24" t="s">
        <v>251</v>
      </c>
      <c r="C394" s="24" t="s">
        <v>72</v>
      </c>
      <c r="D394" s="30">
        <v>45660</v>
      </c>
      <c r="E394" s="24" t="s">
        <v>206</v>
      </c>
      <c r="F394" s="136" t="str">
        <f>PROPER(TRIM(Sales_data!F394))</f>
        <v>Sneha Joshi</v>
      </c>
      <c r="G394" s="30" t="s">
        <v>28</v>
      </c>
      <c r="H394" s="24" t="s">
        <v>255</v>
      </c>
      <c r="I394" s="24" t="s">
        <v>114</v>
      </c>
      <c r="J394" s="24" t="s">
        <v>106</v>
      </c>
      <c r="K394" s="24" t="s">
        <v>2111</v>
      </c>
      <c r="L394" s="24" t="s">
        <v>46</v>
      </c>
      <c r="M394" s="34" t="s">
        <v>78</v>
      </c>
      <c r="N394" s="37">
        <v>12</v>
      </c>
      <c r="O394" s="44">
        <v>900</v>
      </c>
      <c r="P394" s="35">
        <v>0.1</v>
      </c>
      <c r="Q394" s="34">
        <v>9720</v>
      </c>
      <c r="R394" s="24">
        <v>3</v>
      </c>
      <c r="S394" s="24" t="s">
        <v>2148</v>
      </c>
      <c r="T394" s="24" t="s">
        <v>35</v>
      </c>
      <c r="U394" s="34" t="str">
        <f>Sales_data!T394</f>
        <v>sneha.joshi@company.com</v>
      </c>
      <c r="V394" s="24">
        <v>9706238784</v>
      </c>
      <c r="W394" s="34" t="s">
        <v>2100</v>
      </c>
      <c r="X394" s="24">
        <v>6</v>
      </c>
      <c r="Y394" s="30" t="s">
        <v>2112</v>
      </c>
      <c r="Z394" s="29">
        <v>45846</v>
      </c>
      <c r="AA394" s="24" t="s">
        <v>2173</v>
      </c>
      <c r="AB394" s="24" t="s">
        <v>2108</v>
      </c>
      <c r="AC394" s="136" t="str">
        <f t="shared" si="12"/>
        <v>Sne006Pu</v>
      </c>
      <c r="AD394" s="136" t="str">
        <f t="shared" si="13"/>
        <v>sneha.joshi@company.com</v>
      </c>
    </row>
    <row r="395" spans="1:30">
      <c r="A395" s="24" t="s">
        <v>1724</v>
      </c>
      <c r="B395" s="24" t="s">
        <v>100</v>
      </c>
      <c r="C395" s="24" t="s">
        <v>169</v>
      </c>
      <c r="D395" s="30">
        <v>45685</v>
      </c>
      <c r="E395" s="24" t="s">
        <v>783</v>
      </c>
      <c r="F395" s="136" t="str">
        <f>PROPER(TRIM(Sales_data!F395))</f>
        <v>Priya Patel</v>
      </c>
      <c r="G395" s="30" t="s">
        <v>28</v>
      </c>
      <c r="H395" s="24" t="s">
        <v>104</v>
      </c>
      <c r="I395" s="24" t="s">
        <v>105</v>
      </c>
      <c r="J395" s="24" t="s">
        <v>106</v>
      </c>
      <c r="K395" s="24" t="s">
        <v>2111</v>
      </c>
      <c r="L395" s="24" t="s">
        <v>32</v>
      </c>
      <c r="M395" s="34" t="s">
        <v>174</v>
      </c>
      <c r="N395" s="37">
        <v>6</v>
      </c>
      <c r="O395" s="44">
        <v>6375</v>
      </c>
      <c r="P395" s="35">
        <v>0.05</v>
      </c>
      <c r="Q395" s="34">
        <v>36337.5</v>
      </c>
      <c r="R395" s="24">
        <v>5</v>
      </c>
      <c r="S395" s="24" t="s">
        <v>34</v>
      </c>
      <c r="T395" s="24" t="s">
        <v>115</v>
      </c>
      <c r="U395" s="34" t="str">
        <f>Sales_data!T395</f>
        <v>priya.patel@company.com</v>
      </c>
      <c r="V395" s="24">
        <v>9132959877</v>
      </c>
      <c r="W395" s="34" t="s">
        <v>2100</v>
      </c>
      <c r="X395" s="24">
        <v>24</v>
      </c>
      <c r="Y395" s="30" t="s">
        <v>2110</v>
      </c>
      <c r="Z395" s="29">
        <v>46416</v>
      </c>
      <c r="AA395" s="24" t="s">
        <v>2175</v>
      </c>
      <c r="AB395" s="24" t="s">
        <v>2108</v>
      </c>
      <c r="AC395" s="136" t="str">
        <f t="shared" si="12"/>
        <v>Pri002Mu</v>
      </c>
      <c r="AD395" s="136" t="str">
        <f t="shared" si="13"/>
        <v>priya.patel@company.com</v>
      </c>
    </row>
    <row r="396" spans="1:30">
      <c r="A396" s="24" t="s">
        <v>1727</v>
      </c>
      <c r="B396" s="24" t="s">
        <v>23</v>
      </c>
      <c r="C396" s="24" t="s">
        <v>169</v>
      </c>
      <c r="D396" s="30">
        <v>46071</v>
      </c>
      <c r="E396" s="24" t="s">
        <v>1728</v>
      </c>
      <c r="F396" s="136" t="str">
        <f>PROPER(TRIM(Sales_data!F396))</f>
        <v>Kavya Nair</v>
      </c>
      <c r="G396" s="30" t="s">
        <v>28</v>
      </c>
      <c r="H396" s="24" t="s">
        <v>29</v>
      </c>
      <c r="I396" s="24" t="s">
        <v>30</v>
      </c>
      <c r="J396" s="24" t="s">
        <v>31</v>
      </c>
      <c r="K396" s="24" t="s">
        <v>2111</v>
      </c>
      <c r="L396" s="24" t="s">
        <v>32</v>
      </c>
      <c r="M396" s="34" t="s">
        <v>174</v>
      </c>
      <c r="N396" s="37">
        <v>15</v>
      </c>
      <c r="O396" s="44">
        <v>6375</v>
      </c>
      <c r="P396" s="35">
        <v>0.1</v>
      </c>
      <c r="Q396" s="34">
        <v>86062.5</v>
      </c>
      <c r="R396" s="24">
        <v>1</v>
      </c>
      <c r="S396" s="24" t="s">
        <v>34</v>
      </c>
      <c r="T396" s="24" t="s">
        <v>115</v>
      </c>
      <c r="U396" s="34" t="str">
        <f>Sales_data!T396</f>
        <v>kavya.nair@company.com</v>
      </c>
      <c r="V396" s="24">
        <v>9295011645</v>
      </c>
      <c r="W396" s="34" t="s">
        <v>2100</v>
      </c>
      <c r="X396" s="24">
        <v>24</v>
      </c>
      <c r="Y396" s="30" t="s">
        <v>2108</v>
      </c>
      <c r="Z396" s="29">
        <v>46809</v>
      </c>
      <c r="AA396" s="24" t="s">
        <v>2171</v>
      </c>
      <c r="AB396" s="24" t="s">
        <v>2160</v>
      </c>
      <c r="AC396" s="136" t="str">
        <f t="shared" si="12"/>
        <v>Kav008Hy</v>
      </c>
      <c r="AD396" s="136" t="str">
        <f t="shared" si="13"/>
        <v>kavya.nair@company.com</v>
      </c>
    </row>
    <row r="397" spans="1:30">
      <c r="A397" s="24" t="s">
        <v>1731</v>
      </c>
      <c r="B397" s="24" t="s">
        <v>127</v>
      </c>
      <c r="C397" s="24" t="s">
        <v>40</v>
      </c>
      <c r="D397" s="30">
        <v>45872</v>
      </c>
      <c r="E397" s="24" t="s">
        <v>1733</v>
      </c>
      <c r="F397" s="136" t="str">
        <f>PROPER(TRIM(Sales_data!F397))</f>
        <v>Rohit Singh</v>
      </c>
      <c r="G397" s="30" t="s">
        <v>76</v>
      </c>
      <c r="H397" s="24" t="s">
        <v>131</v>
      </c>
      <c r="I397" s="24" t="s">
        <v>44</v>
      </c>
      <c r="J397" s="24" t="s">
        <v>45</v>
      </c>
      <c r="K397" s="24" t="s">
        <v>2113</v>
      </c>
      <c r="L397" s="24" t="s">
        <v>46</v>
      </c>
      <c r="M397" s="34" t="s">
        <v>47</v>
      </c>
      <c r="N397" s="37">
        <v>19</v>
      </c>
      <c r="O397" s="44">
        <v>9000</v>
      </c>
      <c r="P397" s="35">
        <v>0.2</v>
      </c>
      <c r="Q397" s="34">
        <v>136800</v>
      </c>
      <c r="R397" s="24">
        <v>5</v>
      </c>
      <c r="S397" s="24" t="s">
        <v>34</v>
      </c>
      <c r="T397" s="24" t="s">
        <v>115</v>
      </c>
      <c r="U397" s="34" t="str">
        <f>Sales_data!T397</f>
        <v>rohit.singh@company.com</v>
      </c>
      <c r="V397" s="24">
        <v>9677606427</v>
      </c>
      <c r="W397" s="34" t="s">
        <v>2101</v>
      </c>
      <c r="X397" s="24">
        <v>24</v>
      </c>
      <c r="Y397" s="30" t="s">
        <v>2112</v>
      </c>
      <c r="Z397" s="29">
        <v>46614</v>
      </c>
      <c r="AA397" s="24" t="s">
        <v>2176</v>
      </c>
      <c r="AB397" s="24" t="s">
        <v>2112</v>
      </c>
      <c r="AC397" s="136" t="str">
        <f t="shared" si="12"/>
        <v>Roh003De</v>
      </c>
      <c r="AD397" s="136" t="str">
        <f t="shared" si="13"/>
        <v>rohit.singh@company.com</v>
      </c>
    </row>
    <row r="398" spans="1:30">
      <c r="A398" s="24" t="s">
        <v>1736</v>
      </c>
      <c r="B398" s="24" t="s">
        <v>83</v>
      </c>
      <c r="C398" s="24" t="s">
        <v>184</v>
      </c>
      <c r="D398" s="30">
        <v>45672</v>
      </c>
      <c r="E398" s="24" t="s">
        <v>1737</v>
      </c>
      <c r="F398" s="136" t="str">
        <f>PROPER(TRIM(Sales_data!F398))</f>
        <v>Arjun Rao</v>
      </c>
      <c r="G398" s="30" t="s">
        <v>76</v>
      </c>
      <c r="H398" s="24" t="s">
        <v>87</v>
      </c>
      <c r="I398" s="24" t="s">
        <v>30</v>
      </c>
      <c r="J398" s="24" t="s">
        <v>31</v>
      </c>
      <c r="K398" s="24" t="s">
        <v>2109</v>
      </c>
      <c r="L398" s="24" t="s">
        <v>46</v>
      </c>
      <c r="M398" s="34" t="s">
        <v>189</v>
      </c>
      <c r="N398" s="37">
        <v>5</v>
      </c>
      <c r="O398" s="44">
        <v>525</v>
      </c>
      <c r="P398" s="35">
        <v>0</v>
      </c>
      <c r="Q398" s="34">
        <v>2625</v>
      </c>
      <c r="R398" s="24">
        <v>2</v>
      </c>
      <c r="S398" s="24" t="s">
        <v>79</v>
      </c>
      <c r="T398" s="24" t="s">
        <v>61</v>
      </c>
      <c r="U398" s="34" t="str">
        <f>Sales_data!T398</f>
        <v>arjun.rao@company.com</v>
      </c>
      <c r="V398" s="24">
        <v>9161631566</v>
      </c>
      <c r="W398" s="34" t="s">
        <v>2100</v>
      </c>
      <c r="X398" s="24">
        <v>24</v>
      </c>
      <c r="Y398" s="30" t="s">
        <v>2108</v>
      </c>
      <c r="Z398" s="29">
        <v>46405</v>
      </c>
      <c r="AA398" s="24" t="s">
        <v>2174</v>
      </c>
      <c r="AB398" s="24" t="s">
        <v>2160</v>
      </c>
      <c r="AC398" s="136" t="str">
        <f t="shared" si="12"/>
        <v>Arj007Hy</v>
      </c>
      <c r="AD398" s="136" t="str">
        <f t="shared" si="13"/>
        <v>arjun.rao@company.com</v>
      </c>
    </row>
    <row r="399" spans="1:30">
      <c r="A399" s="24" t="s">
        <v>1740</v>
      </c>
      <c r="B399" s="24" t="s">
        <v>83</v>
      </c>
      <c r="C399" s="24" t="s">
        <v>40</v>
      </c>
      <c r="D399" s="30">
        <v>45688</v>
      </c>
      <c r="E399" s="24" t="s">
        <v>765</v>
      </c>
      <c r="F399" s="136" t="str">
        <f>PROPER(TRIM(Sales_data!F399))</f>
        <v>Arjun Rao</v>
      </c>
      <c r="G399" s="30" t="s">
        <v>76</v>
      </c>
      <c r="H399" s="24" t="s">
        <v>87</v>
      </c>
      <c r="I399" s="24" t="s">
        <v>30</v>
      </c>
      <c r="J399" s="24" t="s">
        <v>31</v>
      </c>
      <c r="K399" s="24" t="s">
        <v>2109</v>
      </c>
      <c r="L399" s="24" t="s">
        <v>46</v>
      </c>
      <c r="M399" s="34" t="s">
        <v>47</v>
      </c>
      <c r="N399" s="37">
        <v>19</v>
      </c>
      <c r="O399" s="44">
        <v>9000</v>
      </c>
      <c r="P399" s="35">
        <v>0</v>
      </c>
      <c r="Q399" s="34">
        <v>171000</v>
      </c>
      <c r="R399" s="24">
        <v>4</v>
      </c>
      <c r="S399" s="24" t="s">
        <v>2149</v>
      </c>
      <c r="T399" s="24" t="s">
        <v>61</v>
      </c>
      <c r="U399" s="34" t="str">
        <f>Sales_data!T399</f>
        <v>arjun.rao@company.com</v>
      </c>
      <c r="V399" s="24">
        <v>9136906750</v>
      </c>
      <c r="W399" s="34" t="s">
        <v>2101</v>
      </c>
      <c r="X399" s="24">
        <v>24</v>
      </c>
      <c r="Y399" s="30" t="s">
        <v>2108</v>
      </c>
      <c r="Z399" s="29">
        <v>46422</v>
      </c>
      <c r="AA399" s="24" t="s">
        <v>2174</v>
      </c>
      <c r="AB399" s="24" t="s">
        <v>2110</v>
      </c>
      <c r="AC399" s="136" t="str">
        <f t="shared" si="12"/>
        <v>Arj007Hy</v>
      </c>
      <c r="AD399" s="136" t="str">
        <f t="shared" si="13"/>
        <v>arjun.rao@company.com</v>
      </c>
    </row>
    <row r="400" spans="1:30">
      <c r="A400" s="24" t="s">
        <v>1743</v>
      </c>
      <c r="B400" s="24" t="s">
        <v>327</v>
      </c>
      <c r="C400" s="24" t="s">
        <v>184</v>
      </c>
      <c r="D400" s="30"/>
      <c r="E400" s="24" t="s">
        <v>1225</v>
      </c>
      <c r="F400" s="136" t="str">
        <f>PROPER(TRIM(Sales_data!F400))</f>
        <v>Amit Sharma</v>
      </c>
      <c r="G400" s="30" t="s">
        <v>76</v>
      </c>
      <c r="H400" s="24" t="s">
        <v>331</v>
      </c>
      <c r="I400" s="24" t="s">
        <v>114</v>
      </c>
      <c r="J400" s="24" t="s">
        <v>106</v>
      </c>
      <c r="K400" s="24" t="s">
        <v>2109</v>
      </c>
      <c r="L400" s="24" t="s">
        <v>46</v>
      </c>
      <c r="M400" s="34" t="s">
        <v>189</v>
      </c>
      <c r="N400" s="37">
        <v>12</v>
      </c>
      <c r="O400" s="44">
        <v>525</v>
      </c>
      <c r="P400" s="35">
        <v>0.15</v>
      </c>
      <c r="Q400" s="34">
        <v>5355</v>
      </c>
      <c r="R400" s="24">
        <v>3</v>
      </c>
      <c r="S400" s="24" t="s">
        <v>79</v>
      </c>
      <c r="T400" s="24" t="s">
        <v>35</v>
      </c>
      <c r="U400" s="34" t="str">
        <f>Sales_data!T400</f>
        <v>amit.sharma@company.com</v>
      </c>
      <c r="V400" s="24">
        <v>9485286324</v>
      </c>
      <c r="W400" s="34" t="s">
        <v>2100</v>
      </c>
      <c r="X400" s="24">
        <v>24</v>
      </c>
      <c r="Y400" s="30" t="s">
        <v>2108</v>
      </c>
      <c r="Z400" s="29">
        <v>46694</v>
      </c>
      <c r="AA400" s="24" t="s">
        <v>2171</v>
      </c>
      <c r="AB400" s="24" t="s">
        <v>2108</v>
      </c>
      <c r="AC400" s="136" t="str">
        <f t="shared" si="12"/>
        <v>Ami001Pu</v>
      </c>
      <c r="AD400" s="136" t="str">
        <f t="shared" si="13"/>
        <v>amit.sharma@company.com</v>
      </c>
    </row>
    <row r="401" spans="1:30">
      <c r="A401" s="24" t="s">
        <v>1746</v>
      </c>
      <c r="B401" s="24" t="s">
        <v>23</v>
      </c>
      <c r="C401" s="24" t="s">
        <v>72</v>
      </c>
      <c r="D401" s="30">
        <v>45790</v>
      </c>
      <c r="E401" s="24" t="s">
        <v>707</v>
      </c>
      <c r="F401" s="136" t="str">
        <f>PROPER(TRIM(Sales_data!F401))</f>
        <v>Kavya Nair</v>
      </c>
      <c r="G401" s="30" t="s">
        <v>28</v>
      </c>
      <c r="H401" s="24" t="s">
        <v>29</v>
      </c>
      <c r="I401" s="24" t="s">
        <v>30</v>
      </c>
      <c r="J401" s="24" t="s">
        <v>31</v>
      </c>
      <c r="K401" s="24" t="s">
        <v>2111</v>
      </c>
      <c r="L401" s="24" t="s">
        <v>46</v>
      </c>
      <c r="M401" s="34" t="s">
        <v>78</v>
      </c>
      <c r="N401" s="37">
        <v>16</v>
      </c>
      <c r="O401" s="44">
        <v>900</v>
      </c>
      <c r="P401" s="35">
        <v>0.2</v>
      </c>
      <c r="Q401" s="34">
        <v>11520</v>
      </c>
      <c r="R401" s="24">
        <v>1</v>
      </c>
      <c r="S401" s="24" t="s">
        <v>34</v>
      </c>
      <c r="T401" s="24" t="s">
        <v>49</v>
      </c>
      <c r="U401" s="34" t="str">
        <f>Sales_data!T401</f>
        <v>kavya.nair@company.com</v>
      </c>
      <c r="V401" s="24">
        <v>9414633966</v>
      </c>
      <c r="W401" s="34" t="s">
        <v>2100</v>
      </c>
      <c r="X401" s="24">
        <v>6</v>
      </c>
      <c r="Y401" s="30" t="s">
        <v>2108</v>
      </c>
      <c r="Z401" s="29">
        <v>45982</v>
      </c>
      <c r="AA401" s="24" t="s">
        <v>2171</v>
      </c>
      <c r="AB401" s="24" t="s">
        <v>2160</v>
      </c>
      <c r="AC401" s="136" t="str">
        <f t="shared" si="12"/>
        <v>Kav008Hy</v>
      </c>
      <c r="AD401" s="136" t="str">
        <f t="shared" si="13"/>
        <v>kavya.nair@company.com</v>
      </c>
    </row>
    <row r="402" spans="1:30">
      <c r="A402" s="24" t="s">
        <v>1750</v>
      </c>
      <c r="B402" s="24" t="s">
        <v>71</v>
      </c>
      <c r="C402" s="24" t="s">
        <v>169</v>
      </c>
      <c r="D402" s="30">
        <v>46018</v>
      </c>
      <c r="E402" s="24" t="s">
        <v>84</v>
      </c>
      <c r="F402" s="136" t="str">
        <f>PROPER(TRIM(Sales_data!F402))</f>
        <v>Mohit Verma</v>
      </c>
      <c r="G402" s="30" t="s">
        <v>76</v>
      </c>
      <c r="H402" s="24" t="s">
        <v>77</v>
      </c>
      <c r="I402" s="24" t="s">
        <v>44</v>
      </c>
      <c r="J402" s="24" t="s">
        <v>45</v>
      </c>
      <c r="K402" s="24" t="s">
        <v>2114</v>
      </c>
      <c r="L402" s="24" t="s">
        <v>32</v>
      </c>
      <c r="M402" s="34" t="s">
        <v>174</v>
      </c>
      <c r="N402" s="37">
        <v>10</v>
      </c>
      <c r="O402" s="44">
        <v>6375</v>
      </c>
      <c r="P402" s="35">
        <v>0.05</v>
      </c>
      <c r="Q402" s="34">
        <v>60562.5</v>
      </c>
      <c r="R402" s="24">
        <v>5</v>
      </c>
      <c r="S402" s="24" t="s">
        <v>2148</v>
      </c>
      <c r="T402" s="24" t="s">
        <v>35</v>
      </c>
      <c r="U402" s="34" t="str">
        <f>Sales_data!T402</f>
        <v>mohit.verma@company.com</v>
      </c>
      <c r="V402" s="24">
        <v>9833735234</v>
      </c>
      <c r="W402" s="34" t="s">
        <v>2100</v>
      </c>
      <c r="X402" s="24">
        <v>24</v>
      </c>
      <c r="Y402" s="30" t="s">
        <v>2110</v>
      </c>
      <c r="Z402" s="29">
        <v>46756</v>
      </c>
      <c r="AA402" s="24" t="s">
        <v>2173</v>
      </c>
      <c r="AB402" s="24" t="s">
        <v>2112</v>
      </c>
      <c r="AC402" s="136" t="str">
        <f t="shared" si="12"/>
        <v>Moh009De</v>
      </c>
      <c r="AD402" s="136" t="str">
        <f t="shared" si="13"/>
        <v>mohit.verma@company.com</v>
      </c>
    </row>
    <row r="403" spans="1:30">
      <c r="A403" s="24" t="s">
        <v>1753</v>
      </c>
      <c r="B403" s="24" t="s">
        <v>23</v>
      </c>
      <c r="C403" s="24" t="s">
        <v>222</v>
      </c>
      <c r="D403" s="30">
        <v>45699</v>
      </c>
      <c r="E403" s="24" t="s">
        <v>386</v>
      </c>
      <c r="F403" s="136" t="str">
        <f>PROPER(TRIM(Sales_data!F403))</f>
        <v>Kavya Nair</v>
      </c>
      <c r="G403" s="30" t="s">
        <v>28</v>
      </c>
      <c r="H403" s="24" t="s">
        <v>29</v>
      </c>
      <c r="I403" s="24" t="s">
        <v>30</v>
      </c>
      <c r="J403" s="24" t="s">
        <v>31</v>
      </c>
      <c r="K403" s="24" t="s">
        <v>2111</v>
      </c>
      <c r="L403" s="24" t="s">
        <v>122</v>
      </c>
      <c r="M403" s="34" t="s">
        <v>227</v>
      </c>
      <c r="N403" s="37">
        <v>18</v>
      </c>
      <c r="O403" s="44">
        <v>15</v>
      </c>
      <c r="P403" s="35">
        <v>0.2</v>
      </c>
      <c r="Q403" s="34">
        <v>216</v>
      </c>
      <c r="R403" s="24">
        <v>1</v>
      </c>
      <c r="S403" s="24" t="s">
        <v>2149</v>
      </c>
      <c r="T403" s="24" t="s">
        <v>35</v>
      </c>
      <c r="U403" s="34" t="str">
        <f>Sales_data!T403</f>
        <v>kavya.nair@company.com</v>
      </c>
      <c r="V403" s="24">
        <v>9523689108</v>
      </c>
      <c r="W403" s="34" t="s">
        <v>2103</v>
      </c>
      <c r="X403" s="24">
        <v>12</v>
      </c>
      <c r="Y403" s="30" t="s">
        <v>2108</v>
      </c>
      <c r="Z403" s="29">
        <v>46074</v>
      </c>
      <c r="AA403" s="24" t="s">
        <v>2171</v>
      </c>
      <c r="AB403" s="24" t="s">
        <v>2160</v>
      </c>
      <c r="AC403" s="136" t="str">
        <f t="shared" si="12"/>
        <v>Kav008Hy</v>
      </c>
      <c r="AD403" s="136" t="str">
        <f t="shared" si="13"/>
        <v>kavya.nair@company.com</v>
      </c>
    </row>
    <row r="404" spans="1:30">
      <c r="A404" s="24" t="s">
        <v>1756</v>
      </c>
      <c r="B404" s="24" t="s">
        <v>71</v>
      </c>
      <c r="C404" s="24" t="s">
        <v>169</v>
      </c>
      <c r="D404" s="30">
        <v>46094</v>
      </c>
      <c r="E404" s="24" t="s">
        <v>404</v>
      </c>
      <c r="F404" s="136" t="str">
        <f>PROPER(TRIM(Sales_data!F404))</f>
        <v>Mohit Verma</v>
      </c>
      <c r="G404" s="30" t="s">
        <v>76</v>
      </c>
      <c r="H404" s="24" t="s">
        <v>77</v>
      </c>
      <c r="I404" s="24" t="s">
        <v>44</v>
      </c>
      <c r="J404" s="24" t="s">
        <v>45</v>
      </c>
      <c r="K404" s="24" t="s">
        <v>2114</v>
      </c>
      <c r="L404" s="24" t="s">
        <v>32</v>
      </c>
      <c r="M404" s="34" t="s">
        <v>174</v>
      </c>
      <c r="N404" s="37">
        <v>9</v>
      </c>
      <c r="O404" s="44">
        <v>6375</v>
      </c>
      <c r="P404" s="35">
        <v>0</v>
      </c>
      <c r="Q404" s="34">
        <v>57375</v>
      </c>
      <c r="R404" s="24">
        <v>2</v>
      </c>
      <c r="S404" s="24" t="s">
        <v>79</v>
      </c>
      <c r="T404" s="24" t="s">
        <v>35</v>
      </c>
      <c r="U404" s="34" t="str">
        <f>Sales_data!T404</f>
        <v>mohit.verma@company.com</v>
      </c>
      <c r="V404" s="24">
        <v>9812909831</v>
      </c>
      <c r="W404" s="34" t="s">
        <v>2100</v>
      </c>
      <c r="X404" s="24">
        <v>24</v>
      </c>
      <c r="Y404" s="30" t="s">
        <v>2110</v>
      </c>
      <c r="Z404" s="29">
        <v>46831</v>
      </c>
      <c r="AA404" s="24" t="s">
        <v>2173</v>
      </c>
      <c r="AB404" s="24" t="s">
        <v>2160</v>
      </c>
      <c r="AC404" s="136" t="str">
        <f t="shared" si="12"/>
        <v>Moh009De</v>
      </c>
      <c r="AD404" s="136" t="str">
        <f t="shared" si="13"/>
        <v>mohit.verma@company.com</v>
      </c>
    </row>
    <row r="405" spans="1:30">
      <c r="A405" s="24" t="s">
        <v>1759</v>
      </c>
      <c r="B405" s="24" t="s">
        <v>23</v>
      </c>
      <c r="C405" s="24" t="s">
        <v>169</v>
      </c>
      <c r="D405" s="30">
        <v>45931</v>
      </c>
      <c r="E405" s="24" t="s">
        <v>1760</v>
      </c>
      <c r="F405" s="136" t="str">
        <f>PROPER(TRIM(Sales_data!F405))</f>
        <v>Kavya Nair</v>
      </c>
      <c r="G405" s="30" t="s">
        <v>28</v>
      </c>
      <c r="H405" s="24" t="s">
        <v>29</v>
      </c>
      <c r="I405" s="24" t="s">
        <v>30</v>
      </c>
      <c r="J405" s="24" t="s">
        <v>31</v>
      </c>
      <c r="K405" s="24" t="s">
        <v>2111</v>
      </c>
      <c r="L405" s="24" t="s">
        <v>32</v>
      </c>
      <c r="M405" s="34" t="s">
        <v>174</v>
      </c>
      <c r="N405" s="37">
        <v>8</v>
      </c>
      <c r="O405" s="44">
        <v>6375</v>
      </c>
      <c r="P405" s="35">
        <v>0.1</v>
      </c>
      <c r="Q405" s="34">
        <v>45900</v>
      </c>
      <c r="R405" s="24">
        <v>4</v>
      </c>
      <c r="S405" s="24" t="s">
        <v>34</v>
      </c>
      <c r="T405" s="24" t="s">
        <v>115</v>
      </c>
      <c r="U405" s="34" t="str">
        <f>Sales_data!T405</f>
        <v>kavya.nair@company.com</v>
      </c>
      <c r="V405" s="24">
        <v>9106290987</v>
      </c>
      <c r="W405" s="34" t="s">
        <v>2100</v>
      </c>
      <c r="X405" s="24">
        <v>24</v>
      </c>
      <c r="Y405" s="30" t="s">
        <v>2108</v>
      </c>
      <c r="Z405" s="29">
        <v>46672</v>
      </c>
      <c r="AA405" s="24" t="s">
        <v>2171</v>
      </c>
      <c r="AB405" s="24" t="s">
        <v>2108</v>
      </c>
      <c r="AC405" s="136" t="str">
        <f t="shared" si="12"/>
        <v>Kav008Hy</v>
      </c>
      <c r="AD405" s="136" t="str">
        <f t="shared" si="13"/>
        <v>kavya.nair@company.com</v>
      </c>
    </row>
    <row r="406" spans="1:30">
      <c r="A406" s="24" t="s">
        <v>1763</v>
      </c>
      <c r="B406" s="24" t="s">
        <v>53</v>
      </c>
      <c r="C406" s="24" t="s">
        <v>222</v>
      </c>
      <c r="D406" s="30">
        <v>46048</v>
      </c>
      <c r="E406" s="24" t="s">
        <v>1764</v>
      </c>
      <c r="F406" s="136" t="str">
        <f>PROPER(TRIM(Sales_data!F406))</f>
        <v>Pooja Shah</v>
      </c>
      <c r="G406" s="30" t="s">
        <v>28</v>
      </c>
      <c r="H406" s="24" t="s">
        <v>58</v>
      </c>
      <c r="I406" s="24" t="s">
        <v>59</v>
      </c>
      <c r="J406" s="24" t="s">
        <v>31</v>
      </c>
      <c r="K406" s="24" t="s">
        <v>2111</v>
      </c>
      <c r="L406" s="24" t="s">
        <v>122</v>
      </c>
      <c r="M406" s="34" t="s">
        <v>227</v>
      </c>
      <c r="N406" s="37">
        <v>3</v>
      </c>
      <c r="O406" s="44">
        <v>15</v>
      </c>
      <c r="P406" s="35">
        <v>0.1</v>
      </c>
      <c r="Q406" s="34">
        <v>40.5</v>
      </c>
      <c r="R406" s="24">
        <v>3</v>
      </c>
      <c r="S406" s="24" t="s">
        <v>79</v>
      </c>
      <c r="T406" s="24" t="s">
        <v>151</v>
      </c>
      <c r="U406" s="34" t="str">
        <f>Sales_data!T406</f>
        <v>pooja.shah@company.com</v>
      </c>
      <c r="V406" s="24">
        <v>9767727724</v>
      </c>
      <c r="W406" s="34" t="s">
        <v>2103</v>
      </c>
      <c r="X406" s="24">
        <v>12</v>
      </c>
      <c r="Y406" s="30" t="s">
        <v>2108</v>
      </c>
      <c r="Z406" s="29">
        <v>46419</v>
      </c>
      <c r="AA406" s="24" t="s">
        <v>2172</v>
      </c>
      <c r="AB406" s="24" t="s">
        <v>2108</v>
      </c>
      <c r="AC406" s="136" t="str">
        <f t="shared" si="12"/>
        <v>Poo010Be</v>
      </c>
      <c r="AD406" s="136" t="str">
        <f t="shared" si="13"/>
        <v>pooja.shah@company.com</v>
      </c>
    </row>
    <row r="407" spans="1:30">
      <c r="A407" s="24" t="s">
        <v>1767</v>
      </c>
      <c r="B407" s="24" t="s">
        <v>168</v>
      </c>
      <c r="C407" s="24" t="s">
        <v>169</v>
      </c>
      <c r="D407" s="30">
        <v>45840</v>
      </c>
      <c r="E407" s="24" t="s">
        <v>641</v>
      </c>
      <c r="F407" s="136" t="str">
        <f>PROPER(TRIM(Sales_data!F407))</f>
        <v>Anita Gupta</v>
      </c>
      <c r="G407" s="30" t="s">
        <v>28</v>
      </c>
      <c r="H407" s="24" t="s">
        <v>173</v>
      </c>
      <c r="I407" s="24" t="s">
        <v>114</v>
      </c>
      <c r="J407" s="24" t="s">
        <v>106</v>
      </c>
      <c r="K407" s="24" t="s">
        <v>2111</v>
      </c>
      <c r="L407" s="24" t="s">
        <v>32</v>
      </c>
      <c r="M407" s="34" t="s">
        <v>174</v>
      </c>
      <c r="N407" s="37">
        <v>18</v>
      </c>
      <c r="O407" s="44">
        <v>6375</v>
      </c>
      <c r="P407" s="35">
        <v>0.1</v>
      </c>
      <c r="Q407" s="34">
        <v>103275</v>
      </c>
      <c r="R407" s="24">
        <v>4</v>
      </c>
      <c r="S407" s="24" t="s">
        <v>34</v>
      </c>
      <c r="T407" s="24" t="s">
        <v>49</v>
      </c>
      <c r="U407" s="34" t="str">
        <f>Sales_data!T407</f>
        <v>anita.gupta@company.com</v>
      </c>
      <c r="V407" s="24">
        <v>9865401727</v>
      </c>
      <c r="W407" s="34" t="s">
        <v>2100</v>
      </c>
      <c r="X407" s="24">
        <v>24</v>
      </c>
      <c r="Y407" s="30" t="s">
        <v>2112</v>
      </c>
      <c r="Z407" s="29">
        <v>46580</v>
      </c>
      <c r="AA407" s="24" t="s">
        <v>2177</v>
      </c>
      <c r="AB407" s="24" t="s">
        <v>2110</v>
      </c>
      <c r="AC407" s="136" t="str">
        <f t="shared" si="12"/>
        <v>Ani004Pu</v>
      </c>
      <c r="AD407" s="136" t="str">
        <f t="shared" si="13"/>
        <v>anita.gupta@company.com</v>
      </c>
    </row>
    <row r="408" spans="1:30">
      <c r="A408" s="24" t="s">
        <v>1770</v>
      </c>
      <c r="B408" s="24" t="s">
        <v>53</v>
      </c>
      <c r="C408" s="24" t="s">
        <v>259</v>
      </c>
      <c r="D408" s="30">
        <v>45935</v>
      </c>
      <c r="E408" s="24" t="s">
        <v>281</v>
      </c>
      <c r="F408" s="136" t="str">
        <f>PROPER(TRIM(Sales_data!F408))</f>
        <v>Pooja Shah</v>
      </c>
      <c r="G408" s="30" t="s">
        <v>28</v>
      </c>
      <c r="H408" s="24" t="s">
        <v>58</v>
      </c>
      <c r="I408" s="24" t="s">
        <v>59</v>
      </c>
      <c r="J408" s="24" t="s">
        <v>31</v>
      </c>
      <c r="K408" s="24" t="s">
        <v>2111</v>
      </c>
      <c r="L408" s="24" t="s">
        <v>122</v>
      </c>
      <c r="M408" s="34" t="s">
        <v>263</v>
      </c>
      <c r="N408" s="37">
        <v>5</v>
      </c>
      <c r="O408" s="44">
        <v>33.75</v>
      </c>
      <c r="P408" s="35">
        <v>0.1</v>
      </c>
      <c r="Q408" s="34">
        <v>151.875</v>
      </c>
      <c r="R408" s="24">
        <v>3</v>
      </c>
      <c r="S408" s="24" t="s">
        <v>34</v>
      </c>
      <c r="T408" s="24" t="s">
        <v>115</v>
      </c>
      <c r="U408" s="34" t="str">
        <f>Sales_data!T408</f>
        <v>pooja.shah@company.com</v>
      </c>
      <c r="V408" s="24">
        <v>9603848571</v>
      </c>
      <c r="W408" s="34" t="s">
        <v>2100</v>
      </c>
      <c r="X408" s="24">
        <v>12</v>
      </c>
      <c r="Y408" s="30" t="s">
        <v>2108</v>
      </c>
      <c r="Z408" s="29">
        <v>46304</v>
      </c>
      <c r="AA408" s="24" t="s">
        <v>2172</v>
      </c>
      <c r="AB408" s="24" t="s">
        <v>2108</v>
      </c>
      <c r="AC408" s="136" t="str">
        <f t="shared" si="12"/>
        <v>Poo010Be</v>
      </c>
      <c r="AD408" s="136" t="str">
        <f t="shared" si="13"/>
        <v>pooja.shah@company.com</v>
      </c>
    </row>
    <row r="409" spans="1:30">
      <c r="A409" s="24" t="s">
        <v>1773</v>
      </c>
      <c r="B409" s="24" t="s">
        <v>71</v>
      </c>
      <c r="C409" s="24" t="s">
        <v>259</v>
      </c>
      <c r="D409" s="30">
        <v>45807</v>
      </c>
      <c r="E409" s="24" t="s">
        <v>684</v>
      </c>
      <c r="F409" s="136" t="str">
        <f>PROPER(TRIM(Sales_data!F409))</f>
        <v>Mohit Verma</v>
      </c>
      <c r="G409" s="30" t="s">
        <v>76</v>
      </c>
      <c r="H409" s="24" t="s">
        <v>77</v>
      </c>
      <c r="I409" s="24" t="s">
        <v>44</v>
      </c>
      <c r="J409" s="24" t="s">
        <v>45</v>
      </c>
      <c r="K409" s="24" t="s">
        <v>2114</v>
      </c>
      <c r="L409" s="24" t="s">
        <v>122</v>
      </c>
      <c r="M409" s="34" t="s">
        <v>263</v>
      </c>
      <c r="N409" s="37">
        <v>2</v>
      </c>
      <c r="O409" s="44">
        <v>33.75</v>
      </c>
      <c r="P409" s="35">
        <v>0.2</v>
      </c>
      <c r="Q409" s="34">
        <v>54</v>
      </c>
      <c r="R409" s="24">
        <v>5</v>
      </c>
      <c r="S409" s="24" t="s">
        <v>2149</v>
      </c>
      <c r="T409" s="24" t="s">
        <v>61</v>
      </c>
      <c r="U409" s="34" t="str">
        <f>Sales_data!T409</f>
        <v>mohit.verma@company.com</v>
      </c>
      <c r="V409" s="24">
        <v>9101231789</v>
      </c>
      <c r="W409" s="34" t="s">
        <v>2100</v>
      </c>
      <c r="X409" s="24">
        <v>12</v>
      </c>
      <c r="Y409" s="30" t="s">
        <v>2110</v>
      </c>
      <c r="Z409" s="29">
        <v>46175</v>
      </c>
      <c r="AA409" s="24" t="s">
        <v>2173</v>
      </c>
      <c r="AB409" s="24" t="s">
        <v>2108</v>
      </c>
      <c r="AC409" s="136" t="str">
        <f t="shared" si="12"/>
        <v>Moh009De</v>
      </c>
      <c r="AD409" s="136" t="str">
        <f t="shared" si="13"/>
        <v>mohit.verma@company.com</v>
      </c>
    </row>
    <row r="410" spans="1:30">
      <c r="A410" s="24" t="s">
        <v>1776</v>
      </c>
      <c r="B410" s="24" t="s">
        <v>100</v>
      </c>
      <c r="C410" s="24" t="s">
        <v>259</v>
      </c>
      <c r="D410" s="30">
        <v>45684</v>
      </c>
      <c r="E410" s="24" t="s">
        <v>900</v>
      </c>
      <c r="F410" s="136" t="str">
        <f>PROPER(TRIM(Sales_data!F410))</f>
        <v>Priya Patel</v>
      </c>
      <c r="G410" s="30" t="s">
        <v>28</v>
      </c>
      <c r="H410" s="24" t="s">
        <v>104</v>
      </c>
      <c r="I410" s="24" t="s">
        <v>105</v>
      </c>
      <c r="J410" s="24" t="s">
        <v>106</v>
      </c>
      <c r="K410" s="24" t="s">
        <v>2111</v>
      </c>
      <c r="L410" s="24" t="s">
        <v>122</v>
      </c>
      <c r="M410" s="34" t="s">
        <v>263</v>
      </c>
      <c r="N410" s="37">
        <v>18</v>
      </c>
      <c r="O410" s="44">
        <v>33.75</v>
      </c>
      <c r="P410" s="35">
        <v>0.1</v>
      </c>
      <c r="Q410" s="34">
        <v>546.75</v>
      </c>
      <c r="R410" s="24">
        <v>2</v>
      </c>
      <c r="S410" s="24" t="s">
        <v>2148</v>
      </c>
      <c r="T410" s="24" t="s">
        <v>115</v>
      </c>
      <c r="U410" s="34" t="str">
        <f>Sales_data!T410</f>
        <v>priya.patel@company.com</v>
      </c>
      <c r="V410" s="24">
        <v>9485017802</v>
      </c>
      <c r="W410" s="34" t="s">
        <v>2100</v>
      </c>
      <c r="X410" s="24">
        <v>12</v>
      </c>
      <c r="Y410" s="30" t="s">
        <v>2110</v>
      </c>
      <c r="Z410" s="29">
        <v>46059</v>
      </c>
      <c r="AA410" s="24" t="s">
        <v>2175</v>
      </c>
      <c r="AB410" s="24" t="s">
        <v>2160</v>
      </c>
      <c r="AC410" s="136" t="str">
        <f t="shared" si="12"/>
        <v>Pri002Mu</v>
      </c>
      <c r="AD410" s="136" t="str">
        <f t="shared" si="13"/>
        <v>priya.patel@company.com</v>
      </c>
    </row>
    <row r="411" spans="1:30">
      <c r="A411" s="24" t="s">
        <v>1779</v>
      </c>
      <c r="B411" s="24" t="s">
        <v>127</v>
      </c>
      <c r="C411" s="24" t="s">
        <v>72</v>
      </c>
      <c r="D411" s="30">
        <v>46015</v>
      </c>
      <c r="E411" s="24" t="s">
        <v>216</v>
      </c>
      <c r="F411" s="136" t="str">
        <f>PROPER(TRIM(Sales_data!F411))</f>
        <v>Rohit Singh</v>
      </c>
      <c r="G411" s="30" t="s">
        <v>76</v>
      </c>
      <c r="H411" s="24" t="s">
        <v>131</v>
      </c>
      <c r="I411" s="24" t="s">
        <v>44</v>
      </c>
      <c r="J411" s="24" t="s">
        <v>45</v>
      </c>
      <c r="K411" s="24" t="s">
        <v>2113</v>
      </c>
      <c r="L411" s="24" t="s">
        <v>46</v>
      </c>
      <c r="M411" s="34" t="s">
        <v>78</v>
      </c>
      <c r="N411" s="37">
        <v>13</v>
      </c>
      <c r="O411" s="44">
        <v>900</v>
      </c>
      <c r="P411" s="35">
        <v>0.05</v>
      </c>
      <c r="Q411" s="34">
        <v>11115</v>
      </c>
      <c r="R411" s="24">
        <v>4</v>
      </c>
      <c r="S411" s="24" t="s">
        <v>79</v>
      </c>
      <c r="T411" s="24" t="s">
        <v>115</v>
      </c>
      <c r="U411" s="34" t="str">
        <f>Sales_data!T411</f>
        <v>rohit.singh@company.com</v>
      </c>
      <c r="V411" s="24">
        <v>9815464650</v>
      </c>
      <c r="W411" s="34" t="s">
        <v>2100</v>
      </c>
      <c r="X411" s="24">
        <v>6</v>
      </c>
      <c r="Y411" s="30" t="s">
        <v>2112</v>
      </c>
      <c r="Z411" s="29">
        <v>46204</v>
      </c>
      <c r="AA411" s="24" t="s">
        <v>2176</v>
      </c>
      <c r="AB411" s="24" t="s">
        <v>2108</v>
      </c>
      <c r="AC411" s="136" t="str">
        <f t="shared" si="12"/>
        <v>Roh003De</v>
      </c>
      <c r="AD411" s="136" t="str">
        <f t="shared" si="13"/>
        <v>rohit.singh@company.com</v>
      </c>
    </row>
    <row r="412" spans="1:30">
      <c r="A412" s="24" t="s">
        <v>1782</v>
      </c>
      <c r="B412" s="24" t="s">
        <v>23</v>
      </c>
      <c r="C412" s="24" t="s">
        <v>222</v>
      </c>
      <c r="D412" s="30">
        <v>46153</v>
      </c>
      <c r="E412" s="24" t="s">
        <v>1783</v>
      </c>
      <c r="F412" s="136" t="str">
        <f>PROPER(TRIM(Sales_data!F412))</f>
        <v>Kavya Nair</v>
      </c>
      <c r="G412" s="30" t="s">
        <v>28</v>
      </c>
      <c r="H412" s="24" t="s">
        <v>29</v>
      </c>
      <c r="I412" s="24" t="s">
        <v>30</v>
      </c>
      <c r="J412" s="24" t="s">
        <v>31</v>
      </c>
      <c r="K412" s="24" t="s">
        <v>2111</v>
      </c>
      <c r="L412" s="24" t="s">
        <v>122</v>
      </c>
      <c r="M412" s="34" t="s">
        <v>227</v>
      </c>
      <c r="N412" s="37">
        <v>14</v>
      </c>
      <c r="O412" s="44">
        <v>15</v>
      </c>
      <c r="P412" s="35">
        <v>0.2</v>
      </c>
      <c r="Q412" s="34">
        <v>168</v>
      </c>
      <c r="R412" s="24">
        <v>5</v>
      </c>
      <c r="S412" s="24" t="s">
        <v>2149</v>
      </c>
      <c r="T412" s="24" t="s">
        <v>49</v>
      </c>
      <c r="U412" s="34" t="str">
        <f>Sales_data!T412</f>
        <v>kavya.nair@company.com</v>
      </c>
      <c r="V412" s="24">
        <v>9860715839</v>
      </c>
      <c r="W412" s="34" t="s">
        <v>2103</v>
      </c>
      <c r="X412" s="24">
        <v>12</v>
      </c>
      <c r="Y412" s="30" t="s">
        <v>2108</v>
      </c>
      <c r="Z412" s="29">
        <v>46524</v>
      </c>
      <c r="AA412" s="24" t="s">
        <v>2171</v>
      </c>
      <c r="AB412" s="24" t="s">
        <v>2108</v>
      </c>
      <c r="AC412" s="136" t="str">
        <f t="shared" si="12"/>
        <v>Kav008Hy</v>
      </c>
      <c r="AD412" s="136" t="str">
        <f t="shared" si="13"/>
        <v>kavya.nair@company.com</v>
      </c>
    </row>
    <row r="413" spans="1:30">
      <c r="A413" s="24" t="s">
        <v>1786</v>
      </c>
      <c r="B413" s="24" t="s">
        <v>100</v>
      </c>
      <c r="C413" s="24" t="s">
        <v>92</v>
      </c>
      <c r="D413" s="30">
        <v>46064</v>
      </c>
      <c r="E413" s="24" t="s">
        <v>1689</v>
      </c>
      <c r="F413" s="136" t="str">
        <f>PROPER(TRIM(Sales_data!F413))</f>
        <v>Priya Patel</v>
      </c>
      <c r="G413" s="30" t="s">
        <v>28</v>
      </c>
      <c r="H413" s="24" t="s">
        <v>104</v>
      </c>
      <c r="I413" s="24" t="s">
        <v>105</v>
      </c>
      <c r="J413" s="24" t="s">
        <v>106</v>
      </c>
      <c r="K413" s="24" t="s">
        <v>2111</v>
      </c>
      <c r="L413" s="24" t="s">
        <v>32</v>
      </c>
      <c r="M413" s="34" t="s">
        <v>97</v>
      </c>
      <c r="N413" s="37">
        <v>16</v>
      </c>
      <c r="O413" s="44">
        <v>2625</v>
      </c>
      <c r="P413" s="35">
        <v>0.15</v>
      </c>
      <c r="Q413" s="34">
        <v>35700</v>
      </c>
      <c r="R413" s="24">
        <v>3</v>
      </c>
      <c r="S413" s="24" t="s">
        <v>2149</v>
      </c>
      <c r="T413" s="24" t="s">
        <v>61</v>
      </c>
      <c r="U413" s="34" t="str">
        <f>Sales_data!T413</f>
        <v>priya.patel@company.com</v>
      </c>
      <c r="V413" s="24">
        <v>9207561051</v>
      </c>
      <c r="W413" s="34" t="s">
        <v>2101</v>
      </c>
      <c r="X413" s="24">
        <v>6</v>
      </c>
      <c r="Y413" s="30" t="s">
        <v>2110</v>
      </c>
      <c r="Z413" s="29">
        <v>46257</v>
      </c>
      <c r="AA413" s="24" t="s">
        <v>2175</v>
      </c>
      <c r="AB413" s="24" t="s">
        <v>2108</v>
      </c>
      <c r="AC413" s="136" t="str">
        <f t="shared" si="12"/>
        <v>Pri002Mu</v>
      </c>
      <c r="AD413" s="136" t="str">
        <f t="shared" si="13"/>
        <v>priya.patel@company.com</v>
      </c>
    </row>
    <row r="414" spans="1:30">
      <c r="A414" s="24" t="s">
        <v>1790</v>
      </c>
      <c r="B414" s="24" t="s">
        <v>251</v>
      </c>
      <c r="C414" s="24" t="s">
        <v>222</v>
      </c>
      <c r="D414" s="30">
        <v>45704</v>
      </c>
      <c r="E414" s="24" t="s">
        <v>1110</v>
      </c>
      <c r="F414" s="136" t="str">
        <f>PROPER(TRIM(Sales_data!F414))</f>
        <v>Sneha Joshi</v>
      </c>
      <c r="G414" s="30" t="s">
        <v>28</v>
      </c>
      <c r="H414" s="24" t="s">
        <v>255</v>
      </c>
      <c r="I414" s="24" t="s">
        <v>114</v>
      </c>
      <c r="J414" s="24" t="s">
        <v>106</v>
      </c>
      <c r="K414" s="24" t="s">
        <v>2111</v>
      </c>
      <c r="L414" s="24" t="s">
        <v>122</v>
      </c>
      <c r="M414" s="34" t="s">
        <v>227</v>
      </c>
      <c r="N414" s="37">
        <v>20</v>
      </c>
      <c r="O414" s="44">
        <v>15</v>
      </c>
      <c r="P414" s="35">
        <v>0.15</v>
      </c>
      <c r="Q414" s="34">
        <v>255</v>
      </c>
      <c r="R414" s="24">
        <v>1</v>
      </c>
      <c r="S414" s="24" t="s">
        <v>2148</v>
      </c>
      <c r="T414" s="24" t="s">
        <v>61</v>
      </c>
      <c r="U414" s="34" t="str">
        <f>Sales_data!T414</f>
        <v>sneha.joshi@company.com</v>
      </c>
      <c r="V414" s="24">
        <v>9159894508</v>
      </c>
      <c r="W414" s="34" t="s">
        <v>2103</v>
      </c>
      <c r="X414" s="24">
        <v>12</v>
      </c>
      <c r="Y414" s="30" t="s">
        <v>2112</v>
      </c>
      <c r="Z414" s="29">
        <v>46077</v>
      </c>
      <c r="AA414" s="24" t="s">
        <v>2173</v>
      </c>
      <c r="AB414" s="24" t="s">
        <v>2160</v>
      </c>
      <c r="AC414" s="136" t="str">
        <f t="shared" si="12"/>
        <v>Sne006Pu</v>
      </c>
      <c r="AD414" s="136" t="str">
        <f t="shared" si="13"/>
        <v>sneha.joshi@company.com</v>
      </c>
    </row>
    <row r="415" spans="1:30">
      <c r="A415" s="24" t="s">
        <v>1793</v>
      </c>
      <c r="B415" s="24" t="s">
        <v>168</v>
      </c>
      <c r="C415" s="24" t="s">
        <v>54</v>
      </c>
      <c r="D415" s="30">
        <v>45756</v>
      </c>
      <c r="E415" s="24" t="s">
        <v>666</v>
      </c>
      <c r="F415" s="136" t="str">
        <f>PROPER(TRIM(Sales_data!F415))</f>
        <v>Anita Gupta</v>
      </c>
      <c r="G415" s="30" t="s">
        <v>28</v>
      </c>
      <c r="H415" s="24" t="s">
        <v>173</v>
      </c>
      <c r="I415" s="24" t="s">
        <v>114</v>
      </c>
      <c r="J415" s="24" t="s">
        <v>106</v>
      </c>
      <c r="K415" s="24" t="s">
        <v>2111</v>
      </c>
      <c r="L415" s="24" t="s">
        <v>46</v>
      </c>
      <c r="M415" s="34" t="s">
        <v>60</v>
      </c>
      <c r="N415" s="37">
        <v>1</v>
      </c>
      <c r="O415" s="44">
        <v>41250</v>
      </c>
      <c r="P415" s="35">
        <v>0.15</v>
      </c>
      <c r="Q415" s="34">
        <v>35062.5</v>
      </c>
      <c r="R415" s="24">
        <v>2</v>
      </c>
      <c r="S415" s="24" t="s">
        <v>2149</v>
      </c>
      <c r="T415" s="24" t="s">
        <v>115</v>
      </c>
      <c r="U415" s="34" t="str">
        <f>Sales_data!T415</f>
        <v>anita.gupta@company.com</v>
      </c>
      <c r="V415" s="24">
        <v>9531465024</v>
      </c>
      <c r="W415" s="34" t="s">
        <v>2100</v>
      </c>
      <c r="X415" s="24">
        <v>12</v>
      </c>
      <c r="Y415" s="30" t="s">
        <v>2112</v>
      </c>
      <c r="Z415" s="29">
        <v>46126</v>
      </c>
      <c r="AA415" s="24" t="s">
        <v>2177</v>
      </c>
      <c r="AB415" s="24" t="s">
        <v>2160</v>
      </c>
      <c r="AC415" s="136" t="str">
        <f t="shared" si="12"/>
        <v>Ani004Pu</v>
      </c>
      <c r="AD415" s="136" t="str">
        <f t="shared" si="13"/>
        <v>anita.gupta@company.com</v>
      </c>
    </row>
    <row r="416" spans="1:30">
      <c r="A416" s="24" t="s">
        <v>1796</v>
      </c>
      <c r="B416" s="24" t="s">
        <v>100</v>
      </c>
      <c r="C416" s="24" t="s">
        <v>118</v>
      </c>
      <c r="D416" s="30">
        <v>45672</v>
      </c>
      <c r="E416" s="24" t="s">
        <v>620</v>
      </c>
      <c r="F416" s="136" t="str">
        <f>PROPER(TRIM(Sales_data!F416))</f>
        <v>Priya Patel</v>
      </c>
      <c r="G416" s="30" t="s">
        <v>28</v>
      </c>
      <c r="H416" s="24" t="s">
        <v>104</v>
      </c>
      <c r="I416" s="24" t="s">
        <v>105</v>
      </c>
      <c r="J416" s="24" t="s">
        <v>106</v>
      </c>
      <c r="K416" s="24" t="s">
        <v>2111</v>
      </c>
      <c r="L416" s="24" t="s">
        <v>122</v>
      </c>
      <c r="M416" s="34" t="s">
        <v>123</v>
      </c>
      <c r="N416" s="37">
        <v>15</v>
      </c>
      <c r="O416" s="44">
        <v>45</v>
      </c>
      <c r="P416" s="35">
        <v>0.05</v>
      </c>
      <c r="Q416" s="34">
        <v>641.25</v>
      </c>
      <c r="R416" s="24">
        <v>4</v>
      </c>
      <c r="S416" s="24" t="s">
        <v>2148</v>
      </c>
      <c r="T416" s="24" t="s">
        <v>61</v>
      </c>
      <c r="U416" s="34" t="str">
        <f>Sales_data!T416</f>
        <v>priya.patel@company.com</v>
      </c>
      <c r="V416" s="24">
        <v>9158813608</v>
      </c>
      <c r="W416" s="34" t="s">
        <v>2102</v>
      </c>
      <c r="X416" s="24">
        <v>12</v>
      </c>
      <c r="Y416" s="30" t="s">
        <v>2110</v>
      </c>
      <c r="Z416" s="29">
        <v>46042</v>
      </c>
      <c r="AA416" s="24" t="s">
        <v>2175</v>
      </c>
      <c r="AB416" s="24" t="s">
        <v>2108</v>
      </c>
      <c r="AC416" s="136" t="str">
        <f t="shared" si="12"/>
        <v>Pri002Mu</v>
      </c>
      <c r="AD416" s="136" t="str">
        <f t="shared" si="13"/>
        <v>priya.patel@company.com</v>
      </c>
    </row>
    <row r="417" spans="1:30">
      <c r="A417" s="24" t="s">
        <v>1799</v>
      </c>
      <c r="B417" s="24" t="s">
        <v>83</v>
      </c>
      <c r="C417" s="24" t="s">
        <v>184</v>
      </c>
      <c r="D417" s="30">
        <v>46108</v>
      </c>
      <c r="E417" s="24" t="s">
        <v>66</v>
      </c>
      <c r="F417" s="136" t="str">
        <f>PROPER(TRIM(Sales_data!F417))</f>
        <v>Arjun Rao</v>
      </c>
      <c r="G417" s="30" t="s">
        <v>76</v>
      </c>
      <c r="H417" s="24" t="s">
        <v>87</v>
      </c>
      <c r="I417" s="24" t="s">
        <v>30</v>
      </c>
      <c r="J417" s="24" t="s">
        <v>31</v>
      </c>
      <c r="K417" s="24" t="s">
        <v>2109</v>
      </c>
      <c r="L417" s="24" t="s">
        <v>46</v>
      </c>
      <c r="M417" s="34" t="s">
        <v>189</v>
      </c>
      <c r="N417" s="37">
        <v>15</v>
      </c>
      <c r="O417" s="44">
        <v>525</v>
      </c>
      <c r="P417" s="35">
        <v>0</v>
      </c>
      <c r="Q417" s="34">
        <v>7875</v>
      </c>
      <c r="R417" s="24">
        <v>5</v>
      </c>
      <c r="S417" s="24" t="s">
        <v>2148</v>
      </c>
      <c r="T417" s="24" t="s">
        <v>115</v>
      </c>
      <c r="U417" s="34" t="str">
        <f>Sales_data!T417</f>
        <v>arjun.rao@company.com</v>
      </c>
      <c r="V417" s="24">
        <v>9308461700</v>
      </c>
      <c r="W417" s="34" t="s">
        <v>2100</v>
      </c>
      <c r="X417" s="24">
        <v>24</v>
      </c>
      <c r="Y417" s="30" t="s">
        <v>2108</v>
      </c>
      <c r="Z417" s="29">
        <v>46845</v>
      </c>
      <c r="AA417" s="24" t="s">
        <v>2174</v>
      </c>
      <c r="AB417" s="24" t="s">
        <v>2108</v>
      </c>
      <c r="AC417" s="136" t="str">
        <f t="shared" si="12"/>
        <v>Arj007Hy</v>
      </c>
      <c r="AD417" s="136" t="str">
        <f t="shared" si="13"/>
        <v>arjun.rao@company.com</v>
      </c>
    </row>
    <row r="418" spans="1:30">
      <c r="A418" s="24" t="s">
        <v>1803</v>
      </c>
      <c r="B418" s="24" t="s">
        <v>221</v>
      </c>
      <c r="C418" s="24" t="s">
        <v>40</v>
      </c>
      <c r="D418" s="30">
        <v>46027</v>
      </c>
      <c r="E418" s="24" t="s">
        <v>440</v>
      </c>
      <c r="F418" s="136" t="str">
        <f>PROPER(TRIM(Sales_data!F418))</f>
        <v>Vikas Mehta</v>
      </c>
      <c r="G418" s="30" t="s">
        <v>76</v>
      </c>
      <c r="H418" s="24" t="s">
        <v>226</v>
      </c>
      <c r="I418" s="24" t="s">
        <v>105</v>
      </c>
      <c r="J418" s="24" t="s">
        <v>106</v>
      </c>
      <c r="K418" s="24" t="s">
        <v>2113</v>
      </c>
      <c r="L418" s="24" t="s">
        <v>46</v>
      </c>
      <c r="M418" s="34" t="s">
        <v>47</v>
      </c>
      <c r="N418" s="37">
        <v>13</v>
      </c>
      <c r="O418" s="44">
        <v>9000</v>
      </c>
      <c r="P418" s="35">
        <v>0.1</v>
      </c>
      <c r="Q418" s="34">
        <v>105300</v>
      </c>
      <c r="R418" s="24">
        <v>1</v>
      </c>
      <c r="S418" s="24" t="s">
        <v>34</v>
      </c>
      <c r="T418" s="24" t="s">
        <v>151</v>
      </c>
      <c r="U418" s="34" t="str">
        <f>Sales_data!T418</f>
        <v>vikas.mehta@company.com</v>
      </c>
      <c r="V418" s="24">
        <v>9882279049</v>
      </c>
      <c r="W418" s="34" t="s">
        <v>2101</v>
      </c>
      <c r="X418" s="24">
        <v>24</v>
      </c>
      <c r="Y418" s="30" t="s">
        <v>2112</v>
      </c>
      <c r="Z418" s="29">
        <v>46761</v>
      </c>
      <c r="AA418" s="24" t="s">
        <v>2171</v>
      </c>
      <c r="AB418" s="24" t="s">
        <v>2160</v>
      </c>
      <c r="AC418" s="136" t="str">
        <f t="shared" si="12"/>
        <v>Vik005Mu</v>
      </c>
      <c r="AD418" s="136" t="str">
        <f t="shared" si="13"/>
        <v>vikas.mehta@company.com</v>
      </c>
    </row>
    <row r="419" spans="1:30">
      <c r="A419" s="24" t="s">
        <v>1806</v>
      </c>
      <c r="B419" s="24" t="s">
        <v>83</v>
      </c>
      <c r="C419" s="24" t="s">
        <v>40</v>
      </c>
      <c r="D419" s="30">
        <v>46129</v>
      </c>
      <c r="E419" s="24" t="s">
        <v>1081</v>
      </c>
      <c r="F419" s="136" t="str">
        <f>PROPER(TRIM(Sales_data!F419))</f>
        <v>Arjun Rao</v>
      </c>
      <c r="G419" s="30" t="s">
        <v>76</v>
      </c>
      <c r="H419" s="24" t="s">
        <v>87</v>
      </c>
      <c r="I419" s="24" t="s">
        <v>30</v>
      </c>
      <c r="J419" s="24" t="s">
        <v>31</v>
      </c>
      <c r="K419" s="24" t="s">
        <v>2109</v>
      </c>
      <c r="L419" s="24" t="s">
        <v>46</v>
      </c>
      <c r="M419" s="34" t="s">
        <v>47</v>
      </c>
      <c r="N419" s="37">
        <v>12</v>
      </c>
      <c r="O419" s="44">
        <v>9000</v>
      </c>
      <c r="P419" s="35">
        <v>0.2</v>
      </c>
      <c r="Q419" s="34">
        <v>86400</v>
      </c>
      <c r="R419" s="24">
        <v>2</v>
      </c>
      <c r="S419" s="24" t="s">
        <v>34</v>
      </c>
      <c r="T419" s="24" t="s">
        <v>35</v>
      </c>
      <c r="U419" s="34" t="str">
        <f>Sales_data!T419</f>
        <v>arjun.rao@company.com</v>
      </c>
      <c r="V419" s="24">
        <v>9961801338</v>
      </c>
      <c r="W419" s="34" t="s">
        <v>2101</v>
      </c>
      <c r="X419" s="24">
        <v>24</v>
      </c>
      <c r="Y419" s="30" t="s">
        <v>2108</v>
      </c>
      <c r="Z419" s="29">
        <v>46872</v>
      </c>
      <c r="AA419" s="24" t="s">
        <v>2174</v>
      </c>
      <c r="AB419" s="24" t="s">
        <v>2160</v>
      </c>
      <c r="AC419" s="136" t="str">
        <f t="shared" si="12"/>
        <v>Arj007Hy</v>
      </c>
      <c r="AD419" s="136" t="str">
        <f t="shared" si="13"/>
        <v>arjun.rao@company.com</v>
      </c>
    </row>
    <row r="420" spans="1:30">
      <c r="A420" s="24" t="s">
        <v>1810</v>
      </c>
      <c r="B420" s="24" t="s">
        <v>83</v>
      </c>
      <c r="C420" s="24" t="s">
        <v>259</v>
      </c>
      <c r="D420" s="30">
        <v>45741</v>
      </c>
      <c r="E420" s="24" t="s">
        <v>1298</v>
      </c>
      <c r="F420" s="136" t="str">
        <f>PROPER(TRIM(Sales_data!F420))</f>
        <v>Arjun Rao</v>
      </c>
      <c r="G420" s="30" t="s">
        <v>76</v>
      </c>
      <c r="H420" s="24" t="s">
        <v>87</v>
      </c>
      <c r="I420" s="24" t="s">
        <v>30</v>
      </c>
      <c r="J420" s="24" t="s">
        <v>31</v>
      </c>
      <c r="K420" s="24" t="s">
        <v>2109</v>
      </c>
      <c r="L420" s="24" t="s">
        <v>122</v>
      </c>
      <c r="M420" s="34" t="s">
        <v>263</v>
      </c>
      <c r="N420" s="37">
        <v>10</v>
      </c>
      <c r="O420" s="44">
        <v>33.75</v>
      </c>
      <c r="P420" s="35">
        <v>0</v>
      </c>
      <c r="Q420" s="34">
        <v>337.5</v>
      </c>
      <c r="R420" s="24">
        <v>5</v>
      </c>
      <c r="S420" s="24" t="s">
        <v>79</v>
      </c>
      <c r="T420" s="24" t="s">
        <v>115</v>
      </c>
      <c r="U420" s="34" t="str">
        <f>Sales_data!T420</f>
        <v>arjun.rao@company.com</v>
      </c>
      <c r="V420" s="24">
        <v>9853525026</v>
      </c>
      <c r="W420" s="34" t="s">
        <v>2100</v>
      </c>
      <c r="X420" s="24">
        <v>12</v>
      </c>
      <c r="Y420" s="30" t="s">
        <v>2108</v>
      </c>
      <c r="Z420" s="29">
        <v>46110</v>
      </c>
      <c r="AA420" s="24" t="s">
        <v>2174</v>
      </c>
      <c r="AB420" s="24" t="s">
        <v>2108</v>
      </c>
      <c r="AC420" s="136" t="str">
        <f t="shared" si="12"/>
        <v>Arj007Hy</v>
      </c>
      <c r="AD420" s="136" t="str">
        <f t="shared" si="13"/>
        <v>arjun.rao@company.com</v>
      </c>
    </row>
    <row r="421" spans="1:30">
      <c r="A421" s="24" t="s">
        <v>1813</v>
      </c>
      <c r="B421" s="24" t="s">
        <v>127</v>
      </c>
      <c r="C421" s="24" t="s">
        <v>72</v>
      </c>
      <c r="D421" s="30">
        <v>45774</v>
      </c>
      <c r="E421" s="24" t="s">
        <v>596</v>
      </c>
      <c r="F421" s="136" t="str">
        <f>PROPER(TRIM(Sales_data!F421))</f>
        <v>Rohit Singh</v>
      </c>
      <c r="G421" s="30" t="s">
        <v>76</v>
      </c>
      <c r="H421" s="24" t="s">
        <v>131</v>
      </c>
      <c r="I421" s="24" t="s">
        <v>44</v>
      </c>
      <c r="J421" s="24" t="s">
        <v>45</v>
      </c>
      <c r="K421" s="24" t="s">
        <v>2113</v>
      </c>
      <c r="L421" s="24" t="s">
        <v>46</v>
      </c>
      <c r="M421" s="34" t="s">
        <v>78</v>
      </c>
      <c r="N421" s="37">
        <v>20</v>
      </c>
      <c r="O421" s="44">
        <v>900</v>
      </c>
      <c r="P421" s="35">
        <v>0.2</v>
      </c>
      <c r="Q421" s="34">
        <v>14400</v>
      </c>
      <c r="R421" s="24">
        <v>5</v>
      </c>
      <c r="S421" s="24" t="s">
        <v>2148</v>
      </c>
      <c r="T421" s="24" t="s">
        <v>61</v>
      </c>
      <c r="U421" s="34" t="str">
        <f>Sales_data!T421</f>
        <v>rohit.singh@company.com</v>
      </c>
      <c r="V421" s="24">
        <v>9209649485</v>
      </c>
      <c r="W421" s="34" t="s">
        <v>2100</v>
      </c>
      <c r="X421" s="24">
        <v>6</v>
      </c>
      <c r="Y421" s="30" t="s">
        <v>2112</v>
      </c>
      <c r="Z421" s="29">
        <v>45970</v>
      </c>
      <c r="AA421" s="24" t="s">
        <v>2176</v>
      </c>
      <c r="AB421" s="24" t="s">
        <v>2108</v>
      </c>
      <c r="AC421" s="136" t="str">
        <f t="shared" si="12"/>
        <v>Roh003De</v>
      </c>
      <c r="AD421" s="136" t="str">
        <f t="shared" si="13"/>
        <v>rohit.singh@company.com</v>
      </c>
    </row>
    <row r="422" spans="1:30">
      <c r="A422" s="24" t="s">
        <v>1816</v>
      </c>
      <c r="B422" s="24" t="s">
        <v>71</v>
      </c>
      <c r="C422" s="24" t="s">
        <v>72</v>
      </c>
      <c r="D422" s="30">
        <v>45919</v>
      </c>
      <c r="E422" s="24" t="s">
        <v>1817</v>
      </c>
      <c r="F422" s="136" t="str">
        <f>PROPER(TRIM(Sales_data!F422))</f>
        <v>Mohit Verma</v>
      </c>
      <c r="G422" s="30" t="s">
        <v>76</v>
      </c>
      <c r="H422" s="24" t="s">
        <v>77</v>
      </c>
      <c r="I422" s="24" t="s">
        <v>44</v>
      </c>
      <c r="J422" s="24" t="s">
        <v>45</v>
      </c>
      <c r="K422" s="24" t="s">
        <v>2114</v>
      </c>
      <c r="L422" s="24" t="s">
        <v>46</v>
      </c>
      <c r="M422" s="34" t="s">
        <v>78</v>
      </c>
      <c r="N422" s="37">
        <v>8</v>
      </c>
      <c r="O422" s="44">
        <v>900</v>
      </c>
      <c r="P422" s="35">
        <v>0.1</v>
      </c>
      <c r="Q422" s="34">
        <v>6480</v>
      </c>
      <c r="R422" s="24">
        <v>4</v>
      </c>
      <c r="S422" s="24" t="s">
        <v>2148</v>
      </c>
      <c r="T422" s="24" t="s">
        <v>61</v>
      </c>
      <c r="U422" s="34" t="str">
        <f>Sales_data!T422</f>
        <v>mohit.verma@company.com</v>
      </c>
      <c r="V422" s="24">
        <v>9712905525</v>
      </c>
      <c r="W422" s="34" t="s">
        <v>2100</v>
      </c>
      <c r="X422" s="24">
        <v>6</v>
      </c>
      <c r="Y422" s="30" t="s">
        <v>2110</v>
      </c>
      <c r="Z422" s="29">
        <v>46107</v>
      </c>
      <c r="AA422" s="24" t="s">
        <v>2173</v>
      </c>
      <c r="AB422" s="24" t="s">
        <v>2108</v>
      </c>
      <c r="AC422" s="136" t="str">
        <f t="shared" si="12"/>
        <v>Moh009De</v>
      </c>
      <c r="AD422" s="136" t="str">
        <f t="shared" si="13"/>
        <v>mohit.verma@company.com</v>
      </c>
    </row>
    <row r="423" spans="1:30">
      <c r="A423" s="24" t="s">
        <v>1820</v>
      </c>
      <c r="B423" s="24" t="s">
        <v>127</v>
      </c>
      <c r="C423" s="24" t="s">
        <v>72</v>
      </c>
      <c r="D423" s="30">
        <v>45795</v>
      </c>
      <c r="E423" s="24" t="s">
        <v>1086</v>
      </c>
      <c r="F423" s="136" t="str">
        <f>PROPER(TRIM(Sales_data!F423))</f>
        <v>Rohit Singh</v>
      </c>
      <c r="G423" s="30" t="s">
        <v>76</v>
      </c>
      <c r="H423" s="24" t="s">
        <v>131</v>
      </c>
      <c r="I423" s="24" t="s">
        <v>44</v>
      </c>
      <c r="J423" s="24" t="s">
        <v>45</v>
      </c>
      <c r="K423" s="24" t="s">
        <v>2113</v>
      </c>
      <c r="L423" s="24" t="s">
        <v>46</v>
      </c>
      <c r="M423" s="34" t="s">
        <v>78</v>
      </c>
      <c r="N423" s="37">
        <v>8</v>
      </c>
      <c r="O423" s="44">
        <v>900</v>
      </c>
      <c r="P423" s="35">
        <v>0.1</v>
      </c>
      <c r="Q423" s="34">
        <v>6480</v>
      </c>
      <c r="R423" s="24">
        <v>5</v>
      </c>
      <c r="S423" s="24" t="s">
        <v>79</v>
      </c>
      <c r="T423" s="24" t="s">
        <v>49</v>
      </c>
      <c r="U423" s="34" t="str">
        <f>Sales_data!T423</f>
        <v>rohit.singh@company.com</v>
      </c>
      <c r="V423" s="24">
        <v>9812472447</v>
      </c>
      <c r="W423" s="34" t="s">
        <v>2100</v>
      </c>
      <c r="X423" s="24">
        <v>6</v>
      </c>
      <c r="Y423" s="30" t="s">
        <v>2112</v>
      </c>
      <c r="Z423" s="29">
        <v>45981</v>
      </c>
      <c r="AA423" s="24" t="s">
        <v>2176</v>
      </c>
      <c r="AB423" s="24" t="s">
        <v>2108</v>
      </c>
      <c r="AC423" s="136" t="str">
        <f t="shared" si="12"/>
        <v>Roh003De</v>
      </c>
      <c r="AD423" s="136" t="str">
        <f t="shared" si="13"/>
        <v>rohit.singh@company.com</v>
      </c>
    </row>
    <row r="424" spans="1:30">
      <c r="A424" s="24" t="s">
        <v>1823</v>
      </c>
      <c r="B424" s="24" t="s">
        <v>327</v>
      </c>
      <c r="C424" s="24" t="s">
        <v>24</v>
      </c>
      <c r="D424" s="30">
        <v>46020</v>
      </c>
      <c r="E424" s="24" t="s">
        <v>1444</v>
      </c>
      <c r="F424" s="136" t="str">
        <f>PROPER(TRIM(Sales_data!F424))</f>
        <v>Amit Sharma</v>
      </c>
      <c r="G424" s="30" t="s">
        <v>76</v>
      </c>
      <c r="H424" s="24" t="s">
        <v>331</v>
      </c>
      <c r="I424" s="24" t="s">
        <v>114</v>
      </c>
      <c r="J424" s="24" t="s">
        <v>106</v>
      </c>
      <c r="K424" s="24" t="s">
        <v>2109</v>
      </c>
      <c r="L424" s="24" t="s">
        <v>32</v>
      </c>
      <c r="M424" s="34" t="s">
        <v>33</v>
      </c>
      <c r="N424" s="37">
        <v>9</v>
      </c>
      <c r="O424" s="44">
        <v>1650</v>
      </c>
      <c r="P424" s="35">
        <v>0.2</v>
      </c>
      <c r="Q424" s="34">
        <v>11880</v>
      </c>
      <c r="R424" s="24">
        <v>1</v>
      </c>
      <c r="S424" s="24" t="s">
        <v>2148</v>
      </c>
      <c r="T424" s="24" t="s">
        <v>115</v>
      </c>
      <c r="U424" s="34" t="str">
        <f>Sales_data!T424</f>
        <v>amit.sharma@company.com</v>
      </c>
      <c r="V424" s="24">
        <v>9281127052</v>
      </c>
      <c r="W424" s="34" t="s">
        <v>2101</v>
      </c>
      <c r="X424" s="24">
        <v>24</v>
      </c>
      <c r="Y424" s="30" t="s">
        <v>2108</v>
      </c>
      <c r="Z424" s="29">
        <v>46751</v>
      </c>
      <c r="AA424" s="24" t="s">
        <v>2171</v>
      </c>
      <c r="AB424" s="24" t="s">
        <v>2160</v>
      </c>
      <c r="AC424" s="136" t="str">
        <f t="shared" si="12"/>
        <v>Ami001Pu</v>
      </c>
      <c r="AD424" s="136" t="str">
        <f t="shared" si="13"/>
        <v>amit.sharma@company.com</v>
      </c>
    </row>
    <row r="425" spans="1:30">
      <c r="A425" s="24" t="s">
        <v>1827</v>
      </c>
      <c r="B425" s="24" t="s">
        <v>127</v>
      </c>
      <c r="C425" s="24" t="s">
        <v>222</v>
      </c>
      <c r="D425" s="30">
        <v>45669</v>
      </c>
      <c r="E425" s="24" t="s">
        <v>760</v>
      </c>
      <c r="F425" s="136" t="str">
        <f>PROPER(TRIM(Sales_data!F425))</f>
        <v>Rohit Singh</v>
      </c>
      <c r="G425" s="30" t="s">
        <v>76</v>
      </c>
      <c r="H425" s="24" t="s">
        <v>131</v>
      </c>
      <c r="I425" s="24" t="s">
        <v>44</v>
      </c>
      <c r="J425" s="24" t="s">
        <v>45</v>
      </c>
      <c r="K425" s="24" t="s">
        <v>2113</v>
      </c>
      <c r="L425" s="24" t="s">
        <v>122</v>
      </c>
      <c r="M425" s="34" t="s">
        <v>227</v>
      </c>
      <c r="N425" s="37">
        <v>8</v>
      </c>
      <c r="O425" s="44">
        <v>15</v>
      </c>
      <c r="P425" s="35">
        <v>0.2</v>
      </c>
      <c r="Q425" s="34">
        <v>96</v>
      </c>
      <c r="R425" s="24">
        <v>4</v>
      </c>
      <c r="S425" s="24" t="s">
        <v>34</v>
      </c>
      <c r="T425" s="24" t="s">
        <v>35</v>
      </c>
      <c r="U425" s="34" t="str">
        <f>Sales_data!T425</f>
        <v>rohit.singh@company.com</v>
      </c>
      <c r="V425" s="24">
        <v>9346312555</v>
      </c>
      <c r="W425" s="34" t="s">
        <v>2103</v>
      </c>
      <c r="X425" s="24">
        <v>12</v>
      </c>
      <c r="Y425" s="30" t="s">
        <v>2112</v>
      </c>
      <c r="Z425" s="29">
        <v>46038</v>
      </c>
      <c r="AA425" s="24" t="s">
        <v>2176</v>
      </c>
      <c r="AB425" s="24" t="s">
        <v>2108</v>
      </c>
      <c r="AC425" s="136" t="str">
        <f t="shared" si="12"/>
        <v>Roh003De</v>
      </c>
      <c r="AD425" s="136" t="str">
        <f t="shared" si="13"/>
        <v>rohit.singh@company.com</v>
      </c>
    </row>
    <row r="426" spans="1:30">
      <c r="A426" s="24" t="s">
        <v>1830</v>
      </c>
      <c r="B426" s="24" t="s">
        <v>221</v>
      </c>
      <c r="C426" s="24" t="s">
        <v>54</v>
      </c>
      <c r="D426" s="30">
        <v>46035</v>
      </c>
      <c r="E426" s="24" t="s">
        <v>1831</v>
      </c>
      <c r="F426" s="136" t="str">
        <f>PROPER(TRIM(Sales_data!F426))</f>
        <v>Vikas Mehta</v>
      </c>
      <c r="G426" s="30" t="s">
        <v>76</v>
      </c>
      <c r="H426" s="24" t="s">
        <v>226</v>
      </c>
      <c r="I426" s="24" t="s">
        <v>105</v>
      </c>
      <c r="J426" s="24" t="s">
        <v>106</v>
      </c>
      <c r="K426" s="24" t="s">
        <v>2113</v>
      </c>
      <c r="L426" s="24" t="s">
        <v>46</v>
      </c>
      <c r="M426" s="34" t="s">
        <v>60</v>
      </c>
      <c r="N426" s="37">
        <v>5</v>
      </c>
      <c r="O426" s="44">
        <v>41250</v>
      </c>
      <c r="P426" s="35">
        <v>0</v>
      </c>
      <c r="Q426" s="34">
        <v>206250</v>
      </c>
      <c r="R426" s="24">
        <v>1</v>
      </c>
      <c r="S426" s="24" t="s">
        <v>79</v>
      </c>
      <c r="T426" s="24" t="s">
        <v>115</v>
      </c>
      <c r="U426" s="34" t="str">
        <f>Sales_data!T426</f>
        <v>vikas.mehta@company.com</v>
      </c>
      <c r="V426" s="24">
        <v>9443786067</v>
      </c>
      <c r="W426" s="34" t="s">
        <v>2100</v>
      </c>
      <c r="X426" s="24">
        <v>12</v>
      </c>
      <c r="Y426" s="30" t="s">
        <v>2112</v>
      </c>
      <c r="Z426" s="29">
        <v>46409</v>
      </c>
      <c r="AA426" s="24" t="s">
        <v>2171</v>
      </c>
      <c r="AB426" s="24" t="s">
        <v>2160</v>
      </c>
      <c r="AC426" s="136" t="str">
        <f t="shared" si="12"/>
        <v>Vik005Mu</v>
      </c>
      <c r="AD426" s="136" t="str">
        <f t="shared" si="13"/>
        <v>vikas.mehta@company.com</v>
      </c>
    </row>
    <row r="427" spans="1:30">
      <c r="A427" s="24" t="s">
        <v>1833</v>
      </c>
      <c r="B427" s="24" t="s">
        <v>100</v>
      </c>
      <c r="C427" s="24" t="s">
        <v>72</v>
      </c>
      <c r="D427" s="30">
        <v>46096</v>
      </c>
      <c r="E427" s="24" t="s">
        <v>636</v>
      </c>
      <c r="F427" s="136" t="str">
        <f>PROPER(TRIM(Sales_data!F427))</f>
        <v>Priya Patel</v>
      </c>
      <c r="G427" s="30" t="s">
        <v>28</v>
      </c>
      <c r="H427" s="24" t="s">
        <v>104</v>
      </c>
      <c r="I427" s="24" t="s">
        <v>105</v>
      </c>
      <c r="J427" s="24" t="s">
        <v>106</v>
      </c>
      <c r="K427" s="24" t="s">
        <v>2111</v>
      </c>
      <c r="L427" s="24" t="s">
        <v>46</v>
      </c>
      <c r="M427" s="34" t="s">
        <v>78</v>
      </c>
      <c r="N427" s="37">
        <v>13</v>
      </c>
      <c r="O427" s="44">
        <v>900</v>
      </c>
      <c r="P427" s="35">
        <v>0.05</v>
      </c>
      <c r="Q427" s="34">
        <v>11115</v>
      </c>
      <c r="R427" s="24">
        <v>2</v>
      </c>
      <c r="S427" s="24" t="s">
        <v>79</v>
      </c>
      <c r="T427" s="24" t="s">
        <v>35</v>
      </c>
      <c r="U427" s="34" t="str">
        <f>Sales_data!T427</f>
        <v>priya.patel@company.com</v>
      </c>
      <c r="V427" s="24">
        <v>9452540528</v>
      </c>
      <c r="W427" s="34" t="s">
        <v>2100</v>
      </c>
      <c r="X427" s="24">
        <v>6</v>
      </c>
      <c r="Y427" s="30" t="s">
        <v>2110</v>
      </c>
      <c r="Z427" s="29">
        <v>46283</v>
      </c>
      <c r="AA427" s="24" t="s">
        <v>2175</v>
      </c>
      <c r="AB427" s="24" t="s">
        <v>2160</v>
      </c>
      <c r="AC427" s="136" t="str">
        <f t="shared" si="12"/>
        <v>Pri002Mu</v>
      </c>
      <c r="AD427" s="136" t="str">
        <f t="shared" si="13"/>
        <v>priya.patel@company.com</v>
      </c>
    </row>
    <row r="428" spans="1:30">
      <c r="A428" s="24" t="s">
        <v>1837</v>
      </c>
      <c r="B428" s="24" t="s">
        <v>83</v>
      </c>
      <c r="C428" s="24" t="s">
        <v>169</v>
      </c>
      <c r="D428" s="30">
        <v>45986</v>
      </c>
      <c r="E428" s="24" t="s">
        <v>1838</v>
      </c>
      <c r="F428" s="136" t="str">
        <f>PROPER(TRIM(Sales_data!F428))</f>
        <v>Arjun Rao</v>
      </c>
      <c r="G428" s="30" t="s">
        <v>76</v>
      </c>
      <c r="H428" s="24" t="s">
        <v>87</v>
      </c>
      <c r="I428" s="24" t="s">
        <v>30</v>
      </c>
      <c r="J428" s="24" t="s">
        <v>31</v>
      </c>
      <c r="K428" s="24" t="s">
        <v>2109</v>
      </c>
      <c r="L428" s="24" t="s">
        <v>32</v>
      </c>
      <c r="M428" s="34" t="s">
        <v>174</v>
      </c>
      <c r="N428" s="37">
        <v>13</v>
      </c>
      <c r="O428" s="44">
        <v>6375</v>
      </c>
      <c r="P428" s="35">
        <v>0.2</v>
      </c>
      <c r="Q428" s="34">
        <v>66300</v>
      </c>
      <c r="R428" s="24">
        <v>5</v>
      </c>
      <c r="S428" s="24" t="s">
        <v>34</v>
      </c>
      <c r="T428" s="24" t="s">
        <v>49</v>
      </c>
      <c r="U428" s="34" t="str">
        <f>Sales_data!T428</f>
        <v>arjun.rao@company.com</v>
      </c>
      <c r="V428" s="24">
        <v>9750918728</v>
      </c>
      <c r="W428" s="34" t="s">
        <v>2100</v>
      </c>
      <c r="X428" s="24">
        <v>24</v>
      </c>
      <c r="Y428" s="30" t="s">
        <v>2108</v>
      </c>
      <c r="Z428" s="29">
        <v>46721</v>
      </c>
      <c r="AA428" s="24" t="s">
        <v>2174</v>
      </c>
      <c r="AB428" s="24" t="s">
        <v>2112</v>
      </c>
      <c r="AC428" s="136" t="str">
        <f t="shared" si="12"/>
        <v>Arj007Hy</v>
      </c>
      <c r="AD428" s="136" t="str">
        <f t="shared" si="13"/>
        <v>arjun.rao@company.com</v>
      </c>
    </row>
    <row r="429" spans="1:30">
      <c r="A429" s="24" t="s">
        <v>1841</v>
      </c>
      <c r="B429" s="24" t="s">
        <v>71</v>
      </c>
      <c r="C429" s="24" t="s">
        <v>118</v>
      </c>
      <c r="D429" s="30">
        <v>45692</v>
      </c>
      <c r="E429" s="24" t="s">
        <v>1842</v>
      </c>
      <c r="F429" s="136" t="str">
        <f>PROPER(TRIM(Sales_data!F429))</f>
        <v>Mohit Verma</v>
      </c>
      <c r="G429" s="30" t="s">
        <v>76</v>
      </c>
      <c r="H429" s="24" t="s">
        <v>77</v>
      </c>
      <c r="I429" s="24" t="s">
        <v>44</v>
      </c>
      <c r="J429" s="24" t="s">
        <v>45</v>
      </c>
      <c r="K429" s="24" t="s">
        <v>2114</v>
      </c>
      <c r="L429" s="24" t="s">
        <v>122</v>
      </c>
      <c r="M429" s="34" t="s">
        <v>123</v>
      </c>
      <c r="N429" s="37">
        <v>14</v>
      </c>
      <c r="O429" s="44">
        <v>45</v>
      </c>
      <c r="P429" s="35">
        <v>0.1</v>
      </c>
      <c r="Q429" s="34">
        <v>567</v>
      </c>
      <c r="R429" s="24">
        <v>1</v>
      </c>
      <c r="S429" s="24" t="s">
        <v>34</v>
      </c>
      <c r="T429" s="24" t="s">
        <v>61</v>
      </c>
      <c r="U429" s="34" t="str">
        <f>Sales_data!T429</f>
        <v>mohit.verma@company.com</v>
      </c>
      <c r="V429" s="24">
        <v>9375975834</v>
      </c>
      <c r="W429" s="34" t="s">
        <v>2102</v>
      </c>
      <c r="X429" s="24">
        <v>12</v>
      </c>
      <c r="Y429" s="30" t="s">
        <v>2110</v>
      </c>
      <c r="Z429" s="29">
        <v>46068</v>
      </c>
      <c r="AA429" s="24" t="s">
        <v>2173</v>
      </c>
      <c r="AB429" s="24" t="s">
        <v>2160</v>
      </c>
      <c r="AC429" s="136" t="str">
        <f t="shared" si="12"/>
        <v>Moh009De</v>
      </c>
      <c r="AD429" s="136" t="str">
        <f t="shared" si="13"/>
        <v>mohit.verma@company.com</v>
      </c>
    </row>
    <row r="430" spans="1:30">
      <c r="A430" s="24" t="s">
        <v>1845</v>
      </c>
      <c r="B430" s="24" t="s">
        <v>251</v>
      </c>
      <c r="C430" s="24" t="s">
        <v>24</v>
      </c>
      <c r="D430" s="30">
        <v>45775</v>
      </c>
      <c r="E430" s="24" t="s">
        <v>606</v>
      </c>
      <c r="F430" s="136" t="str">
        <f>PROPER(TRIM(Sales_data!F430))</f>
        <v>Sneha Joshi</v>
      </c>
      <c r="G430" s="30" t="s">
        <v>28</v>
      </c>
      <c r="H430" s="24" t="s">
        <v>255</v>
      </c>
      <c r="I430" s="24" t="s">
        <v>114</v>
      </c>
      <c r="J430" s="24" t="s">
        <v>106</v>
      </c>
      <c r="K430" s="24" t="s">
        <v>2111</v>
      </c>
      <c r="L430" s="24" t="s">
        <v>32</v>
      </c>
      <c r="M430" s="34" t="s">
        <v>33</v>
      </c>
      <c r="N430" s="37">
        <v>15</v>
      </c>
      <c r="O430" s="44">
        <v>1650</v>
      </c>
      <c r="P430" s="35">
        <v>0</v>
      </c>
      <c r="Q430" s="34">
        <v>24750</v>
      </c>
      <c r="R430" s="24">
        <v>1</v>
      </c>
      <c r="S430" s="24" t="s">
        <v>34</v>
      </c>
      <c r="T430" s="24" t="s">
        <v>61</v>
      </c>
      <c r="U430" s="34" t="str">
        <f>Sales_data!T430</f>
        <v>sneha.joshi@company.com</v>
      </c>
      <c r="V430" s="24">
        <v>9497321112</v>
      </c>
      <c r="W430" s="34" t="s">
        <v>2101</v>
      </c>
      <c r="X430" s="24">
        <v>24</v>
      </c>
      <c r="Y430" s="30" t="s">
        <v>2112</v>
      </c>
      <c r="Z430" s="29">
        <v>46506</v>
      </c>
      <c r="AA430" s="24" t="s">
        <v>2173</v>
      </c>
      <c r="AB430" s="24" t="s">
        <v>2160</v>
      </c>
      <c r="AC430" s="136" t="str">
        <f t="shared" si="12"/>
        <v>Sne006Pu</v>
      </c>
      <c r="AD430" s="136" t="str">
        <f t="shared" si="13"/>
        <v>sneha.joshi@company.com</v>
      </c>
    </row>
    <row r="431" spans="1:30">
      <c r="A431" s="24" t="s">
        <v>1848</v>
      </c>
      <c r="B431" s="24" t="s">
        <v>83</v>
      </c>
      <c r="C431" s="24" t="s">
        <v>118</v>
      </c>
      <c r="D431" s="30">
        <v>45896</v>
      </c>
      <c r="E431" s="24" t="s">
        <v>1850</v>
      </c>
      <c r="F431" s="136" t="str">
        <f>PROPER(TRIM(Sales_data!F431))</f>
        <v>Arjun Rao</v>
      </c>
      <c r="G431" s="30" t="s">
        <v>76</v>
      </c>
      <c r="H431" s="24" t="s">
        <v>87</v>
      </c>
      <c r="I431" s="24" t="s">
        <v>30</v>
      </c>
      <c r="J431" s="24" t="s">
        <v>31</v>
      </c>
      <c r="K431" s="24" t="s">
        <v>2109</v>
      </c>
      <c r="L431" s="24" t="s">
        <v>122</v>
      </c>
      <c r="M431" s="34" t="s">
        <v>123</v>
      </c>
      <c r="N431" s="37">
        <v>19</v>
      </c>
      <c r="O431" s="44">
        <v>45</v>
      </c>
      <c r="P431" s="35">
        <v>0.2</v>
      </c>
      <c r="Q431" s="34">
        <v>684</v>
      </c>
      <c r="R431" s="24">
        <v>3</v>
      </c>
      <c r="S431" s="24" t="s">
        <v>34</v>
      </c>
      <c r="T431" s="24" t="s">
        <v>151</v>
      </c>
      <c r="U431" s="34" t="str">
        <f>Sales_data!T431</f>
        <v>arjun.rao@company.com</v>
      </c>
      <c r="V431" s="24">
        <v>9828749888</v>
      </c>
      <c r="W431" s="34" t="s">
        <v>2102</v>
      </c>
      <c r="X431" s="24">
        <v>12</v>
      </c>
      <c r="Y431" s="30" t="s">
        <v>2108</v>
      </c>
      <c r="Z431" s="29">
        <v>46263</v>
      </c>
      <c r="AA431" s="24" t="s">
        <v>2174</v>
      </c>
      <c r="AB431" s="24" t="s">
        <v>2108</v>
      </c>
      <c r="AC431" s="136" t="str">
        <f t="shared" si="12"/>
        <v>Arj007Hy</v>
      </c>
      <c r="AD431" s="136" t="str">
        <f t="shared" si="13"/>
        <v>arjun.rao@company.com</v>
      </c>
    </row>
    <row r="432" spans="1:30">
      <c r="A432" s="24" t="s">
        <v>1853</v>
      </c>
      <c r="B432" s="24" t="s">
        <v>53</v>
      </c>
      <c r="C432" s="24" t="s">
        <v>259</v>
      </c>
      <c r="D432" s="30">
        <v>45942</v>
      </c>
      <c r="E432" s="24" t="s">
        <v>341</v>
      </c>
      <c r="F432" s="136" t="str">
        <f>PROPER(TRIM(Sales_data!F432))</f>
        <v>Pooja Shah</v>
      </c>
      <c r="G432" s="30" t="s">
        <v>28</v>
      </c>
      <c r="H432" s="24" t="s">
        <v>58</v>
      </c>
      <c r="I432" s="24" t="s">
        <v>59</v>
      </c>
      <c r="J432" s="24" t="s">
        <v>31</v>
      </c>
      <c r="K432" s="24" t="s">
        <v>2111</v>
      </c>
      <c r="L432" s="24" t="s">
        <v>122</v>
      </c>
      <c r="M432" s="34" t="s">
        <v>263</v>
      </c>
      <c r="N432" s="37">
        <v>13</v>
      </c>
      <c r="O432" s="44">
        <v>33.75</v>
      </c>
      <c r="P432" s="35">
        <v>0.15</v>
      </c>
      <c r="Q432" s="34">
        <v>372.9375</v>
      </c>
      <c r="R432" s="24">
        <v>2</v>
      </c>
      <c r="S432" s="24" t="s">
        <v>34</v>
      </c>
      <c r="T432" s="24" t="s">
        <v>49</v>
      </c>
      <c r="U432" s="34" t="str">
        <f>Sales_data!T432</f>
        <v>pooja.shah@company.com</v>
      </c>
      <c r="V432" s="24">
        <v>9814267382</v>
      </c>
      <c r="W432" s="34" t="s">
        <v>2100</v>
      </c>
      <c r="X432" s="24">
        <v>12</v>
      </c>
      <c r="Y432" s="30" t="s">
        <v>2108</v>
      </c>
      <c r="Z432" s="29">
        <v>46318</v>
      </c>
      <c r="AA432" s="24" t="s">
        <v>2172</v>
      </c>
      <c r="AB432" s="24" t="s">
        <v>2160</v>
      </c>
      <c r="AC432" s="136" t="str">
        <f t="shared" si="12"/>
        <v>Poo010Be</v>
      </c>
      <c r="AD432" s="136" t="str">
        <f t="shared" si="13"/>
        <v>pooja.shah@company.com</v>
      </c>
    </row>
    <row r="433" spans="1:30">
      <c r="A433" s="24" t="s">
        <v>1856</v>
      </c>
      <c r="B433" s="24" t="s">
        <v>251</v>
      </c>
      <c r="C433" s="24" t="s">
        <v>40</v>
      </c>
      <c r="D433" s="30">
        <v>46036</v>
      </c>
      <c r="E433" s="24" t="s">
        <v>1128</v>
      </c>
      <c r="F433" s="136" t="str">
        <f>PROPER(TRIM(Sales_data!F433))</f>
        <v>Sneha Joshi</v>
      </c>
      <c r="G433" s="30" t="s">
        <v>28</v>
      </c>
      <c r="H433" s="24" t="s">
        <v>255</v>
      </c>
      <c r="I433" s="24" t="s">
        <v>114</v>
      </c>
      <c r="J433" s="24" t="s">
        <v>106</v>
      </c>
      <c r="K433" s="24" t="s">
        <v>2111</v>
      </c>
      <c r="L433" s="24" t="s">
        <v>46</v>
      </c>
      <c r="M433" s="34" t="s">
        <v>47</v>
      </c>
      <c r="N433" s="37">
        <v>7</v>
      </c>
      <c r="O433" s="44">
        <v>9000</v>
      </c>
      <c r="P433" s="35">
        <v>0.05</v>
      </c>
      <c r="Q433" s="34">
        <v>59850</v>
      </c>
      <c r="R433" s="24">
        <v>4</v>
      </c>
      <c r="S433" s="24" t="s">
        <v>79</v>
      </c>
      <c r="T433" s="24" t="s">
        <v>151</v>
      </c>
      <c r="U433" s="34" t="str">
        <f>Sales_data!T433</f>
        <v>sneha.joshi@company.com</v>
      </c>
      <c r="V433" s="24">
        <v>9937007439</v>
      </c>
      <c r="W433" s="34" t="s">
        <v>2101</v>
      </c>
      <c r="X433" s="24">
        <v>24</v>
      </c>
      <c r="Y433" s="30" t="s">
        <v>2112</v>
      </c>
      <c r="Z433" s="29">
        <v>46776</v>
      </c>
      <c r="AA433" s="24" t="s">
        <v>2173</v>
      </c>
      <c r="AB433" s="24" t="s">
        <v>2112</v>
      </c>
      <c r="AC433" s="136" t="str">
        <f t="shared" si="12"/>
        <v>Sne006Pu</v>
      </c>
      <c r="AD433" s="136" t="str">
        <f t="shared" si="13"/>
        <v>sneha.joshi@company.com</v>
      </c>
    </row>
    <row r="434" spans="1:30">
      <c r="A434" s="24" t="s">
        <v>1859</v>
      </c>
      <c r="B434" s="24" t="s">
        <v>327</v>
      </c>
      <c r="C434" s="24" t="s">
        <v>222</v>
      </c>
      <c r="D434" s="30">
        <v>46152</v>
      </c>
      <c r="E434" s="24"/>
      <c r="F434" s="136" t="str">
        <f>PROPER(TRIM(Sales_data!F434))</f>
        <v>Amit Sharma</v>
      </c>
      <c r="G434" s="30" t="s">
        <v>76</v>
      </c>
      <c r="H434" s="24" t="s">
        <v>331</v>
      </c>
      <c r="I434" s="24" t="s">
        <v>114</v>
      </c>
      <c r="J434" s="24" t="s">
        <v>106</v>
      </c>
      <c r="K434" s="24" t="s">
        <v>2109</v>
      </c>
      <c r="L434" s="24" t="s">
        <v>122</v>
      </c>
      <c r="M434" s="34" t="s">
        <v>227</v>
      </c>
      <c r="N434" s="37">
        <v>8</v>
      </c>
      <c r="O434" s="44">
        <v>15</v>
      </c>
      <c r="P434" s="35">
        <v>0</v>
      </c>
      <c r="Q434" s="34">
        <v>120</v>
      </c>
      <c r="R434" s="24">
        <v>4</v>
      </c>
      <c r="S434" s="24" t="s">
        <v>79</v>
      </c>
      <c r="T434" s="24" t="s">
        <v>61</v>
      </c>
      <c r="U434" s="34" t="str">
        <f>Sales_data!T434</f>
        <v>amit.sharma@company.com</v>
      </c>
      <c r="V434" s="24">
        <v>9657513435</v>
      </c>
      <c r="W434" s="34" t="s">
        <v>2103</v>
      </c>
      <c r="X434" s="24">
        <v>12</v>
      </c>
      <c r="Y434" s="30" t="s">
        <v>2108</v>
      </c>
      <c r="Z434" s="29">
        <v>366</v>
      </c>
      <c r="AA434" s="24" t="s">
        <v>2171</v>
      </c>
      <c r="AB434" s="24" t="s">
        <v>2108</v>
      </c>
      <c r="AC434" s="136" t="str">
        <f t="shared" si="12"/>
        <v>Ami001Pu</v>
      </c>
      <c r="AD434" s="136" t="str">
        <f t="shared" si="13"/>
        <v>amit.sharma@company.com</v>
      </c>
    </row>
    <row r="435" spans="1:30">
      <c r="A435" s="24" t="s">
        <v>1862</v>
      </c>
      <c r="B435" s="24" t="s">
        <v>23</v>
      </c>
      <c r="C435" s="24" t="s">
        <v>92</v>
      </c>
      <c r="D435" s="30">
        <v>45689</v>
      </c>
      <c r="E435" s="24" t="s">
        <v>900</v>
      </c>
      <c r="F435" s="136" t="str">
        <f>PROPER(TRIM(Sales_data!F435))</f>
        <v>Kavya Nair</v>
      </c>
      <c r="G435" s="30" t="s">
        <v>28</v>
      </c>
      <c r="H435" s="24" t="s">
        <v>29</v>
      </c>
      <c r="I435" s="24" t="s">
        <v>30</v>
      </c>
      <c r="J435" s="24" t="s">
        <v>31</v>
      </c>
      <c r="K435" s="24" t="s">
        <v>2111</v>
      </c>
      <c r="L435" s="24" t="s">
        <v>32</v>
      </c>
      <c r="M435" s="34" t="s">
        <v>97</v>
      </c>
      <c r="N435" s="37">
        <v>16</v>
      </c>
      <c r="O435" s="44">
        <v>2625</v>
      </c>
      <c r="P435" s="35">
        <v>0.05</v>
      </c>
      <c r="Q435" s="34">
        <v>39900</v>
      </c>
      <c r="R435" s="24">
        <v>1</v>
      </c>
      <c r="S435" s="24" t="s">
        <v>79</v>
      </c>
      <c r="T435" s="24" t="s">
        <v>61</v>
      </c>
      <c r="U435" s="34" t="str">
        <f>Sales_data!T435</f>
        <v>kavya.nair@company.com</v>
      </c>
      <c r="V435" s="24">
        <v>9999406260</v>
      </c>
      <c r="W435" s="34" t="s">
        <v>2101</v>
      </c>
      <c r="X435" s="24">
        <v>6</v>
      </c>
      <c r="Y435" s="30" t="s">
        <v>2108</v>
      </c>
      <c r="Z435" s="29">
        <v>45875</v>
      </c>
      <c r="AA435" s="24" t="s">
        <v>2171</v>
      </c>
      <c r="AB435" s="24" t="s">
        <v>2160</v>
      </c>
      <c r="AC435" s="136" t="str">
        <f t="shared" si="12"/>
        <v>Kav008Hy</v>
      </c>
      <c r="AD435" s="136" t="str">
        <f t="shared" si="13"/>
        <v>kavya.nair@company.com</v>
      </c>
    </row>
    <row r="436" spans="1:30">
      <c r="A436" s="24" t="s">
        <v>1866</v>
      </c>
      <c r="B436" s="24" t="s">
        <v>327</v>
      </c>
      <c r="C436" s="24" t="s">
        <v>169</v>
      </c>
      <c r="D436" s="30">
        <v>45710</v>
      </c>
      <c r="E436" s="24" t="s">
        <v>1157</v>
      </c>
      <c r="F436" s="136" t="str">
        <f>PROPER(TRIM(Sales_data!F436))</f>
        <v>Amit Sharma</v>
      </c>
      <c r="G436" s="30" t="s">
        <v>76</v>
      </c>
      <c r="H436" s="24" t="s">
        <v>331</v>
      </c>
      <c r="I436" s="24" t="s">
        <v>114</v>
      </c>
      <c r="J436" s="24" t="s">
        <v>106</v>
      </c>
      <c r="K436" s="24" t="s">
        <v>2109</v>
      </c>
      <c r="L436" s="24" t="s">
        <v>32</v>
      </c>
      <c r="M436" s="34" t="s">
        <v>174</v>
      </c>
      <c r="N436" s="37">
        <v>12</v>
      </c>
      <c r="O436" s="44">
        <v>6375</v>
      </c>
      <c r="P436" s="35">
        <v>0.1</v>
      </c>
      <c r="Q436" s="34">
        <v>68850</v>
      </c>
      <c r="R436" s="24">
        <v>3</v>
      </c>
      <c r="S436" s="24" t="s">
        <v>79</v>
      </c>
      <c r="T436" s="24" t="s">
        <v>35</v>
      </c>
      <c r="U436" s="34" t="str">
        <f>Sales_data!T436</f>
        <v>amit.sharma@company.com</v>
      </c>
      <c r="V436" s="24">
        <v>9233727886</v>
      </c>
      <c r="W436" s="34" t="s">
        <v>2100</v>
      </c>
      <c r="X436" s="24">
        <v>24</v>
      </c>
      <c r="Y436" s="30" t="s">
        <v>2108</v>
      </c>
      <c r="Z436" s="29">
        <v>46450</v>
      </c>
      <c r="AA436" s="24" t="s">
        <v>2171</v>
      </c>
      <c r="AB436" s="24" t="s">
        <v>2112</v>
      </c>
      <c r="AC436" s="136" t="str">
        <f t="shared" si="12"/>
        <v>Ami001Pu</v>
      </c>
      <c r="AD436" s="136" t="str">
        <f t="shared" si="13"/>
        <v>amit.sharma@company.com</v>
      </c>
    </row>
    <row r="437" spans="1:30">
      <c r="A437" s="24" t="s">
        <v>1870</v>
      </c>
      <c r="B437" s="24" t="s">
        <v>23</v>
      </c>
      <c r="C437" s="24" t="s">
        <v>118</v>
      </c>
      <c r="D437" s="30">
        <v>45765</v>
      </c>
      <c r="E437" s="24" t="s">
        <v>1114</v>
      </c>
      <c r="F437" s="136" t="str">
        <f>PROPER(TRIM(Sales_data!F437))</f>
        <v>Kavya Nair</v>
      </c>
      <c r="G437" s="30" t="s">
        <v>28</v>
      </c>
      <c r="H437" s="24" t="s">
        <v>29</v>
      </c>
      <c r="I437" s="24" t="s">
        <v>30</v>
      </c>
      <c r="J437" s="24" t="s">
        <v>31</v>
      </c>
      <c r="K437" s="24" t="s">
        <v>2111</v>
      </c>
      <c r="L437" s="24" t="s">
        <v>122</v>
      </c>
      <c r="M437" s="34" t="s">
        <v>123</v>
      </c>
      <c r="N437" s="37">
        <v>1</v>
      </c>
      <c r="O437" s="44">
        <v>45</v>
      </c>
      <c r="P437" s="35">
        <v>0.2</v>
      </c>
      <c r="Q437" s="34">
        <v>36</v>
      </c>
      <c r="R437" s="24">
        <v>2</v>
      </c>
      <c r="S437" s="24" t="s">
        <v>79</v>
      </c>
      <c r="T437" s="24" t="s">
        <v>151</v>
      </c>
      <c r="U437" s="34" t="str">
        <f>Sales_data!T437</f>
        <v>kavya.nair@company.com</v>
      </c>
      <c r="V437" s="24">
        <v>9831688801</v>
      </c>
      <c r="W437" s="34" t="s">
        <v>2102</v>
      </c>
      <c r="X437" s="24">
        <v>12</v>
      </c>
      <c r="Y437" s="30" t="s">
        <v>2108</v>
      </c>
      <c r="Z437" s="29">
        <v>46132</v>
      </c>
      <c r="AA437" s="24" t="s">
        <v>2171</v>
      </c>
      <c r="AB437" s="24" t="s">
        <v>2160</v>
      </c>
      <c r="AC437" s="136" t="str">
        <f t="shared" si="12"/>
        <v>Kav008Hy</v>
      </c>
      <c r="AD437" s="136" t="str">
        <f t="shared" si="13"/>
        <v>kavya.nair@company.com</v>
      </c>
    </row>
    <row r="438" spans="1:30">
      <c r="A438" s="24" t="s">
        <v>1873</v>
      </c>
      <c r="B438" s="24" t="s">
        <v>127</v>
      </c>
      <c r="C438" s="24" t="s">
        <v>118</v>
      </c>
      <c r="D438" s="30">
        <v>45967</v>
      </c>
      <c r="E438" s="24" t="s">
        <v>535</v>
      </c>
      <c r="F438" s="136" t="str">
        <f>PROPER(TRIM(Sales_data!F438))</f>
        <v>Rohit Singh</v>
      </c>
      <c r="G438" s="30" t="s">
        <v>76</v>
      </c>
      <c r="H438" s="24" t="s">
        <v>131</v>
      </c>
      <c r="I438" s="24" t="s">
        <v>44</v>
      </c>
      <c r="J438" s="24" t="s">
        <v>45</v>
      </c>
      <c r="K438" s="24" t="s">
        <v>2113</v>
      </c>
      <c r="L438" s="24" t="s">
        <v>122</v>
      </c>
      <c r="M438" s="34" t="s">
        <v>123</v>
      </c>
      <c r="N438" s="37">
        <v>3</v>
      </c>
      <c r="O438" s="44">
        <v>45</v>
      </c>
      <c r="P438" s="35">
        <v>0.15</v>
      </c>
      <c r="Q438" s="34">
        <v>114.75</v>
      </c>
      <c r="R438" s="24">
        <v>4</v>
      </c>
      <c r="S438" s="24" t="s">
        <v>79</v>
      </c>
      <c r="T438" s="24" t="s">
        <v>35</v>
      </c>
      <c r="U438" s="34" t="str">
        <f>Sales_data!T438</f>
        <v>rohit.singh@company.com</v>
      </c>
      <c r="V438" s="24">
        <v>9982849508</v>
      </c>
      <c r="W438" s="34" t="s">
        <v>2102</v>
      </c>
      <c r="X438" s="24">
        <v>12</v>
      </c>
      <c r="Y438" s="30" t="s">
        <v>2112</v>
      </c>
      <c r="Z438" s="29">
        <v>46337</v>
      </c>
      <c r="AA438" s="24" t="s">
        <v>2176</v>
      </c>
      <c r="AB438" s="24" t="s">
        <v>2108</v>
      </c>
      <c r="AC438" s="136" t="str">
        <f t="shared" si="12"/>
        <v>Roh003De</v>
      </c>
      <c r="AD438" s="136" t="str">
        <f t="shared" si="13"/>
        <v>rohit.singh@company.com</v>
      </c>
    </row>
    <row r="439" spans="1:30">
      <c r="A439" s="24" t="s">
        <v>1876</v>
      </c>
      <c r="B439" s="24" t="s">
        <v>100</v>
      </c>
      <c r="C439" s="24" t="s">
        <v>184</v>
      </c>
      <c r="D439" s="30">
        <v>45736</v>
      </c>
      <c r="E439" s="24" t="s">
        <v>119</v>
      </c>
      <c r="F439" s="136" t="str">
        <f>PROPER(TRIM(Sales_data!F439))</f>
        <v>Priya Patel</v>
      </c>
      <c r="G439" s="30" t="s">
        <v>28</v>
      </c>
      <c r="H439" s="24" t="s">
        <v>104</v>
      </c>
      <c r="I439" s="24" t="s">
        <v>105</v>
      </c>
      <c r="J439" s="24" t="s">
        <v>106</v>
      </c>
      <c r="K439" s="24" t="s">
        <v>2111</v>
      </c>
      <c r="L439" s="24" t="s">
        <v>46</v>
      </c>
      <c r="M439" s="34" t="s">
        <v>189</v>
      </c>
      <c r="N439" s="37">
        <v>10</v>
      </c>
      <c r="O439" s="44">
        <v>525</v>
      </c>
      <c r="P439" s="35">
        <v>0.15</v>
      </c>
      <c r="Q439" s="34">
        <v>4462.5</v>
      </c>
      <c r="R439" s="24">
        <v>3</v>
      </c>
      <c r="S439" s="24" t="s">
        <v>2148</v>
      </c>
      <c r="T439" s="24" t="s">
        <v>35</v>
      </c>
      <c r="U439" s="34" t="str">
        <f>Sales_data!T439</f>
        <v>priya.patel@company.com</v>
      </c>
      <c r="V439" s="24">
        <v>9288309246</v>
      </c>
      <c r="W439" s="34" t="s">
        <v>2100</v>
      </c>
      <c r="X439" s="24">
        <v>24</v>
      </c>
      <c r="Y439" s="30" t="s">
        <v>2110</v>
      </c>
      <c r="Z439" s="29">
        <v>46471</v>
      </c>
      <c r="AA439" s="24" t="s">
        <v>2175</v>
      </c>
      <c r="AB439" s="24" t="s">
        <v>2108</v>
      </c>
      <c r="AC439" s="136" t="str">
        <f t="shared" si="12"/>
        <v>Pri002Mu</v>
      </c>
      <c r="AD439" s="136" t="str">
        <f t="shared" si="13"/>
        <v>priya.patel@company.com</v>
      </c>
    </row>
    <row r="440" spans="1:30">
      <c r="A440" s="24" t="s">
        <v>1879</v>
      </c>
      <c r="B440" s="24" t="s">
        <v>83</v>
      </c>
      <c r="C440" s="24" t="s">
        <v>222</v>
      </c>
      <c r="D440" s="30">
        <v>45952</v>
      </c>
      <c r="E440" s="24" t="s">
        <v>1881</v>
      </c>
      <c r="F440" s="136" t="str">
        <f>PROPER(TRIM(Sales_data!F440))</f>
        <v>Arjun Rao</v>
      </c>
      <c r="G440" s="30" t="s">
        <v>76</v>
      </c>
      <c r="H440" s="24" t="s">
        <v>87</v>
      </c>
      <c r="I440" s="24" t="s">
        <v>30</v>
      </c>
      <c r="J440" s="24" t="s">
        <v>31</v>
      </c>
      <c r="K440" s="24" t="s">
        <v>2109</v>
      </c>
      <c r="L440" s="24" t="s">
        <v>122</v>
      </c>
      <c r="M440" s="34" t="s">
        <v>227</v>
      </c>
      <c r="N440" s="37">
        <v>2</v>
      </c>
      <c r="O440" s="44">
        <v>15</v>
      </c>
      <c r="P440" s="35">
        <v>0.1</v>
      </c>
      <c r="Q440" s="34">
        <v>27</v>
      </c>
      <c r="R440" s="24">
        <v>2</v>
      </c>
      <c r="S440" s="24" t="s">
        <v>2149</v>
      </c>
      <c r="T440" s="24" t="s">
        <v>61</v>
      </c>
      <c r="U440" s="34" t="str">
        <f>Sales_data!T440</f>
        <v>arjun.rao@company.com</v>
      </c>
      <c r="V440" s="24">
        <v>9808476235</v>
      </c>
      <c r="W440" s="34" t="s">
        <v>2103</v>
      </c>
      <c r="X440" s="24">
        <v>12</v>
      </c>
      <c r="Y440" s="30" t="s">
        <v>2108</v>
      </c>
      <c r="Z440" s="29">
        <v>46320</v>
      </c>
      <c r="AA440" s="24" t="s">
        <v>2174</v>
      </c>
      <c r="AB440" s="24" t="s">
        <v>2160</v>
      </c>
      <c r="AC440" s="136" t="str">
        <f t="shared" si="12"/>
        <v>Arj007Hy</v>
      </c>
      <c r="AD440" s="136" t="str">
        <f t="shared" si="13"/>
        <v>arjun.rao@company.com</v>
      </c>
    </row>
    <row r="441" spans="1:30">
      <c r="A441" s="24" t="s">
        <v>1884</v>
      </c>
      <c r="B441" s="24" t="s">
        <v>83</v>
      </c>
      <c r="C441" s="24" t="s">
        <v>222</v>
      </c>
      <c r="D441" s="30">
        <v>46022</v>
      </c>
      <c r="E441" s="24" t="s">
        <v>1199</v>
      </c>
      <c r="F441" s="136" t="str">
        <f>PROPER(TRIM(Sales_data!F441))</f>
        <v>Arjun Rao</v>
      </c>
      <c r="G441" s="30" t="s">
        <v>76</v>
      </c>
      <c r="H441" s="24" t="s">
        <v>87</v>
      </c>
      <c r="I441" s="24" t="s">
        <v>30</v>
      </c>
      <c r="J441" s="24" t="s">
        <v>31</v>
      </c>
      <c r="K441" s="24" t="s">
        <v>2109</v>
      </c>
      <c r="L441" s="24" t="s">
        <v>122</v>
      </c>
      <c r="M441" s="34" t="s">
        <v>227</v>
      </c>
      <c r="N441" s="37">
        <v>14</v>
      </c>
      <c r="O441" s="44">
        <v>15</v>
      </c>
      <c r="P441" s="35">
        <v>0.2</v>
      </c>
      <c r="Q441" s="34">
        <v>168</v>
      </c>
      <c r="R441" s="24">
        <v>5</v>
      </c>
      <c r="S441" s="24" t="s">
        <v>34</v>
      </c>
      <c r="T441" s="24" t="s">
        <v>151</v>
      </c>
      <c r="U441" s="34" t="str">
        <f>Sales_data!T441</f>
        <v>arjun.rao@company.com</v>
      </c>
      <c r="V441" s="24">
        <v>9869056117</v>
      </c>
      <c r="W441" s="34" t="s">
        <v>2103</v>
      </c>
      <c r="X441" s="24">
        <v>12</v>
      </c>
      <c r="Y441" s="30" t="s">
        <v>2108</v>
      </c>
      <c r="Z441" s="29">
        <v>46392</v>
      </c>
      <c r="AA441" s="24" t="s">
        <v>2174</v>
      </c>
      <c r="AB441" s="24" t="s">
        <v>2108</v>
      </c>
      <c r="AC441" s="136" t="str">
        <f t="shared" si="12"/>
        <v>Arj007Hy</v>
      </c>
      <c r="AD441" s="136" t="str">
        <f t="shared" si="13"/>
        <v>arjun.rao@company.com</v>
      </c>
    </row>
    <row r="442" spans="1:30">
      <c r="A442" s="24" t="s">
        <v>1888</v>
      </c>
      <c r="B442" s="24" t="s">
        <v>327</v>
      </c>
      <c r="C442" s="24" t="s">
        <v>92</v>
      </c>
      <c r="D442" s="30">
        <v>45829</v>
      </c>
      <c r="E442" s="24" t="s">
        <v>193</v>
      </c>
      <c r="F442" s="136" t="str">
        <f>PROPER(TRIM(Sales_data!F442))</f>
        <v>Amit Sharma</v>
      </c>
      <c r="G442" s="30" t="s">
        <v>76</v>
      </c>
      <c r="H442" s="24" t="s">
        <v>331</v>
      </c>
      <c r="I442" s="24" t="s">
        <v>114</v>
      </c>
      <c r="J442" s="24" t="s">
        <v>106</v>
      </c>
      <c r="K442" s="24" t="s">
        <v>2109</v>
      </c>
      <c r="L442" s="24" t="s">
        <v>32</v>
      </c>
      <c r="M442" s="34" t="s">
        <v>97</v>
      </c>
      <c r="N442" s="37">
        <v>4</v>
      </c>
      <c r="O442" s="44">
        <v>2625</v>
      </c>
      <c r="P442" s="35">
        <v>0</v>
      </c>
      <c r="Q442" s="34">
        <v>10500</v>
      </c>
      <c r="R442" s="24">
        <v>2</v>
      </c>
      <c r="S442" s="24" t="s">
        <v>2149</v>
      </c>
      <c r="T442" s="24" t="s">
        <v>35</v>
      </c>
      <c r="U442" s="34" t="str">
        <f>Sales_data!T442</f>
        <v>amit.sharma@company.com</v>
      </c>
      <c r="V442" s="24">
        <v>9734229772</v>
      </c>
      <c r="W442" s="34" t="s">
        <v>2101</v>
      </c>
      <c r="X442" s="24">
        <v>6</v>
      </c>
      <c r="Y442" s="30" t="s">
        <v>2108</v>
      </c>
      <c r="Z442" s="29">
        <v>46016</v>
      </c>
      <c r="AA442" s="24" t="s">
        <v>2171</v>
      </c>
      <c r="AB442" s="24" t="s">
        <v>2160</v>
      </c>
      <c r="AC442" s="136" t="str">
        <f t="shared" si="12"/>
        <v>Ami001Pu</v>
      </c>
      <c r="AD442" s="136" t="str">
        <f t="shared" si="13"/>
        <v>amit.sharma@company.com</v>
      </c>
    </row>
    <row r="443" spans="1:30">
      <c r="A443" s="24" t="s">
        <v>1891</v>
      </c>
      <c r="B443" s="24" t="s">
        <v>83</v>
      </c>
      <c r="C443" s="24" t="s">
        <v>92</v>
      </c>
      <c r="D443" s="30">
        <v>45812</v>
      </c>
      <c r="E443" s="24" t="s">
        <v>1119</v>
      </c>
      <c r="F443" s="136" t="str">
        <f>PROPER(TRIM(Sales_data!F443))</f>
        <v>Arjun Rao</v>
      </c>
      <c r="G443" s="30" t="s">
        <v>76</v>
      </c>
      <c r="H443" s="24" t="s">
        <v>87</v>
      </c>
      <c r="I443" s="24" t="s">
        <v>30</v>
      </c>
      <c r="J443" s="24" t="s">
        <v>31</v>
      </c>
      <c r="K443" s="24" t="s">
        <v>2109</v>
      </c>
      <c r="L443" s="24" t="s">
        <v>32</v>
      </c>
      <c r="M443" s="34" t="s">
        <v>97</v>
      </c>
      <c r="N443" s="37">
        <v>9</v>
      </c>
      <c r="O443" s="44">
        <v>2625</v>
      </c>
      <c r="P443" s="35">
        <v>0.05</v>
      </c>
      <c r="Q443" s="34">
        <v>22443.75</v>
      </c>
      <c r="R443" s="24">
        <v>3</v>
      </c>
      <c r="S443" s="24" t="s">
        <v>79</v>
      </c>
      <c r="T443" s="24" t="s">
        <v>61</v>
      </c>
      <c r="U443" s="34" t="str">
        <f>Sales_data!T443</f>
        <v>arjun.rao@company.com</v>
      </c>
      <c r="V443" s="24">
        <v>9791617906</v>
      </c>
      <c r="W443" s="34" t="s">
        <v>2101</v>
      </c>
      <c r="X443" s="24">
        <v>6</v>
      </c>
      <c r="Y443" s="30" t="s">
        <v>2108</v>
      </c>
      <c r="Z443" s="29">
        <v>45996</v>
      </c>
      <c r="AA443" s="24" t="s">
        <v>2174</v>
      </c>
      <c r="AB443" s="24" t="s">
        <v>2108</v>
      </c>
      <c r="AC443" s="136" t="str">
        <f t="shared" si="12"/>
        <v>Arj007Hy</v>
      </c>
      <c r="AD443" s="136" t="str">
        <f t="shared" si="13"/>
        <v>arjun.rao@company.com</v>
      </c>
    </row>
    <row r="444" spans="1:30">
      <c r="A444" s="24" t="s">
        <v>1894</v>
      </c>
      <c r="B444" s="24" t="s">
        <v>127</v>
      </c>
      <c r="C444" s="24" t="s">
        <v>118</v>
      </c>
      <c r="D444" s="30">
        <v>45807</v>
      </c>
      <c r="E444" s="24" t="s">
        <v>1465</v>
      </c>
      <c r="F444" s="136" t="str">
        <f>PROPER(TRIM(Sales_data!F444))</f>
        <v>Rohit Singh</v>
      </c>
      <c r="G444" s="30" t="s">
        <v>76</v>
      </c>
      <c r="H444" s="24" t="s">
        <v>131</v>
      </c>
      <c r="I444" s="24" t="s">
        <v>44</v>
      </c>
      <c r="J444" s="24" t="s">
        <v>45</v>
      </c>
      <c r="K444" s="24" t="s">
        <v>2113</v>
      </c>
      <c r="L444" s="24" t="s">
        <v>122</v>
      </c>
      <c r="M444" s="34" t="s">
        <v>123</v>
      </c>
      <c r="N444" s="37">
        <v>9</v>
      </c>
      <c r="O444" s="44">
        <v>45</v>
      </c>
      <c r="P444" s="35">
        <v>0</v>
      </c>
      <c r="Q444" s="34">
        <v>405</v>
      </c>
      <c r="R444" s="24">
        <v>3</v>
      </c>
      <c r="S444" s="24" t="s">
        <v>2149</v>
      </c>
      <c r="T444" s="24" t="s">
        <v>35</v>
      </c>
      <c r="U444" s="34" t="str">
        <f>Sales_data!T444</f>
        <v>rohit.singh@company.com</v>
      </c>
      <c r="V444" s="24">
        <v>9286316823</v>
      </c>
      <c r="W444" s="34" t="s">
        <v>2102</v>
      </c>
      <c r="X444" s="24">
        <v>12</v>
      </c>
      <c r="Y444" s="30" t="s">
        <v>2112</v>
      </c>
      <c r="Z444" s="29">
        <v>46176</v>
      </c>
      <c r="AA444" s="24" t="s">
        <v>2176</v>
      </c>
      <c r="AB444" s="24" t="s">
        <v>2108</v>
      </c>
      <c r="AC444" s="136" t="str">
        <f t="shared" si="12"/>
        <v>Roh003De</v>
      </c>
      <c r="AD444" s="136" t="str">
        <f t="shared" si="13"/>
        <v>rohit.singh@company.com</v>
      </c>
    </row>
    <row r="445" spans="1:30">
      <c r="A445" s="24" t="s">
        <v>1897</v>
      </c>
      <c r="B445" s="24" t="s">
        <v>168</v>
      </c>
      <c r="C445" s="24" t="s">
        <v>72</v>
      </c>
      <c r="D445" s="30">
        <v>45779</v>
      </c>
      <c r="E445" s="24" t="s">
        <v>1263</v>
      </c>
      <c r="F445" s="136" t="str">
        <f>PROPER(TRIM(Sales_data!F445))</f>
        <v>Anita Gupta</v>
      </c>
      <c r="G445" s="30" t="s">
        <v>28</v>
      </c>
      <c r="H445" s="24" t="s">
        <v>173</v>
      </c>
      <c r="I445" s="24" t="s">
        <v>114</v>
      </c>
      <c r="J445" s="24" t="s">
        <v>106</v>
      </c>
      <c r="K445" s="24" t="s">
        <v>2111</v>
      </c>
      <c r="L445" s="24" t="s">
        <v>46</v>
      </c>
      <c r="M445" s="34" t="s">
        <v>78</v>
      </c>
      <c r="N445" s="37">
        <v>4</v>
      </c>
      <c r="O445" s="44">
        <v>900</v>
      </c>
      <c r="P445" s="35">
        <v>0</v>
      </c>
      <c r="Q445" s="34">
        <v>3600</v>
      </c>
      <c r="R445" s="24">
        <v>1</v>
      </c>
      <c r="S445" s="24" t="s">
        <v>2148</v>
      </c>
      <c r="T445" s="24" t="s">
        <v>61</v>
      </c>
      <c r="U445" s="34" t="str">
        <f>Sales_data!T445</f>
        <v>anita.gupta@company.com</v>
      </c>
      <c r="V445" s="24">
        <v>9810569252</v>
      </c>
      <c r="W445" s="34" t="s">
        <v>2100</v>
      </c>
      <c r="X445" s="24">
        <v>6</v>
      </c>
      <c r="Y445" s="30" t="s">
        <v>2112</v>
      </c>
      <c r="Z445" s="29">
        <v>45964</v>
      </c>
      <c r="AA445" s="24" t="s">
        <v>2177</v>
      </c>
      <c r="AB445" s="24" t="s">
        <v>2160</v>
      </c>
      <c r="AC445" s="136" t="str">
        <f t="shared" si="12"/>
        <v>Ani004Pu</v>
      </c>
      <c r="AD445" s="136" t="str">
        <f t="shared" si="13"/>
        <v>anita.gupta@company.com</v>
      </c>
    </row>
    <row r="446" spans="1:30">
      <c r="A446" s="24" t="s">
        <v>1901</v>
      </c>
      <c r="B446" s="24" t="s">
        <v>53</v>
      </c>
      <c r="C446" s="24" t="s">
        <v>54</v>
      </c>
      <c r="D446" s="30">
        <v>45691</v>
      </c>
      <c r="E446" s="24" t="s">
        <v>302</v>
      </c>
      <c r="F446" s="136" t="str">
        <f>PROPER(TRIM(Sales_data!F446))</f>
        <v>Pooja Shah</v>
      </c>
      <c r="G446" s="30" t="s">
        <v>28</v>
      </c>
      <c r="H446" s="24" t="s">
        <v>58</v>
      </c>
      <c r="I446" s="24" t="s">
        <v>59</v>
      </c>
      <c r="J446" s="24" t="s">
        <v>31</v>
      </c>
      <c r="K446" s="24" t="s">
        <v>2111</v>
      </c>
      <c r="L446" s="24" t="s">
        <v>46</v>
      </c>
      <c r="M446" s="34" t="s">
        <v>60</v>
      </c>
      <c r="N446" s="37">
        <v>10</v>
      </c>
      <c r="O446" s="44">
        <v>41250</v>
      </c>
      <c r="P446" s="35">
        <v>0.05</v>
      </c>
      <c r="Q446" s="34">
        <v>391875</v>
      </c>
      <c r="R446" s="24">
        <v>5</v>
      </c>
      <c r="S446" s="24" t="s">
        <v>2149</v>
      </c>
      <c r="T446" s="24" t="s">
        <v>115</v>
      </c>
      <c r="U446" s="34" t="str">
        <f>Sales_data!T446</f>
        <v>pooja.shah@company.com</v>
      </c>
      <c r="V446" s="24">
        <v>9771745925</v>
      </c>
      <c r="W446" s="34" t="s">
        <v>2100</v>
      </c>
      <c r="X446" s="24">
        <v>12</v>
      </c>
      <c r="Y446" s="30" t="s">
        <v>2108</v>
      </c>
      <c r="Z446" s="29">
        <v>46066</v>
      </c>
      <c r="AA446" s="24" t="s">
        <v>2172</v>
      </c>
      <c r="AB446" s="24" t="s">
        <v>2110</v>
      </c>
      <c r="AC446" s="136" t="str">
        <f t="shared" si="12"/>
        <v>Poo010Be</v>
      </c>
      <c r="AD446" s="136" t="str">
        <f t="shared" si="13"/>
        <v>pooja.shah@company.com</v>
      </c>
    </row>
    <row r="447" spans="1:30">
      <c r="A447" s="24" t="s">
        <v>1904</v>
      </c>
      <c r="B447" s="24" t="s">
        <v>221</v>
      </c>
      <c r="C447" s="24" t="s">
        <v>259</v>
      </c>
      <c r="D447" s="30">
        <v>45837</v>
      </c>
      <c r="E447" s="24" t="s">
        <v>881</v>
      </c>
      <c r="F447" s="136" t="str">
        <f>PROPER(TRIM(Sales_data!F447))</f>
        <v>Vikas Mehta</v>
      </c>
      <c r="G447" s="30" t="s">
        <v>76</v>
      </c>
      <c r="H447" s="24" t="s">
        <v>226</v>
      </c>
      <c r="I447" s="24" t="s">
        <v>105</v>
      </c>
      <c r="J447" s="24" t="s">
        <v>106</v>
      </c>
      <c r="K447" s="24" t="s">
        <v>2113</v>
      </c>
      <c r="L447" s="24" t="s">
        <v>122</v>
      </c>
      <c r="M447" s="34" t="s">
        <v>263</v>
      </c>
      <c r="N447" s="37">
        <v>20</v>
      </c>
      <c r="O447" s="44">
        <v>33.75</v>
      </c>
      <c r="P447" s="35">
        <v>0.15</v>
      </c>
      <c r="Q447" s="34">
        <v>573.75</v>
      </c>
      <c r="R447" s="24">
        <v>2</v>
      </c>
      <c r="S447" s="24" t="s">
        <v>79</v>
      </c>
      <c r="T447" s="24" t="s">
        <v>35</v>
      </c>
      <c r="U447" s="34" t="str">
        <f>Sales_data!T447</f>
        <v>vikas.mehta@company.com</v>
      </c>
      <c r="V447" s="24">
        <v>9820683063</v>
      </c>
      <c r="W447" s="34" t="s">
        <v>2100</v>
      </c>
      <c r="X447" s="24">
        <v>12</v>
      </c>
      <c r="Y447" s="30" t="s">
        <v>2112</v>
      </c>
      <c r="Z447" s="29">
        <v>46209</v>
      </c>
      <c r="AA447" s="24" t="s">
        <v>2171</v>
      </c>
      <c r="AB447" s="24" t="s">
        <v>2160</v>
      </c>
      <c r="AC447" s="136" t="str">
        <f t="shared" si="12"/>
        <v>Vik005Mu</v>
      </c>
      <c r="AD447" s="136" t="str">
        <f t="shared" si="13"/>
        <v>vikas.mehta@company.com</v>
      </c>
    </row>
    <row r="448" spans="1:30">
      <c r="A448" s="24" t="s">
        <v>1908</v>
      </c>
      <c r="B448" s="24" t="s">
        <v>23</v>
      </c>
      <c r="C448" s="24" t="s">
        <v>222</v>
      </c>
      <c r="D448" s="30">
        <v>46065</v>
      </c>
      <c r="E448" s="24" t="s">
        <v>170</v>
      </c>
      <c r="F448" s="136" t="str">
        <f>PROPER(TRIM(Sales_data!F448))</f>
        <v>Kavya Nair</v>
      </c>
      <c r="G448" s="30" t="s">
        <v>28</v>
      </c>
      <c r="H448" s="24" t="s">
        <v>29</v>
      </c>
      <c r="I448" s="24" t="s">
        <v>30</v>
      </c>
      <c r="J448" s="24" t="s">
        <v>31</v>
      </c>
      <c r="K448" s="24" t="s">
        <v>2111</v>
      </c>
      <c r="L448" s="24" t="s">
        <v>122</v>
      </c>
      <c r="M448" s="34" t="s">
        <v>227</v>
      </c>
      <c r="N448" s="37">
        <v>9</v>
      </c>
      <c r="O448" s="44">
        <v>15</v>
      </c>
      <c r="P448" s="35">
        <v>0.2</v>
      </c>
      <c r="Q448" s="34">
        <v>108</v>
      </c>
      <c r="R448" s="24">
        <v>3</v>
      </c>
      <c r="S448" s="24" t="s">
        <v>79</v>
      </c>
      <c r="T448" s="24" t="s">
        <v>61</v>
      </c>
      <c r="U448" s="34" t="str">
        <f>Sales_data!T448</f>
        <v>kavya.nair@company.com</v>
      </c>
      <c r="V448" s="24">
        <v>9292891941</v>
      </c>
      <c r="W448" s="34" t="s">
        <v>2103</v>
      </c>
      <c r="X448" s="24">
        <v>12</v>
      </c>
      <c r="Y448" s="30" t="s">
        <v>2108</v>
      </c>
      <c r="Z448" s="29">
        <v>46440</v>
      </c>
      <c r="AA448" s="24" t="s">
        <v>2171</v>
      </c>
      <c r="AB448" s="24" t="s">
        <v>2108</v>
      </c>
      <c r="AC448" s="136" t="str">
        <f t="shared" si="12"/>
        <v>Kav008Hy</v>
      </c>
      <c r="AD448" s="136" t="str">
        <f t="shared" si="13"/>
        <v>kavya.nair@company.com</v>
      </c>
    </row>
    <row r="449" spans="1:30">
      <c r="A449" s="24" t="s">
        <v>1911</v>
      </c>
      <c r="B449" s="24" t="s">
        <v>23</v>
      </c>
      <c r="C449" s="24" t="s">
        <v>54</v>
      </c>
      <c r="D449" s="30">
        <v>45719</v>
      </c>
      <c r="E449" s="24" t="s">
        <v>910</v>
      </c>
      <c r="F449" s="136" t="str">
        <f>PROPER(TRIM(Sales_data!F449))</f>
        <v>Kavya Nair</v>
      </c>
      <c r="G449" s="30" t="s">
        <v>28</v>
      </c>
      <c r="H449" s="24" t="s">
        <v>29</v>
      </c>
      <c r="I449" s="24" t="s">
        <v>30</v>
      </c>
      <c r="J449" s="24" t="s">
        <v>31</v>
      </c>
      <c r="K449" s="24" t="s">
        <v>2111</v>
      </c>
      <c r="L449" s="24" t="s">
        <v>46</v>
      </c>
      <c r="M449" s="34" t="s">
        <v>60</v>
      </c>
      <c r="N449" s="37">
        <v>8</v>
      </c>
      <c r="O449" s="44">
        <v>41250</v>
      </c>
      <c r="P449" s="35">
        <v>0</v>
      </c>
      <c r="Q449" s="34">
        <v>330000</v>
      </c>
      <c r="R449" s="24">
        <v>4</v>
      </c>
      <c r="S449" s="24" t="s">
        <v>34</v>
      </c>
      <c r="T449" s="24" t="s">
        <v>115</v>
      </c>
      <c r="U449" s="34" t="str">
        <f>Sales_data!T449</f>
        <v>kavya.nair@company.com</v>
      </c>
      <c r="V449" s="24">
        <v>9413789556</v>
      </c>
      <c r="W449" s="34" t="s">
        <v>2100</v>
      </c>
      <c r="X449" s="24">
        <v>12</v>
      </c>
      <c r="Y449" s="30" t="s">
        <v>2108</v>
      </c>
      <c r="Z449" s="29">
        <v>46095</v>
      </c>
      <c r="AA449" s="24" t="s">
        <v>2171</v>
      </c>
      <c r="AB449" s="24" t="s">
        <v>2110</v>
      </c>
      <c r="AC449" s="136" t="str">
        <f t="shared" si="12"/>
        <v>Kav008Hy</v>
      </c>
      <c r="AD449" s="136" t="str">
        <f t="shared" si="13"/>
        <v>kavya.nair@company.com</v>
      </c>
    </row>
    <row r="450" spans="1:30">
      <c r="A450" s="24" t="s">
        <v>1915</v>
      </c>
      <c r="B450" s="24" t="s">
        <v>327</v>
      </c>
      <c r="C450" s="24" t="s">
        <v>72</v>
      </c>
      <c r="D450" s="30">
        <v>46136</v>
      </c>
      <c r="E450" s="24" t="s">
        <v>1430</v>
      </c>
      <c r="F450" s="136" t="str">
        <f>PROPER(TRIM(Sales_data!F450))</f>
        <v>Amit Sharma</v>
      </c>
      <c r="G450" s="30" t="s">
        <v>76</v>
      </c>
      <c r="H450" s="24" t="s">
        <v>331</v>
      </c>
      <c r="I450" s="24" t="s">
        <v>114</v>
      </c>
      <c r="J450" s="24" t="s">
        <v>106</v>
      </c>
      <c r="K450" s="24" t="s">
        <v>2109</v>
      </c>
      <c r="L450" s="24" t="s">
        <v>46</v>
      </c>
      <c r="M450" s="34" t="s">
        <v>78</v>
      </c>
      <c r="N450" s="37">
        <v>4</v>
      </c>
      <c r="O450" s="44">
        <v>900</v>
      </c>
      <c r="P450" s="35">
        <v>0.1</v>
      </c>
      <c r="Q450" s="34">
        <v>3240</v>
      </c>
      <c r="R450" s="24">
        <v>4</v>
      </c>
      <c r="S450" s="24" t="s">
        <v>2149</v>
      </c>
      <c r="T450" s="24" t="s">
        <v>35</v>
      </c>
      <c r="U450" s="34" t="str">
        <f>Sales_data!T450</f>
        <v>amit.SHarma@company.com</v>
      </c>
      <c r="V450" s="24">
        <v>9876513858</v>
      </c>
      <c r="W450" s="34" t="s">
        <v>2100</v>
      </c>
      <c r="X450" s="24">
        <v>6</v>
      </c>
      <c r="Y450" s="30" t="s">
        <v>2108</v>
      </c>
      <c r="Z450" s="29">
        <v>46323</v>
      </c>
      <c r="AA450" s="24" t="s">
        <v>2171</v>
      </c>
      <c r="AB450" s="24" t="s">
        <v>2108</v>
      </c>
      <c r="AC450" s="136" t="str">
        <f t="shared" si="12"/>
        <v>Ami001Pu</v>
      </c>
      <c r="AD450" s="136" t="str">
        <f t="shared" si="13"/>
        <v>amit.sharma@company.com</v>
      </c>
    </row>
    <row r="451" spans="1:30">
      <c r="A451" s="24" t="s">
        <v>1920</v>
      </c>
      <c r="B451" s="24" t="s">
        <v>327</v>
      </c>
      <c r="C451" s="24" t="s">
        <v>169</v>
      </c>
      <c r="D451" s="30">
        <v>46145</v>
      </c>
      <c r="E451" s="24" t="s">
        <v>426</v>
      </c>
      <c r="F451" s="136" t="str">
        <f>PROPER(TRIM(Sales_data!F451))</f>
        <v>Amit Sharma</v>
      </c>
      <c r="G451" s="30" t="s">
        <v>76</v>
      </c>
      <c r="H451" s="24" t="s">
        <v>331</v>
      </c>
      <c r="I451" s="24" t="s">
        <v>114</v>
      </c>
      <c r="J451" s="24" t="s">
        <v>106</v>
      </c>
      <c r="K451" s="24" t="s">
        <v>2109</v>
      </c>
      <c r="L451" s="24" t="s">
        <v>32</v>
      </c>
      <c r="M451" s="34" t="s">
        <v>174</v>
      </c>
      <c r="N451" s="37">
        <v>14</v>
      </c>
      <c r="O451" s="44">
        <v>6375</v>
      </c>
      <c r="P451" s="35">
        <v>0.1</v>
      </c>
      <c r="Q451" s="34">
        <v>80325</v>
      </c>
      <c r="R451" s="24">
        <v>4</v>
      </c>
      <c r="S451" s="24" t="s">
        <v>34</v>
      </c>
      <c r="T451" s="24" t="s">
        <v>35</v>
      </c>
      <c r="U451" s="34" t="str">
        <f>Sales_data!T451</f>
        <v>amit.sharma@company.com</v>
      </c>
      <c r="V451" s="24">
        <v>9211936331</v>
      </c>
      <c r="W451" s="34" t="s">
        <v>2100</v>
      </c>
      <c r="X451" s="24">
        <v>24</v>
      </c>
      <c r="Y451" s="30" t="s">
        <v>2108</v>
      </c>
      <c r="Z451" s="29">
        <v>46886</v>
      </c>
      <c r="AA451" s="24" t="s">
        <v>2171</v>
      </c>
      <c r="AB451" s="24" t="s">
        <v>2112</v>
      </c>
      <c r="AC451" s="136" t="str">
        <f t="shared" ref="AC451:AC501" si="14">PROPER(LEFT(TRIM(F451), 3)) &amp; RIGHT(TRIM(B451), 3) &amp; PROPER(LEFT(TRIM(I451), 2))</f>
        <v>Ami001Pu</v>
      </c>
      <c r="AD451" s="136" t="str">
        <f t="shared" ref="AD451:AD501" si="15">IF(ISNUMBER(SEARCH("@", U451)), LOWER(TRIM(U451)), "Invalid Email")</f>
        <v>amit.sharma@company.com</v>
      </c>
    </row>
    <row r="452" spans="1:30">
      <c r="A452" s="24" t="s">
        <v>1923</v>
      </c>
      <c r="B452" s="24" t="s">
        <v>71</v>
      </c>
      <c r="C452" s="24" t="s">
        <v>259</v>
      </c>
      <c r="D452" s="30">
        <v>45807</v>
      </c>
      <c r="E452" s="24" t="s">
        <v>1924</v>
      </c>
      <c r="F452" s="136" t="str">
        <f>PROPER(TRIM(Sales_data!F452))</f>
        <v>Mohit Verma</v>
      </c>
      <c r="G452" s="30" t="s">
        <v>76</v>
      </c>
      <c r="H452" s="24" t="s">
        <v>77</v>
      </c>
      <c r="I452" s="24" t="s">
        <v>44</v>
      </c>
      <c r="J452" s="24" t="s">
        <v>45</v>
      </c>
      <c r="K452" s="24" t="s">
        <v>2114</v>
      </c>
      <c r="L452" s="24" t="s">
        <v>122</v>
      </c>
      <c r="M452" s="34" t="s">
        <v>263</v>
      </c>
      <c r="N452" s="37">
        <v>1</v>
      </c>
      <c r="O452" s="44">
        <v>33.75</v>
      </c>
      <c r="P452" s="35">
        <v>0</v>
      </c>
      <c r="Q452" s="34">
        <v>33.75</v>
      </c>
      <c r="R452" s="24">
        <v>3</v>
      </c>
      <c r="S452" s="24" t="s">
        <v>2149</v>
      </c>
      <c r="T452" s="24" t="s">
        <v>151</v>
      </c>
      <c r="U452" s="34" t="str">
        <f>Sales_data!T452</f>
        <v>mohit.verma@company.com</v>
      </c>
      <c r="V452" s="24">
        <v>9167291747</v>
      </c>
      <c r="W452" s="34" t="s">
        <v>2100</v>
      </c>
      <c r="X452" s="24">
        <v>12</v>
      </c>
      <c r="Y452" s="30" t="s">
        <v>2110</v>
      </c>
      <c r="Z452" s="29">
        <v>46180</v>
      </c>
      <c r="AA452" s="24" t="s">
        <v>2173</v>
      </c>
      <c r="AB452" s="24" t="s">
        <v>2108</v>
      </c>
      <c r="AC452" s="136" t="str">
        <f t="shared" si="14"/>
        <v>Moh009De</v>
      </c>
      <c r="AD452" s="136" t="str">
        <f t="shared" si="15"/>
        <v>mohit.verma@company.com</v>
      </c>
    </row>
    <row r="453" spans="1:30">
      <c r="A453" s="24" t="s">
        <v>1927</v>
      </c>
      <c r="B453" s="24" t="s">
        <v>71</v>
      </c>
      <c r="C453" s="24" t="s">
        <v>54</v>
      </c>
      <c r="D453" s="30">
        <v>45705</v>
      </c>
      <c r="E453" s="24" t="s">
        <v>1069</v>
      </c>
      <c r="F453" s="136" t="str">
        <f>PROPER(TRIM(Sales_data!F453))</f>
        <v>Mohit Verma</v>
      </c>
      <c r="G453" s="30" t="s">
        <v>76</v>
      </c>
      <c r="H453" s="24" t="s">
        <v>77</v>
      </c>
      <c r="I453" s="24" t="s">
        <v>44</v>
      </c>
      <c r="J453" s="24" t="s">
        <v>45</v>
      </c>
      <c r="K453" s="24" t="s">
        <v>2114</v>
      </c>
      <c r="L453" s="24" t="s">
        <v>46</v>
      </c>
      <c r="M453" s="34" t="s">
        <v>60</v>
      </c>
      <c r="N453" s="37">
        <v>16</v>
      </c>
      <c r="O453" s="44">
        <v>41250</v>
      </c>
      <c r="P453" s="35">
        <v>0.15</v>
      </c>
      <c r="Q453" s="34">
        <v>561000</v>
      </c>
      <c r="R453" s="24">
        <v>1</v>
      </c>
      <c r="S453" s="24" t="s">
        <v>79</v>
      </c>
      <c r="T453" s="24" t="s">
        <v>151</v>
      </c>
      <c r="U453" s="34" t="str">
        <f>Sales_data!T453</f>
        <v>mohit.verma@company.com</v>
      </c>
      <c r="V453" s="24">
        <v>9637283597</v>
      </c>
      <c r="W453" s="34" t="s">
        <v>2100</v>
      </c>
      <c r="X453" s="24">
        <v>12</v>
      </c>
      <c r="Y453" s="30" t="s">
        <v>2110</v>
      </c>
      <c r="Z453" s="29">
        <v>46081</v>
      </c>
      <c r="AA453" s="24" t="s">
        <v>2173</v>
      </c>
      <c r="AB453" s="24" t="s">
        <v>2160</v>
      </c>
      <c r="AC453" s="136" t="str">
        <f t="shared" si="14"/>
        <v>Moh009De</v>
      </c>
      <c r="AD453" s="136" t="str">
        <f t="shared" si="15"/>
        <v>mohit.verma@company.com</v>
      </c>
    </row>
    <row r="454" spans="1:30">
      <c r="A454" s="24" t="s">
        <v>1930</v>
      </c>
      <c r="B454" s="24" t="s">
        <v>53</v>
      </c>
      <c r="C454" s="24" t="s">
        <v>184</v>
      </c>
      <c r="D454" s="30">
        <v>46103</v>
      </c>
      <c r="E454" s="24" t="s">
        <v>1932</v>
      </c>
      <c r="F454" s="136" t="str">
        <f>PROPER(TRIM(Sales_data!F454))</f>
        <v>Pooja Shah</v>
      </c>
      <c r="G454" s="30" t="s">
        <v>28</v>
      </c>
      <c r="H454" s="24" t="s">
        <v>58</v>
      </c>
      <c r="I454" s="24" t="s">
        <v>59</v>
      </c>
      <c r="J454" s="24" t="s">
        <v>31</v>
      </c>
      <c r="K454" s="24" t="s">
        <v>2111</v>
      </c>
      <c r="L454" s="24" t="s">
        <v>46</v>
      </c>
      <c r="M454" s="34" t="s">
        <v>189</v>
      </c>
      <c r="N454" s="37">
        <v>8</v>
      </c>
      <c r="O454" s="44">
        <v>525</v>
      </c>
      <c r="P454" s="35">
        <v>0</v>
      </c>
      <c r="Q454" s="34">
        <v>4200</v>
      </c>
      <c r="R454" s="24">
        <v>3</v>
      </c>
      <c r="S454" s="24" t="s">
        <v>34</v>
      </c>
      <c r="T454" s="24" t="s">
        <v>49</v>
      </c>
      <c r="U454" s="34" t="str">
        <f>Sales_data!T454</f>
        <v>pooja.shah@company.com</v>
      </c>
      <c r="V454" s="24">
        <v>9514269002</v>
      </c>
      <c r="W454" s="34" t="s">
        <v>2100</v>
      </c>
      <c r="X454" s="24">
        <v>24</v>
      </c>
      <c r="Y454" s="30" t="s">
        <v>2108</v>
      </c>
      <c r="Z454" s="29">
        <v>46841</v>
      </c>
      <c r="AA454" s="24" t="s">
        <v>2172</v>
      </c>
      <c r="AB454" s="24" t="s">
        <v>2108</v>
      </c>
      <c r="AC454" s="136" t="str">
        <f t="shared" si="14"/>
        <v>Poo010Be</v>
      </c>
      <c r="AD454" s="136" t="str">
        <f t="shared" si="15"/>
        <v>pooja.shah@company.com</v>
      </c>
    </row>
    <row r="455" spans="1:30">
      <c r="A455" s="24" t="s">
        <v>1935</v>
      </c>
      <c r="B455" s="24" t="s">
        <v>251</v>
      </c>
      <c r="C455" s="24" t="s">
        <v>72</v>
      </c>
      <c r="D455" s="30">
        <v>46114</v>
      </c>
      <c r="E455" s="24" t="s">
        <v>1936</v>
      </c>
      <c r="F455" s="136" t="str">
        <f>PROPER(TRIM(Sales_data!F455))</f>
        <v>Sneha Joshi</v>
      </c>
      <c r="G455" s="30" t="s">
        <v>28</v>
      </c>
      <c r="H455" s="24" t="s">
        <v>255</v>
      </c>
      <c r="I455" s="24" t="s">
        <v>114</v>
      </c>
      <c r="J455" s="24" t="s">
        <v>106</v>
      </c>
      <c r="K455" s="24" t="s">
        <v>2111</v>
      </c>
      <c r="L455" s="24" t="s">
        <v>46</v>
      </c>
      <c r="M455" s="34" t="s">
        <v>78</v>
      </c>
      <c r="N455" s="37">
        <v>3</v>
      </c>
      <c r="O455" s="44">
        <v>900</v>
      </c>
      <c r="P455" s="35">
        <v>0</v>
      </c>
      <c r="Q455" s="34">
        <v>2700</v>
      </c>
      <c r="R455" s="24">
        <v>1</v>
      </c>
      <c r="S455" s="24" t="s">
        <v>79</v>
      </c>
      <c r="T455" s="24" t="s">
        <v>49</v>
      </c>
      <c r="U455" s="34" t="str">
        <f>Sales_data!T455</f>
        <v>sneha.joshi@company.com</v>
      </c>
      <c r="V455" s="24">
        <v>9778908233</v>
      </c>
      <c r="W455" s="34" t="s">
        <v>2100</v>
      </c>
      <c r="X455" s="24">
        <v>6</v>
      </c>
      <c r="Y455" s="30" t="s">
        <v>2112</v>
      </c>
      <c r="Z455" s="29">
        <v>46308</v>
      </c>
      <c r="AA455" s="24" t="s">
        <v>2173</v>
      </c>
      <c r="AB455" s="24" t="s">
        <v>2160</v>
      </c>
      <c r="AC455" s="136" t="str">
        <f t="shared" si="14"/>
        <v>Sne006Pu</v>
      </c>
      <c r="AD455" s="136" t="str">
        <f t="shared" si="15"/>
        <v>sneha.joshi@company.com</v>
      </c>
    </row>
    <row r="456" spans="1:30">
      <c r="A456" s="24" t="s">
        <v>1939</v>
      </c>
      <c r="B456" s="24" t="s">
        <v>71</v>
      </c>
      <c r="C456" s="24" t="s">
        <v>92</v>
      </c>
      <c r="D456" s="30">
        <v>45706</v>
      </c>
      <c r="E456" s="24" t="s">
        <v>387</v>
      </c>
      <c r="F456" s="136" t="str">
        <f>PROPER(TRIM(Sales_data!F456))</f>
        <v>Mohit Verma</v>
      </c>
      <c r="G456" s="30" t="s">
        <v>76</v>
      </c>
      <c r="H456" s="24" t="s">
        <v>77</v>
      </c>
      <c r="I456" s="24" t="s">
        <v>44</v>
      </c>
      <c r="J456" s="24" t="s">
        <v>45</v>
      </c>
      <c r="K456" s="24" t="s">
        <v>2114</v>
      </c>
      <c r="L456" s="24" t="s">
        <v>32</v>
      </c>
      <c r="M456" s="34" t="s">
        <v>97</v>
      </c>
      <c r="N456" s="37">
        <v>7</v>
      </c>
      <c r="O456" s="44">
        <v>2625</v>
      </c>
      <c r="P456" s="35">
        <v>0.15</v>
      </c>
      <c r="Q456" s="34">
        <v>15618.75</v>
      </c>
      <c r="R456" s="24">
        <v>4</v>
      </c>
      <c r="S456" s="24" t="s">
        <v>79</v>
      </c>
      <c r="T456" s="24" t="s">
        <v>61</v>
      </c>
      <c r="U456" s="34" t="str">
        <f>Sales_data!T456</f>
        <v>mohit.verma@company.com</v>
      </c>
      <c r="V456" s="24">
        <v>9981118755</v>
      </c>
      <c r="W456" s="34" t="s">
        <v>2101</v>
      </c>
      <c r="X456" s="24">
        <v>6</v>
      </c>
      <c r="Y456" s="30" t="s">
        <v>2110</v>
      </c>
      <c r="Z456" s="29">
        <v>45895</v>
      </c>
      <c r="AA456" s="24" t="s">
        <v>2173</v>
      </c>
      <c r="AB456" s="24" t="s">
        <v>2108</v>
      </c>
      <c r="AC456" s="136" t="str">
        <f t="shared" si="14"/>
        <v>Moh009De</v>
      </c>
      <c r="AD456" s="136" t="str">
        <f t="shared" si="15"/>
        <v>mohit.verma@company.com</v>
      </c>
    </row>
    <row r="457" spans="1:30">
      <c r="A457" s="24" t="s">
        <v>1942</v>
      </c>
      <c r="B457" s="24" t="s">
        <v>53</v>
      </c>
      <c r="C457" s="24" t="s">
        <v>54</v>
      </c>
      <c r="D457" s="30">
        <v>46110</v>
      </c>
      <c r="E457" s="24" t="s">
        <v>740</v>
      </c>
      <c r="F457" s="136" t="str">
        <f>PROPER(TRIM(Sales_data!F457))</f>
        <v>Pooja Shah</v>
      </c>
      <c r="G457" s="30" t="s">
        <v>28</v>
      </c>
      <c r="H457" s="24" t="s">
        <v>58</v>
      </c>
      <c r="I457" s="24" t="s">
        <v>59</v>
      </c>
      <c r="J457" s="24" t="s">
        <v>31</v>
      </c>
      <c r="K457" s="24" t="s">
        <v>2111</v>
      </c>
      <c r="L457" s="24" t="s">
        <v>46</v>
      </c>
      <c r="M457" s="34" t="s">
        <v>60</v>
      </c>
      <c r="N457" s="37">
        <v>9</v>
      </c>
      <c r="O457" s="44">
        <v>41250</v>
      </c>
      <c r="P457" s="35">
        <v>0.15</v>
      </c>
      <c r="Q457" s="34">
        <v>315562.5</v>
      </c>
      <c r="R457" s="24">
        <v>3</v>
      </c>
      <c r="S457" s="24" t="s">
        <v>2149</v>
      </c>
      <c r="T457" s="24" t="s">
        <v>35</v>
      </c>
      <c r="U457" s="34" t="str">
        <f>Sales_data!T457</f>
        <v>pooja.shah@company.com</v>
      </c>
      <c r="V457" s="24">
        <v>9887896743</v>
      </c>
      <c r="W457" s="34" t="s">
        <v>2100</v>
      </c>
      <c r="X457" s="24">
        <v>12</v>
      </c>
      <c r="Y457" s="30" t="s">
        <v>2108</v>
      </c>
      <c r="Z457" s="29">
        <v>46481</v>
      </c>
      <c r="AA457" s="24" t="s">
        <v>2172</v>
      </c>
      <c r="AB457" s="24" t="s">
        <v>2112</v>
      </c>
      <c r="AC457" s="136" t="str">
        <f t="shared" si="14"/>
        <v>Poo010Be</v>
      </c>
      <c r="AD457" s="136" t="str">
        <f t="shared" si="15"/>
        <v>pooja.shah@company.com</v>
      </c>
    </row>
    <row r="458" spans="1:30">
      <c r="A458" s="24" t="s">
        <v>1945</v>
      </c>
      <c r="B458" s="24" t="s">
        <v>327</v>
      </c>
      <c r="C458" s="24" t="s">
        <v>40</v>
      </c>
      <c r="D458" s="30">
        <v>45992</v>
      </c>
      <c r="E458" s="24" t="s">
        <v>918</v>
      </c>
      <c r="F458" s="136" t="str">
        <f>PROPER(TRIM(Sales_data!F458))</f>
        <v>Amit Sharma</v>
      </c>
      <c r="G458" s="30" t="s">
        <v>76</v>
      </c>
      <c r="H458" s="24" t="s">
        <v>331</v>
      </c>
      <c r="I458" s="24" t="s">
        <v>114</v>
      </c>
      <c r="J458" s="24" t="s">
        <v>106</v>
      </c>
      <c r="K458" s="24" t="s">
        <v>2109</v>
      </c>
      <c r="L458" s="24" t="s">
        <v>46</v>
      </c>
      <c r="M458" s="34" t="s">
        <v>47</v>
      </c>
      <c r="N458" s="37">
        <v>12</v>
      </c>
      <c r="O458" s="44">
        <v>9000</v>
      </c>
      <c r="P458" s="35">
        <v>0</v>
      </c>
      <c r="Q458" s="34">
        <v>108000</v>
      </c>
      <c r="R458" s="24">
        <v>3</v>
      </c>
      <c r="S458" s="24" t="s">
        <v>79</v>
      </c>
      <c r="T458" s="24" t="s">
        <v>151</v>
      </c>
      <c r="U458" s="34" t="str">
        <f>Sales_data!T458</f>
        <v>amit.sharma@company.com</v>
      </c>
      <c r="V458" s="24">
        <v>9585330043</v>
      </c>
      <c r="W458" s="34" t="s">
        <v>2101</v>
      </c>
      <c r="X458" s="24">
        <v>24</v>
      </c>
      <c r="Y458" s="30" t="s">
        <v>2108</v>
      </c>
      <c r="Z458" s="29">
        <v>46723</v>
      </c>
      <c r="AA458" s="24" t="s">
        <v>2171</v>
      </c>
      <c r="AB458" s="24" t="s">
        <v>2112</v>
      </c>
      <c r="AC458" s="136" t="str">
        <f t="shared" si="14"/>
        <v>Ami001Pu</v>
      </c>
      <c r="AD458" s="136" t="str">
        <f t="shared" si="15"/>
        <v>amit.sharma@company.com</v>
      </c>
    </row>
    <row r="459" spans="1:30">
      <c r="A459" s="24" t="s">
        <v>1948</v>
      </c>
      <c r="B459" s="24" t="s">
        <v>100</v>
      </c>
      <c r="C459" s="24" t="s">
        <v>118</v>
      </c>
      <c r="D459" s="30">
        <v>45781</v>
      </c>
      <c r="E459" s="24" t="s">
        <v>597</v>
      </c>
      <c r="F459" s="136" t="str">
        <f>PROPER(TRIM(Sales_data!F459))</f>
        <v>Priya Patel</v>
      </c>
      <c r="G459" s="30" t="s">
        <v>28</v>
      </c>
      <c r="H459" s="24" t="s">
        <v>104</v>
      </c>
      <c r="I459" s="24" t="s">
        <v>105</v>
      </c>
      <c r="J459" s="24" t="s">
        <v>106</v>
      </c>
      <c r="K459" s="24" t="s">
        <v>2111</v>
      </c>
      <c r="L459" s="24" t="s">
        <v>122</v>
      </c>
      <c r="M459" s="34" t="s">
        <v>123</v>
      </c>
      <c r="N459" s="37">
        <v>7</v>
      </c>
      <c r="O459" s="44">
        <v>45</v>
      </c>
      <c r="P459" s="35">
        <v>0.1</v>
      </c>
      <c r="Q459" s="34">
        <v>283.5</v>
      </c>
      <c r="R459" s="24">
        <v>4</v>
      </c>
      <c r="S459" s="24" t="s">
        <v>34</v>
      </c>
      <c r="T459" s="24" t="s">
        <v>49</v>
      </c>
      <c r="U459" s="34" t="str">
        <f>Sales_data!T459</f>
        <v>priya.patel@company.com</v>
      </c>
      <c r="V459" s="24">
        <v>9423719975</v>
      </c>
      <c r="W459" s="34" t="s">
        <v>2102</v>
      </c>
      <c r="X459" s="24">
        <v>12</v>
      </c>
      <c r="Y459" s="30" t="s">
        <v>2110</v>
      </c>
      <c r="Z459" s="29">
        <v>46153</v>
      </c>
      <c r="AA459" s="24" t="s">
        <v>2175</v>
      </c>
      <c r="AB459" s="24" t="s">
        <v>2108</v>
      </c>
      <c r="AC459" s="136" t="str">
        <f t="shared" si="14"/>
        <v>Pri002Mu</v>
      </c>
      <c r="AD459" s="136" t="str">
        <f t="shared" si="15"/>
        <v>priya.patel@company.com</v>
      </c>
    </row>
    <row r="460" spans="1:30">
      <c r="A460" s="24" t="s">
        <v>1951</v>
      </c>
      <c r="B460" s="24" t="s">
        <v>221</v>
      </c>
      <c r="C460" s="24" t="s">
        <v>24</v>
      </c>
      <c r="D460" s="30">
        <v>45892</v>
      </c>
      <c r="E460" s="24" t="s">
        <v>674</v>
      </c>
      <c r="F460" s="136" t="str">
        <f>PROPER(TRIM(Sales_data!F460))</f>
        <v>Vikas Mehta</v>
      </c>
      <c r="G460" s="30" t="s">
        <v>76</v>
      </c>
      <c r="H460" s="24" t="s">
        <v>226</v>
      </c>
      <c r="I460" s="24" t="s">
        <v>105</v>
      </c>
      <c r="J460" s="24" t="s">
        <v>106</v>
      </c>
      <c r="K460" s="24" t="s">
        <v>2113</v>
      </c>
      <c r="L460" s="24" t="s">
        <v>32</v>
      </c>
      <c r="M460" s="34" t="s">
        <v>33</v>
      </c>
      <c r="N460" s="37">
        <v>17</v>
      </c>
      <c r="O460" s="44">
        <v>1650</v>
      </c>
      <c r="P460" s="35">
        <v>0.15</v>
      </c>
      <c r="Q460" s="34">
        <v>23842.5</v>
      </c>
      <c r="R460" s="24">
        <v>3</v>
      </c>
      <c r="S460" s="24" t="s">
        <v>2149</v>
      </c>
      <c r="T460" s="24" t="s">
        <v>151</v>
      </c>
      <c r="U460" s="34" t="str">
        <f>Sales_data!T460</f>
        <v>vikas.mehta@company.com</v>
      </c>
      <c r="V460" s="24">
        <v>9270746961</v>
      </c>
      <c r="W460" s="34" t="s">
        <v>2101</v>
      </c>
      <c r="X460" s="24">
        <v>24</v>
      </c>
      <c r="Y460" s="30" t="s">
        <v>2112</v>
      </c>
      <c r="Z460" s="29">
        <v>46630</v>
      </c>
      <c r="AA460" s="24" t="s">
        <v>2171</v>
      </c>
      <c r="AB460" s="24" t="s">
        <v>2108</v>
      </c>
      <c r="AC460" s="136" t="str">
        <f t="shared" si="14"/>
        <v>Vik005Mu</v>
      </c>
      <c r="AD460" s="136" t="str">
        <f t="shared" si="15"/>
        <v>vikas.mehta@company.com</v>
      </c>
    </row>
    <row r="461" spans="1:30">
      <c r="A461" s="24" t="s">
        <v>1954</v>
      </c>
      <c r="B461" s="24" t="s">
        <v>327</v>
      </c>
      <c r="C461" s="24" t="s">
        <v>184</v>
      </c>
      <c r="D461" s="30">
        <v>45988</v>
      </c>
      <c r="E461" s="24" t="s">
        <v>1537</v>
      </c>
      <c r="F461" s="136" t="str">
        <f>PROPER(TRIM(Sales_data!F461))</f>
        <v>Amit Sharma</v>
      </c>
      <c r="G461" s="30" t="s">
        <v>76</v>
      </c>
      <c r="H461" s="24" t="s">
        <v>331</v>
      </c>
      <c r="I461" s="24" t="s">
        <v>114</v>
      </c>
      <c r="J461" s="24" t="s">
        <v>106</v>
      </c>
      <c r="K461" s="24" t="s">
        <v>2109</v>
      </c>
      <c r="L461" s="24" t="s">
        <v>46</v>
      </c>
      <c r="M461" s="34" t="s">
        <v>189</v>
      </c>
      <c r="N461" s="37">
        <v>17</v>
      </c>
      <c r="O461" s="44">
        <v>525</v>
      </c>
      <c r="P461" s="35">
        <v>0.1</v>
      </c>
      <c r="Q461" s="34">
        <v>8032.5</v>
      </c>
      <c r="R461" s="24">
        <v>2</v>
      </c>
      <c r="S461" s="24" t="s">
        <v>34</v>
      </c>
      <c r="T461" s="24" t="s">
        <v>61</v>
      </c>
      <c r="U461" s="34" t="str">
        <f>Sales_data!T461</f>
        <v>amit.sharma@company.com</v>
      </c>
      <c r="V461" s="24">
        <v>9333162025</v>
      </c>
      <c r="W461" s="34" t="s">
        <v>2100</v>
      </c>
      <c r="X461" s="24">
        <v>24</v>
      </c>
      <c r="Y461" s="30" t="s">
        <v>2108</v>
      </c>
      <c r="Z461" s="29">
        <v>46727</v>
      </c>
      <c r="AA461" s="24" t="s">
        <v>2171</v>
      </c>
      <c r="AB461" s="24" t="s">
        <v>2160</v>
      </c>
      <c r="AC461" s="136" t="str">
        <f t="shared" si="14"/>
        <v>Ami001Pu</v>
      </c>
      <c r="AD461" s="136" t="str">
        <f t="shared" si="15"/>
        <v>amit.sharma@company.com</v>
      </c>
    </row>
    <row r="462" spans="1:30">
      <c r="A462" s="24" t="s">
        <v>1957</v>
      </c>
      <c r="B462" s="24" t="s">
        <v>327</v>
      </c>
      <c r="C462" s="24" t="s">
        <v>54</v>
      </c>
      <c r="D462" s="30">
        <v>45806</v>
      </c>
      <c r="E462" s="24" t="s">
        <v>1188</v>
      </c>
      <c r="F462" s="136" t="str">
        <f>PROPER(TRIM(Sales_data!F462))</f>
        <v>Amit Sharma</v>
      </c>
      <c r="G462" s="30" t="s">
        <v>76</v>
      </c>
      <c r="H462" s="24" t="s">
        <v>331</v>
      </c>
      <c r="I462" s="24" t="s">
        <v>114</v>
      </c>
      <c r="J462" s="24" t="s">
        <v>106</v>
      </c>
      <c r="K462" s="24" t="s">
        <v>2109</v>
      </c>
      <c r="L462" s="24" t="s">
        <v>46</v>
      </c>
      <c r="M462" s="34" t="s">
        <v>60</v>
      </c>
      <c r="N462" s="37">
        <v>19</v>
      </c>
      <c r="O462" s="44">
        <v>41250</v>
      </c>
      <c r="P462" s="35">
        <v>0.2</v>
      </c>
      <c r="Q462" s="34">
        <v>627000</v>
      </c>
      <c r="R462" s="24">
        <v>5</v>
      </c>
      <c r="S462" s="24" t="s">
        <v>2148</v>
      </c>
      <c r="T462" s="24" t="s">
        <v>61</v>
      </c>
      <c r="U462" s="34" t="str">
        <f>Sales_data!T462</f>
        <v>amit.sharma@company.com</v>
      </c>
      <c r="V462" s="24">
        <v>9247023285</v>
      </c>
      <c r="W462" s="34" t="s">
        <v>2100</v>
      </c>
      <c r="X462" s="24">
        <v>12</v>
      </c>
      <c r="Y462" s="30" t="s">
        <v>2108</v>
      </c>
      <c r="Z462" s="29">
        <v>46174</v>
      </c>
      <c r="AA462" s="24" t="s">
        <v>2171</v>
      </c>
      <c r="AB462" s="24" t="s">
        <v>2112</v>
      </c>
      <c r="AC462" s="136" t="str">
        <f t="shared" si="14"/>
        <v>Ami001Pu</v>
      </c>
      <c r="AD462" s="136" t="str">
        <f t="shared" si="15"/>
        <v>amit.sharma@company.com</v>
      </c>
    </row>
    <row r="463" spans="1:30">
      <c r="A463" s="24" t="s">
        <v>1961</v>
      </c>
      <c r="B463" s="24" t="s">
        <v>127</v>
      </c>
      <c r="C463" s="24" t="s">
        <v>118</v>
      </c>
      <c r="D463" s="30">
        <v>45912</v>
      </c>
      <c r="E463" s="24" t="s">
        <v>128</v>
      </c>
      <c r="F463" s="136" t="str">
        <f>PROPER(TRIM(Sales_data!F463))</f>
        <v>Rohit Singh</v>
      </c>
      <c r="G463" s="30" t="s">
        <v>76</v>
      </c>
      <c r="H463" s="24" t="s">
        <v>131</v>
      </c>
      <c r="I463" s="24" t="s">
        <v>44</v>
      </c>
      <c r="J463" s="24" t="s">
        <v>45</v>
      </c>
      <c r="K463" s="24" t="s">
        <v>2113</v>
      </c>
      <c r="L463" s="24" t="s">
        <v>122</v>
      </c>
      <c r="M463" s="34" t="s">
        <v>123</v>
      </c>
      <c r="N463" s="37">
        <v>1</v>
      </c>
      <c r="O463" s="44">
        <v>45</v>
      </c>
      <c r="P463" s="35">
        <v>0.1</v>
      </c>
      <c r="Q463" s="34">
        <v>40.5</v>
      </c>
      <c r="R463" s="24">
        <v>4</v>
      </c>
      <c r="S463" s="24" t="s">
        <v>2148</v>
      </c>
      <c r="T463" s="24" t="s">
        <v>2145</v>
      </c>
      <c r="U463" s="34" t="str">
        <f>Sales_data!T463</f>
        <v>rohit.sinGh@company.com</v>
      </c>
      <c r="V463" s="24">
        <v>9448658297</v>
      </c>
      <c r="W463" s="34" t="s">
        <v>2102</v>
      </c>
      <c r="X463" s="24">
        <v>12</v>
      </c>
      <c r="Y463" s="30" t="s">
        <v>2112</v>
      </c>
      <c r="Z463" s="29">
        <v>46284</v>
      </c>
      <c r="AA463" s="24" t="s">
        <v>2176</v>
      </c>
      <c r="AB463" s="24" t="s">
        <v>2108</v>
      </c>
      <c r="AC463" s="136" t="str">
        <f t="shared" si="14"/>
        <v>Roh003De</v>
      </c>
      <c r="AD463" s="136" t="str">
        <f t="shared" si="15"/>
        <v>rohit.singh@company.com</v>
      </c>
    </row>
    <row r="464" spans="1:30">
      <c r="A464" s="24" t="s">
        <v>1965</v>
      </c>
      <c r="B464" s="24" t="s">
        <v>71</v>
      </c>
      <c r="C464" s="24" t="s">
        <v>92</v>
      </c>
      <c r="D464" s="30">
        <v>46085</v>
      </c>
      <c r="E464" s="24" t="s">
        <v>554</v>
      </c>
      <c r="F464" s="136" t="str">
        <f>PROPER(TRIM(Sales_data!F464))</f>
        <v>Mohit Verma</v>
      </c>
      <c r="G464" s="30" t="s">
        <v>76</v>
      </c>
      <c r="H464" s="24" t="s">
        <v>77</v>
      </c>
      <c r="I464" s="24" t="s">
        <v>44</v>
      </c>
      <c r="J464" s="24" t="s">
        <v>45</v>
      </c>
      <c r="K464" s="24" t="s">
        <v>2114</v>
      </c>
      <c r="L464" s="24" t="s">
        <v>32</v>
      </c>
      <c r="M464" s="34" t="s">
        <v>97</v>
      </c>
      <c r="N464" s="37">
        <v>16</v>
      </c>
      <c r="O464" s="44">
        <v>2625</v>
      </c>
      <c r="P464" s="35">
        <v>0</v>
      </c>
      <c r="Q464" s="34">
        <v>42000</v>
      </c>
      <c r="R464" s="24">
        <v>4</v>
      </c>
      <c r="S464" s="24" t="s">
        <v>2148</v>
      </c>
      <c r="T464" s="24" t="s">
        <v>35</v>
      </c>
      <c r="U464" s="34" t="str">
        <f>Sales_data!T464</f>
        <v>mohit.verma@company.com</v>
      </c>
      <c r="V464" s="24">
        <v>9906748486</v>
      </c>
      <c r="W464" s="34" t="s">
        <v>2101</v>
      </c>
      <c r="X464" s="24">
        <v>6</v>
      </c>
      <c r="Y464" s="30" t="s">
        <v>2110</v>
      </c>
      <c r="Z464" s="29">
        <v>46276</v>
      </c>
      <c r="AA464" s="24" t="s">
        <v>2173</v>
      </c>
      <c r="AB464" s="24" t="s">
        <v>2108</v>
      </c>
      <c r="AC464" s="136" t="str">
        <f t="shared" si="14"/>
        <v>Moh009De</v>
      </c>
      <c r="AD464" s="136" t="str">
        <f t="shared" si="15"/>
        <v>mohit.verma@company.com</v>
      </c>
    </row>
    <row r="465" spans="1:30">
      <c r="A465" s="24" t="s">
        <v>1968</v>
      </c>
      <c r="B465" s="24" t="s">
        <v>127</v>
      </c>
      <c r="C465" s="24" t="s">
        <v>222</v>
      </c>
      <c r="D465" s="30">
        <v>45681</v>
      </c>
      <c r="E465" s="24" t="s">
        <v>766</v>
      </c>
      <c r="F465" s="136" t="str">
        <f>PROPER(TRIM(Sales_data!F465))</f>
        <v>Rohit Singh</v>
      </c>
      <c r="G465" s="30" t="s">
        <v>76</v>
      </c>
      <c r="H465" s="24" t="s">
        <v>131</v>
      </c>
      <c r="I465" s="24" t="s">
        <v>44</v>
      </c>
      <c r="J465" s="24" t="s">
        <v>45</v>
      </c>
      <c r="K465" s="24" t="s">
        <v>2113</v>
      </c>
      <c r="L465" s="24" t="s">
        <v>122</v>
      </c>
      <c r="M465" s="34" t="s">
        <v>227</v>
      </c>
      <c r="N465" s="37">
        <v>14</v>
      </c>
      <c r="O465" s="44">
        <v>15</v>
      </c>
      <c r="P465" s="35">
        <v>0.1</v>
      </c>
      <c r="Q465" s="34">
        <v>189</v>
      </c>
      <c r="R465" s="24">
        <v>1</v>
      </c>
      <c r="S465" s="24" t="s">
        <v>2148</v>
      </c>
      <c r="T465" s="24" t="s">
        <v>61</v>
      </c>
      <c r="U465" s="34" t="str">
        <f>Sales_data!T465</f>
        <v>rohit.singh@company.com</v>
      </c>
      <c r="V465" s="24">
        <v>9365182725</v>
      </c>
      <c r="W465" s="34" t="s">
        <v>2103</v>
      </c>
      <c r="X465" s="24">
        <v>12</v>
      </c>
      <c r="Y465" s="30" t="s">
        <v>2112</v>
      </c>
      <c r="Z465" s="29">
        <v>46058</v>
      </c>
      <c r="AA465" s="24" t="s">
        <v>2176</v>
      </c>
      <c r="AB465" s="24" t="s">
        <v>2160</v>
      </c>
      <c r="AC465" s="136" t="str">
        <f t="shared" si="14"/>
        <v>Roh003De</v>
      </c>
      <c r="AD465" s="136" t="str">
        <f t="shared" si="15"/>
        <v>rohit.singh@company.com</v>
      </c>
    </row>
    <row r="466" spans="1:30">
      <c r="A466" s="24" t="s">
        <v>1970</v>
      </c>
      <c r="B466" s="24" t="s">
        <v>71</v>
      </c>
      <c r="C466" s="24" t="s">
        <v>24</v>
      </c>
      <c r="D466" s="30">
        <v>46004</v>
      </c>
      <c r="E466" s="24" t="s">
        <v>454</v>
      </c>
      <c r="F466" s="136" t="str">
        <f>PROPER(TRIM(Sales_data!F466))</f>
        <v>Mohit Verma</v>
      </c>
      <c r="G466" s="30" t="s">
        <v>76</v>
      </c>
      <c r="H466" s="24" t="s">
        <v>77</v>
      </c>
      <c r="I466" s="24" t="s">
        <v>44</v>
      </c>
      <c r="J466" s="24" t="s">
        <v>45</v>
      </c>
      <c r="K466" s="24" t="s">
        <v>2114</v>
      </c>
      <c r="L466" s="24" t="s">
        <v>32</v>
      </c>
      <c r="M466" s="34" t="s">
        <v>33</v>
      </c>
      <c r="N466" s="37">
        <v>11</v>
      </c>
      <c r="O466" s="44">
        <v>1650</v>
      </c>
      <c r="P466" s="35">
        <v>0.15</v>
      </c>
      <c r="Q466" s="34">
        <v>15427.5</v>
      </c>
      <c r="R466" s="24">
        <v>4</v>
      </c>
      <c r="S466" s="24" t="s">
        <v>2148</v>
      </c>
      <c r="T466" s="24" t="s">
        <v>49</v>
      </c>
      <c r="U466" s="34" t="str">
        <f>Sales_data!T466</f>
        <v>mohit.verma@company.com</v>
      </c>
      <c r="V466" s="24">
        <v>9937119494</v>
      </c>
      <c r="W466" s="34" t="s">
        <v>2101</v>
      </c>
      <c r="X466" s="24">
        <v>24</v>
      </c>
      <c r="Y466" s="30" t="s">
        <v>2110</v>
      </c>
      <c r="Z466" s="29">
        <v>46735</v>
      </c>
      <c r="AA466" s="24" t="s">
        <v>2173</v>
      </c>
      <c r="AB466" s="24" t="s">
        <v>2108</v>
      </c>
      <c r="AC466" s="136" t="str">
        <f t="shared" si="14"/>
        <v>Moh009De</v>
      </c>
      <c r="AD466" s="136" t="str">
        <f t="shared" si="15"/>
        <v>mohit.verma@company.com</v>
      </c>
    </row>
    <row r="467" spans="1:30">
      <c r="A467" s="24" t="s">
        <v>1973</v>
      </c>
      <c r="B467" s="24" t="s">
        <v>83</v>
      </c>
      <c r="C467" s="24" t="s">
        <v>54</v>
      </c>
      <c r="D467" s="30">
        <v>45870</v>
      </c>
      <c r="E467" s="24" t="s">
        <v>1282</v>
      </c>
      <c r="F467" s="136" t="str">
        <f>PROPER(TRIM(Sales_data!F467))</f>
        <v>Arjun Rao</v>
      </c>
      <c r="G467" s="30" t="s">
        <v>76</v>
      </c>
      <c r="H467" s="24" t="s">
        <v>87</v>
      </c>
      <c r="I467" s="24" t="s">
        <v>30</v>
      </c>
      <c r="J467" s="24" t="s">
        <v>31</v>
      </c>
      <c r="K467" s="24" t="s">
        <v>2109</v>
      </c>
      <c r="L467" s="24" t="s">
        <v>46</v>
      </c>
      <c r="M467" s="34" t="s">
        <v>60</v>
      </c>
      <c r="N467" s="37">
        <v>2</v>
      </c>
      <c r="O467" s="44">
        <v>41250</v>
      </c>
      <c r="P467" s="35">
        <v>0</v>
      </c>
      <c r="Q467" s="34">
        <v>82500</v>
      </c>
      <c r="R467" s="24">
        <v>4</v>
      </c>
      <c r="S467" s="24" t="s">
        <v>2148</v>
      </c>
      <c r="T467" s="24" t="s">
        <v>49</v>
      </c>
      <c r="U467" s="34" t="str">
        <f>Sales_data!T467</f>
        <v>arjun.rao@company.com</v>
      </c>
      <c r="V467" s="24">
        <v>9828015293</v>
      </c>
      <c r="W467" s="34" t="s">
        <v>2100</v>
      </c>
      <c r="X467" s="24">
        <v>12</v>
      </c>
      <c r="Y467" s="30" t="s">
        <v>2108</v>
      </c>
      <c r="Z467" s="29">
        <v>46243</v>
      </c>
      <c r="AA467" s="24" t="s">
        <v>2174</v>
      </c>
      <c r="AB467" s="24" t="s">
        <v>2112</v>
      </c>
      <c r="AC467" s="136" t="str">
        <f t="shared" si="14"/>
        <v>Arj007Hy</v>
      </c>
      <c r="AD467" s="136" t="str">
        <f t="shared" si="15"/>
        <v>arjun.rao@company.com</v>
      </c>
    </row>
    <row r="468" spans="1:30">
      <c r="A468" s="24" t="s">
        <v>1976</v>
      </c>
      <c r="B468" s="24" t="s">
        <v>53</v>
      </c>
      <c r="C468" s="24" t="s">
        <v>24</v>
      </c>
      <c r="D468" s="30">
        <v>45658</v>
      </c>
      <c r="E468" s="24" t="s">
        <v>513</v>
      </c>
      <c r="F468" s="136" t="str">
        <f>PROPER(TRIM(Sales_data!F468))</f>
        <v>Pooja Shah</v>
      </c>
      <c r="G468" s="30" t="s">
        <v>28</v>
      </c>
      <c r="H468" s="24" t="s">
        <v>58</v>
      </c>
      <c r="I468" s="24" t="s">
        <v>59</v>
      </c>
      <c r="J468" s="24" t="s">
        <v>31</v>
      </c>
      <c r="K468" s="24" t="s">
        <v>2111</v>
      </c>
      <c r="L468" s="24" t="s">
        <v>32</v>
      </c>
      <c r="M468" s="34" t="s">
        <v>33</v>
      </c>
      <c r="N468" s="37">
        <v>7</v>
      </c>
      <c r="O468" s="44">
        <v>1650</v>
      </c>
      <c r="P468" s="35">
        <v>0.05</v>
      </c>
      <c r="Q468" s="34">
        <v>10972.5</v>
      </c>
      <c r="R468" s="24">
        <v>4</v>
      </c>
      <c r="S468" s="24" t="s">
        <v>79</v>
      </c>
      <c r="T468" s="24" t="s">
        <v>115</v>
      </c>
      <c r="U468" s="34" t="str">
        <f>Sales_data!T468</f>
        <v>pooja.shah@company.com</v>
      </c>
      <c r="V468" s="24">
        <v>9864206250</v>
      </c>
      <c r="W468" s="34" t="s">
        <v>2101</v>
      </c>
      <c r="X468" s="24">
        <v>24</v>
      </c>
      <c r="Y468" s="30" t="s">
        <v>2108</v>
      </c>
      <c r="Z468" s="29">
        <v>46394</v>
      </c>
      <c r="AA468" s="24" t="s">
        <v>2172</v>
      </c>
      <c r="AB468" s="24" t="s">
        <v>2108</v>
      </c>
      <c r="AC468" s="136" t="str">
        <f t="shared" si="14"/>
        <v>Poo010Be</v>
      </c>
      <c r="AD468" s="136" t="str">
        <f t="shared" si="15"/>
        <v>pooja.shah@company.com</v>
      </c>
    </row>
    <row r="469" spans="1:30">
      <c r="A469" s="24" t="s">
        <v>1979</v>
      </c>
      <c r="B469" s="24" t="s">
        <v>23</v>
      </c>
      <c r="C469" s="24" t="s">
        <v>259</v>
      </c>
      <c r="D469" s="30">
        <v>45755</v>
      </c>
      <c r="E469" s="24" t="s">
        <v>577</v>
      </c>
      <c r="F469" s="136" t="str">
        <f>PROPER(TRIM(Sales_data!F469))</f>
        <v>Kavya Nair</v>
      </c>
      <c r="G469" s="30" t="s">
        <v>28</v>
      </c>
      <c r="H469" s="24" t="s">
        <v>29</v>
      </c>
      <c r="I469" s="24" t="s">
        <v>30</v>
      </c>
      <c r="J469" s="24" t="s">
        <v>31</v>
      </c>
      <c r="K469" s="24" t="s">
        <v>2111</v>
      </c>
      <c r="L469" s="24" t="s">
        <v>122</v>
      </c>
      <c r="M469" s="34" t="s">
        <v>263</v>
      </c>
      <c r="N469" s="37">
        <v>11</v>
      </c>
      <c r="O469" s="44">
        <v>33.75</v>
      </c>
      <c r="P469" s="35">
        <v>0.15</v>
      </c>
      <c r="Q469" s="34">
        <v>315.5625</v>
      </c>
      <c r="R469" s="24">
        <v>4</v>
      </c>
      <c r="S469" s="24" t="s">
        <v>79</v>
      </c>
      <c r="T469" s="24" t="s">
        <v>61</v>
      </c>
      <c r="U469" s="34" t="str">
        <f>Sales_data!T469</f>
        <v>kavya.nair@company.com</v>
      </c>
      <c r="V469" s="24">
        <v>9519293104</v>
      </c>
      <c r="W469" s="34" t="s">
        <v>2100</v>
      </c>
      <c r="X469" s="24">
        <v>12</v>
      </c>
      <c r="Y469" s="30" t="s">
        <v>2108</v>
      </c>
      <c r="Z469" s="29">
        <v>46124</v>
      </c>
      <c r="AA469" s="24" t="s">
        <v>2171</v>
      </c>
      <c r="AB469" s="24" t="s">
        <v>2108</v>
      </c>
      <c r="AC469" s="136" t="str">
        <f t="shared" si="14"/>
        <v>Kav008Hy</v>
      </c>
      <c r="AD469" s="136" t="str">
        <f t="shared" si="15"/>
        <v>kavya.nair@company.com</v>
      </c>
    </row>
    <row r="470" spans="1:30">
      <c r="A470" s="24" t="s">
        <v>1982</v>
      </c>
      <c r="B470" s="24" t="s">
        <v>100</v>
      </c>
      <c r="C470" s="24" t="s">
        <v>118</v>
      </c>
      <c r="D470" s="30">
        <v>45767</v>
      </c>
      <c r="E470" s="24" t="s">
        <v>210</v>
      </c>
      <c r="F470" s="136" t="str">
        <f>PROPER(TRIM(Sales_data!F470))</f>
        <v>Priya Patel</v>
      </c>
      <c r="G470" s="30" t="s">
        <v>28</v>
      </c>
      <c r="H470" s="24" t="s">
        <v>104</v>
      </c>
      <c r="I470" s="24" t="s">
        <v>105</v>
      </c>
      <c r="J470" s="24" t="s">
        <v>106</v>
      </c>
      <c r="K470" s="24" t="s">
        <v>2111</v>
      </c>
      <c r="L470" s="24" t="s">
        <v>122</v>
      </c>
      <c r="M470" s="34" t="s">
        <v>123</v>
      </c>
      <c r="N470" s="37">
        <v>16</v>
      </c>
      <c r="O470" s="44">
        <v>45</v>
      </c>
      <c r="P470" s="35">
        <v>0.05</v>
      </c>
      <c r="Q470" s="34">
        <v>684</v>
      </c>
      <c r="R470" s="24">
        <v>2</v>
      </c>
      <c r="S470" s="24" t="s">
        <v>34</v>
      </c>
      <c r="T470" s="24" t="s">
        <v>115</v>
      </c>
      <c r="U470" s="34" t="str">
        <f>Sales_data!T470</f>
        <v>priya.patel@company.com</v>
      </c>
      <c r="V470" s="24">
        <v>9296075245</v>
      </c>
      <c r="W470" s="34" t="s">
        <v>2102</v>
      </c>
      <c r="X470" s="24">
        <v>12</v>
      </c>
      <c r="Y470" s="30" t="s">
        <v>2110</v>
      </c>
      <c r="Z470" s="29">
        <v>46142</v>
      </c>
      <c r="AA470" s="24" t="s">
        <v>2175</v>
      </c>
      <c r="AB470" s="24" t="s">
        <v>2160</v>
      </c>
      <c r="AC470" s="136" t="str">
        <f t="shared" si="14"/>
        <v>Pri002Mu</v>
      </c>
      <c r="AD470" s="136" t="str">
        <f t="shared" si="15"/>
        <v>priya.patel@company.com</v>
      </c>
    </row>
    <row r="471" spans="1:30">
      <c r="A471" s="24" t="s">
        <v>1985</v>
      </c>
      <c r="B471" s="24" t="s">
        <v>327</v>
      </c>
      <c r="C471" s="24" t="s">
        <v>54</v>
      </c>
      <c r="D471" s="30">
        <v>45963</v>
      </c>
      <c r="E471" s="24" t="s">
        <v>864</v>
      </c>
      <c r="F471" s="136" t="str">
        <f>PROPER(TRIM(Sales_data!F471))</f>
        <v>Amit Sharma</v>
      </c>
      <c r="G471" s="30" t="s">
        <v>76</v>
      </c>
      <c r="H471" s="24" t="s">
        <v>331</v>
      </c>
      <c r="I471" s="24" t="s">
        <v>114</v>
      </c>
      <c r="J471" s="24" t="s">
        <v>106</v>
      </c>
      <c r="K471" s="24" t="s">
        <v>2109</v>
      </c>
      <c r="L471" s="24" t="s">
        <v>46</v>
      </c>
      <c r="M471" s="34" t="s">
        <v>60</v>
      </c>
      <c r="N471" s="37">
        <v>18</v>
      </c>
      <c r="O471" s="44">
        <v>41250</v>
      </c>
      <c r="P471" s="35">
        <v>0</v>
      </c>
      <c r="Q471" s="34">
        <v>742500</v>
      </c>
      <c r="R471" s="24">
        <v>5</v>
      </c>
      <c r="S471" s="24" t="s">
        <v>2148</v>
      </c>
      <c r="T471" s="24" t="s">
        <v>49</v>
      </c>
      <c r="U471" s="34" t="str">
        <f>Sales_data!T471</f>
        <v>amit.sharma@company.com</v>
      </c>
      <c r="V471" s="24">
        <v>9316770206</v>
      </c>
      <c r="W471" s="34" t="s">
        <v>2100</v>
      </c>
      <c r="X471" s="24">
        <v>12</v>
      </c>
      <c r="Y471" s="30" t="s">
        <v>2108</v>
      </c>
      <c r="Z471" s="29">
        <v>46330</v>
      </c>
      <c r="AA471" s="24" t="s">
        <v>2171</v>
      </c>
      <c r="AB471" s="24" t="s">
        <v>2110</v>
      </c>
      <c r="AC471" s="136" t="str">
        <f t="shared" si="14"/>
        <v>Ami001Pu</v>
      </c>
      <c r="AD471" s="136" t="str">
        <f t="shared" si="15"/>
        <v>amit.sharma@company.com</v>
      </c>
    </row>
    <row r="472" spans="1:30">
      <c r="A472" s="24" t="s">
        <v>1988</v>
      </c>
      <c r="B472" s="24" t="s">
        <v>23</v>
      </c>
      <c r="C472" s="24" t="s">
        <v>72</v>
      </c>
      <c r="D472" s="30">
        <v>45948</v>
      </c>
      <c r="E472" s="24" t="s">
        <v>1880</v>
      </c>
      <c r="F472" s="136" t="str">
        <f>PROPER(TRIM(Sales_data!F472))</f>
        <v>Kavya Nair</v>
      </c>
      <c r="G472" s="30" t="s">
        <v>28</v>
      </c>
      <c r="H472" s="24" t="s">
        <v>29</v>
      </c>
      <c r="I472" s="24" t="s">
        <v>30</v>
      </c>
      <c r="J472" s="24" t="s">
        <v>31</v>
      </c>
      <c r="K472" s="24" t="s">
        <v>2111</v>
      </c>
      <c r="L472" s="24" t="s">
        <v>46</v>
      </c>
      <c r="M472" s="34" t="s">
        <v>78</v>
      </c>
      <c r="N472" s="37">
        <v>17</v>
      </c>
      <c r="O472" s="44">
        <v>900</v>
      </c>
      <c r="P472" s="35">
        <v>0.05</v>
      </c>
      <c r="Q472" s="34">
        <v>14535</v>
      </c>
      <c r="R472" s="24">
        <v>1</v>
      </c>
      <c r="S472" s="24" t="s">
        <v>2148</v>
      </c>
      <c r="T472" s="24" t="s">
        <v>35</v>
      </c>
      <c r="U472" s="34" t="str">
        <f>Sales_data!T472</f>
        <v>kavya.nair@company.com</v>
      </c>
      <c r="V472" s="24">
        <v>9706553861</v>
      </c>
      <c r="W472" s="34" t="s">
        <v>2100</v>
      </c>
      <c r="X472" s="24">
        <v>6</v>
      </c>
      <c r="Y472" s="30" t="s">
        <v>2108</v>
      </c>
      <c r="Z472" s="29">
        <v>46134</v>
      </c>
      <c r="AA472" s="24" t="s">
        <v>2171</v>
      </c>
      <c r="AB472" s="24" t="s">
        <v>2160</v>
      </c>
      <c r="AC472" s="136" t="str">
        <f t="shared" si="14"/>
        <v>Kav008Hy</v>
      </c>
      <c r="AD472" s="136" t="str">
        <f t="shared" si="15"/>
        <v>kavya.nair@company.com</v>
      </c>
    </row>
    <row r="473" spans="1:30">
      <c r="A473" s="24" t="s">
        <v>1992</v>
      </c>
      <c r="B473" s="24" t="s">
        <v>53</v>
      </c>
      <c r="C473" s="24" t="s">
        <v>54</v>
      </c>
      <c r="D473" s="30">
        <v>45774</v>
      </c>
      <c r="E473" s="24" t="s">
        <v>199</v>
      </c>
      <c r="F473" s="136" t="str">
        <f>PROPER(TRIM(Sales_data!F473))</f>
        <v>Pooja Shah</v>
      </c>
      <c r="G473" s="30" t="s">
        <v>28</v>
      </c>
      <c r="H473" s="24" t="s">
        <v>58</v>
      </c>
      <c r="I473" s="24" t="s">
        <v>59</v>
      </c>
      <c r="J473" s="24" t="s">
        <v>31</v>
      </c>
      <c r="K473" s="24" t="s">
        <v>2111</v>
      </c>
      <c r="L473" s="24" t="s">
        <v>46</v>
      </c>
      <c r="M473" s="34" t="s">
        <v>60</v>
      </c>
      <c r="N473" s="37">
        <v>11</v>
      </c>
      <c r="O473" s="44">
        <v>41250</v>
      </c>
      <c r="P473" s="35">
        <v>0</v>
      </c>
      <c r="Q473" s="34">
        <v>453750</v>
      </c>
      <c r="R473" s="24">
        <v>2</v>
      </c>
      <c r="S473" s="24" t="s">
        <v>34</v>
      </c>
      <c r="T473" s="24" t="s">
        <v>61</v>
      </c>
      <c r="U473" s="34" t="str">
        <f>Sales_data!T473</f>
        <v>pooja.shah@company.com</v>
      </c>
      <c r="V473" s="24">
        <v>9524904662</v>
      </c>
      <c r="W473" s="34" t="s">
        <v>2100</v>
      </c>
      <c r="X473" s="24">
        <v>12</v>
      </c>
      <c r="Y473" s="30" t="s">
        <v>2108</v>
      </c>
      <c r="Z473" s="29">
        <v>46147</v>
      </c>
      <c r="AA473" s="24" t="s">
        <v>2172</v>
      </c>
      <c r="AB473" s="24" t="s">
        <v>2160</v>
      </c>
      <c r="AC473" s="136" t="str">
        <f t="shared" si="14"/>
        <v>Poo010Be</v>
      </c>
      <c r="AD473" s="136" t="str">
        <f t="shared" si="15"/>
        <v>pooja.shah@company.com</v>
      </c>
    </row>
    <row r="474" spans="1:30">
      <c r="A474" s="24" t="s">
        <v>1995</v>
      </c>
      <c r="B474" s="24" t="s">
        <v>251</v>
      </c>
      <c r="C474" s="24" t="s">
        <v>184</v>
      </c>
      <c r="D474" s="30">
        <v>45799</v>
      </c>
      <c r="E474" s="24" t="s">
        <v>678</v>
      </c>
      <c r="F474" s="136" t="str">
        <f>PROPER(TRIM(Sales_data!F474))</f>
        <v>Sneha Joshi</v>
      </c>
      <c r="G474" s="30" t="s">
        <v>28</v>
      </c>
      <c r="H474" s="24" t="s">
        <v>255</v>
      </c>
      <c r="I474" s="24" t="s">
        <v>114</v>
      </c>
      <c r="J474" s="24" t="s">
        <v>106</v>
      </c>
      <c r="K474" s="24" t="s">
        <v>2111</v>
      </c>
      <c r="L474" s="24" t="s">
        <v>46</v>
      </c>
      <c r="M474" s="34" t="s">
        <v>189</v>
      </c>
      <c r="N474" s="37">
        <v>20</v>
      </c>
      <c r="O474" s="44">
        <v>525</v>
      </c>
      <c r="P474" s="35">
        <v>0.2</v>
      </c>
      <c r="Q474" s="34">
        <v>8400</v>
      </c>
      <c r="R474" s="24">
        <v>5</v>
      </c>
      <c r="S474" s="24" t="s">
        <v>2148</v>
      </c>
      <c r="T474" s="24" t="s">
        <v>61</v>
      </c>
      <c r="U474" s="34" t="str">
        <f>Sales_data!T474</f>
        <v>sneha.joshi@company.com</v>
      </c>
      <c r="V474" s="24">
        <v>9577624596</v>
      </c>
      <c r="W474" s="34" t="s">
        <v>2100</v>
      </c>
      <c r="X474" s="24">
        <v>24</v>
      </c>
      <c r="Y474" s="30" t="s">
        <v>2112</v>
      </c>
      <c r="Z474" s="29">
        <v>46538</v>
      </c>
      <c r="AA474" s="24" t="s">
        <v>2173</v>
      </c>
      <c r="AB474" s="24" t="s">
        <v>2108</v>
      </c>
      <c r="AC474" s="136" t="str">
        <f t="shared" si="14"/>
        <v>Sne006Pu</v>
      </c>
      <c r="AD474" s="136" t="str">
        <f t="shared" si="15"/>
        <v>sneha.joshi@company.com</v>
      </c>
    </row>
    <row r="475" spans="1:30">
      <c r="A475" s="24" t="s">
        <v>1998</v>
      </c>
      <c r="B475" s="24" t="s">
        <v>71</v>
      </c>
      <c r="C475" s="24" t="s">
        <v>222</v>
      </c>
      <c r="D475" s="30">
        <v>46050</v>
      </c>
      <c r="E475" s="24" t="s">
        <v>322</v>
      </c>
      <c r="F475" s="136" t="str">
        <f>PROPER(TRIM(Sales_data!F475))</f>
        <v>Mohit Verma</v>
      </c>
      <c r="G475" s="30" t="s">
        <v>76</v>
      </c>
      <c r="H475" s="24" t="s">
        <v>77</v>
      </c>
      <c r="I475" s="24" t="s">
        <v>44</v>
      </c>
      <c r="J475" s="24" t="s">
        <v>45</v>
      </c>
      <c r="K475" s="24" t="s">
        <v>2114</v>
      </c>
      <c r="L475" s="24" t="s">
        <v>122</v>
      </c>
      <c r="M475" s="34" t="s">
        <v>227</v>
      </c>
      <c r="N475" s="37">
        <v>5</v>
      </c>
      <c r="O475" s="44">
        <v>15</v>
      </c>
      <c r="P475" s="35">
        <v>0.05</v>
      </c>
      <c r="Q475" s="34">
        <v>71.25</v>
      </c>
      <c r="R475" s="24">
        <v>4</v>
      </c>
      <c r="S475" s="24" t="s">
        <v>34</v>
      </c>
      <c r="T475" s="24" t="s">
        <v>49</v>
      </c>
      <c r="U475" s="34" t="str">
        <f>Sales_data!T475</f>
        <v>mohit.verma@company.com</v>
      </c>
      <c r="V475" s="24">
        <v>9898452436</v>
      </c>
      <c r="W475" s="34" t="s">
        <v>2103</v>
      </c>
      <c r="X475" s="24">
        <v>12</v>
      </c>
      <c r="Y475" s="30" t="s">
        <v>2110</v>
      </c>
      <c r="Z475" s="29">
        <v>46426</v>
      </c>
      <c r="AA475" s="24" t="s">
        <v>2173</v>
      </c>
      <c r="AB475" s="24" t="s">
        <v>2108</v>
      </c>
      <c r="AC475" s="136" t="str">
        <f t="shared" si="14"/>
        <v>Moh009De</v>
      </c>
      <c r="AD475" s="136" t="str">
        <f t="shared" si="15"/>
        <v>mohit.verma@company.com</v>
      </c>
    </row>
    <row r="476" spans="1:30">
      <c r="A476" s="24" t="s">
        <v>2001</v>
      </c>
      <c r="B476" s="24" t="s">
        <v>327</v>
      </c>
      <c r="C476" s="24" t="s">
        <v>54</v>
      </c>
      <c r="D476" s="30">
        <v>45692</v>
      </c>
      <c r="E476" s="24" t="s">
        <v>1373</v>
      </c>
      <c r="F476" s="136" t="str">
        <f>PROPER(TRIM(Sales_data!F476))</f>
        <v>Amit Sharma</v>
      </c>
      <c r="G476" s="30" t="s">
        <v>76</v>
      </c>
      <c r="H476" s="24" t="s">
        <v>331</v>
      </c>
      <c r="I476" s="24" t="s">
        <v>114</v>
      </c>
      <c r="J476" s="24" t="s">
        <v>106</v>
      </c>
      <c r="K476" s="24" t="s">
        <v>2109</v>
      </c>
      <c r="L476" s="24" t="s">
        <v>46</v>
      </c>
      <c r="M476" s="34" t="s">
        <v>60</v>
      </c>
      <c r="N476" s="37">
        <v>13</v>
      </c>
      <c r="O476" s="44">
        <v>41250</v>
      </c>
      <c r="P476" s="35">
        <v>0.05</v>
      </c>
      <c r="Q476" s="34">
        <v>509437.5</v>
      </c>
      <c r="R476" s="24">
        <v>1</v>
      </c>
      <c r="S476" s="24" t="s">
        <v>2148</v>
      </c>
      <c r="T476" s="24" t="s">
        <v>49</v>
      </c>
      <c r="U476" s="34" t="str">
        <f>Sales_data!T476</f>
        <v>amit.sharma@company.com</v>
      </c>
      <c r="V476" s="24">
        <v>9960757012</v>
      </c>
      <c r="W476" s="34" t="s">
        <v>2100</v>
      </c>
      <c r="X476" s="24">
        <v>12</v>
      </c>
      <c r="Y476" s="30" t="s">
        <v>2108</v>
      </c>
      <c r="Z476" s="29">
        <v>46064</v>
      </c>
      <c r="AA476" s="24" t="s">
        <v>2171</v>
      </c>
      <c r="AB476" s="24" t="s">
        <v>2160</v>
      </c>
      <c r="AC476" s="136" t="str">
        <f t="shared" si="14"/>
        <v>Ami001Pu</v>
      </c>
      <c r="AD476" s="136" t="str">
        <f t="shared" si="15"/>
        <v>amit.sharma@company.com</v>
      </c>
    </row>
    <row r="477" spans="1:30">
      <c r="A477" s="24" t="s">
        <v>2004</v>
      </c>
      <c r="B477" s="24" t="s">
        <v>127</v>
      </c>
      <c r="C477" s="24" t="s">
        <v>54</v>
      </c>
      <c r="D477" s="30">
        <v>45766</v>
      </c>
      <c r="E477" s="24" t="s">
        <v>1114</v>
      </c>
      <c r="F477" s="136" t="str">
        <f>PROPER(TRIM(Sales_data!F477))</f>
        <v>Rohit Singh</v>
      </c>
      <c r="G477" s="30" t="s">
        <v>76</v>
      </c>
      <c r="H477" s="24" t="s">
        <v>131</v>
      </c>
      <c r="I477" s="24" t="s">
        <v>44</v>
      </c>
      <c r="J477" s="24" t="s">
        <v>45</v>
      </c>
      <c r="K477" s="24" t="s">
        <v>2113</v>
      </c>
      <c r="L477" s="24" t="s">
        <v>46</v>
      </c>
      <c r="M477" s="34" t="s">
        <v>60</v>
      </c>
      <c r="N477" s="37">
        <v>12</v>
      </c>
      <c r="O477" s="44">
        <v>41250</v>
      </c>
      <c r="P477" s="35">
        <v>0.05</v>
      </c>
      <c r="Q477" s="34">
        <v>470250</v>
      </c>
      <c r="R477" s="24">
        <v>1</v>
      </c>
      <c r="S477" s="24" t="s">
        <v>2148</v>
      </c>
      <c r="T477" s="24" t="s">
        <v>115</v>
      </c>
      <c r="U477" s="34" t="str">
        <f>Sales_data!T477</f>
        <v>rohit.singh@company.com</v>
      </c>
      <c r="V477" s="24">
        <v>9331268182</v>
      </c>
      <c r="W477" s="34" t="s">
        <v>2100</v>
      </c>
      <c r="X477" s="24">
        <v>12</v>
      </c>
      <c r="Y477" s="30" t="s">
        <v>2112</v>
      </c>
      <c r="Z477" s="29">
        <v>46132</v>
      </c>
      <c r="AA477" s="24" t="s">
        <v>2176</v>
      </c>
      <c r="AB477" s="24" t="s">
        <v>2160</v>
      </c>
      <c r="AC477" s="136" t="str">
        <f t="shared" si="14"/>
        <v>Roh003De</v>
      </c>
      <c r="AD477" s="136" t="str">
        <f t="shared" si="15"/>
        <v>rohit.singh@company.com</v>
      </c>
    </row>
    <row r="478" spans="1:30">
      <c r="A478" s="24" t="s">
        <v>2007</v>
      </c>
      <c r="B478" s="24" t="s">
        <v>53</v>
      </c>
      <c r="C478" s="24" t="s">
        <v>259</v>
      </c>
      <c r="D478" s="30">
        <v>45678</v>
      </c>
      <c r="E478" s="24" t="s">
        <v>1705</v>
      </c>
      <c r="F478" s="136" t="str">
        <f>PROPER(TRIM(Sales_data!F478))</f>
        <v>Pooja Shah</v>
      </c>
      <c r="G478" s="30" t="s">
        <v>28</v>
      </c>
      <c r="H478" s="24" t="s">
        <v>58</v>
      </c>
      <c r="I478" s="24" t="s">
        <v>59</v>
      </c>
      <c r="J478" s="24" t="s">
        <v>31</v>
      </c>
      <c r="K478" s="24" t="s">
        <v>2111</v>
      </c>
      <c r="L478" s="24" t="s">
        <v>122</v>
      </c>
      <c r="M478" s="34" t="s">
        <v>263</v>
      </c>
      <c r="N478" s="37">
        <v>16</v>
      </c>
      <c r="O478" s="44">
        <v>33.75</v>
      </c>
      <c r="P478" s="35">
        <v>0.2</v>
      </c>
      <c r="Q478" s="34">
        <v>432</v>
      </c>
      <c r="R478" s="24">
        <v>2</v>
      </c>
      <c r="S478" s="24" t="s">
        <v>34</v>
      </c>
      <c r="T478" s="24" t="s">
        <v>49</v>
      </c>
      <c r="U478" s="34" t="str">
        <f>Sales_data!T478</f>
        <v>pooja.shah@company.com</v>
      </c>
      <c r="V478" s="24">
        <v>9135996862</v>
      </c>
      <c r="W478" s="34" t="s">
        <v>2100</v>
      </c>
      <c r="X478" s="24">
        <v>12</v>
      </c>
      <c r="Y478" s="30" t="s">
        <v>2108</v>
      </c>
      <c r="Z478" s="29">
        <v>46050</v>
      </c>
      <c r="AA478" s="24" t="s">
        <v>2172</v>
      </c>
      <c r="AB478" s="24" t="s">
        <v>2160</v>
      </c>
      <c r="AC478" s="136" t="str">
        <f t="shared" si="14"/>
        <v>Poo010Be</v>
      </c>
      <c r="AD478" s="136" t="str">
        <f t="shared" si="15"/>
        <v>pooja.shah@company.com</v>
      </c>
    </row>
    <row r="479" spans="1:30">
      <c r="A479" s="24" t="s">
        <v>2010</v>
      </c>
      <c r="B479" s="24" t="s">
        <v>23</v>
      </c>
      <c r="C479" s="24" t="s">
        <v>72</v>
      </c>
      <c r="D479" s="30">
        <v>45918</v>
      </c>
      <c r="E479" s="24" t="s">
        <v>73</v>
      </c>
      <c r="F479" s="136" t="str">
        <f>PROPER(TRIM(Sales_data!F479))</f>
        <v>Kavya Nair</v>
      </c>
      <c r="G479" s="30" t="s">
        <v>28</v>
      </c>
      <c r="H479" s="24" t="s">
        <v>29</v>
      </c>
      <c r="I479" s="24" t="s">
        <v>30</v>
      </c>
      <c r="J479" s="24" t="s">
        <v>31</v>
      </c>
      <c r="K479" s="24" t="s">
        <v>2111</v>
      </c>
      <c r="L479" s="24" t="s">
        <v>46</v>
      </c>
      <c r="M479" s="34" t="s">
        <v>78</v>
      </c>
      <c r="N479" s="37">
        <v>5</v>
      </c>
      <c r="O479" s="44">
        <v>900</v>
      </c>
      <c r="P479" s="35">
        <v>0.1</v>
      </c>
      <c r="Q479" s="34">
        <v>4050</v>
      </c>
      <c r="R479" s="24">
        <v>1</v>
      </c>
      <c r="S479" s="24" t="s">
        <v>34</v>
      </c>
      <c r="T479" s="24" t="s">
        <v>2145</v>
      </c>
      <c r="U479" s="34" t="str">
        <f>Sales_data!T479</f>
        <v>kavya.Nair@company.com</v>
      </c>
      <c r="V479" s="24">
        <v>9540813143</v>
      </c>
      <c r="W479" s="34" t="s">
        <v>2100</v>
      </c>
      <c r="X479" s="24">
        <v>6</v>
      </c>
      <c r="Y479" s="30" t="s">
        <v>2108</v>
      </c>
      <c r="Z479" s="29">
        <v>46108</v>
      </c>
      <c r="AA479" s="24" t="s">
        <v>2171</v>
      </c>
      <c r="AB479" s="24" t="s">
        <v>2160</v>
      </c>
      <c r="AC479" s="136" t="str">
        <f t="shared" si="14"/>
        <v>Kav008Hy</v>
      </c>
      <c r="AD479" s="136" t="str">
        <f t="shared" si="15"/>
        <v>kavya.nair@company.com</v>
      </c>
    </row>
    <row r="480" spans="1:30">
      <c r="A480" s="24" t="s">
        <v>2014</v>
      </c>
      <c r="B480" s="24" t="s">
        <v>168</v>
      </c>
      <c r="C480" s="24" t="s">
        <v>259</v>
      </c>
      <c r="D480" s="30">
        <v>45949</v>
      </c>
      <c r="E480" s="24" t="s">
        <v>702</v>
      </c>
      <c r="F480" s="136" t="str">
        <f>PROPER(TRIM(Sales_data!F480))</f>
        <v>Anita Gupta</v>
      </c>
      <c r="G480" s="30" t="s">
        <v>28</v>
      </c>
      <c r="H480" s="24" t="s">
        <v>173</v>
      </c>
      <c r="I480" s="24" t="s">
        <v>114</v>
      </c>
      <c r="J480" s="24" t="s">
        <v>106</v>
      </c>
      <c r="K480" s="24" t="s">
        <v>2111</v>
      </c>
      <c r="L480" s="24" t="s">
        <v>122</v>
      </c>
      <c r="M480" s="34" t="s">
        <v>263</v>
      </c>
      <c r="N480" s="37">
        <v>2</v>
      </c>
      <c r="O480" s="44">
        <v>33.75</v>
      </c>
      <c r="P480" s="35">
        <v>0.1</v>
      </c>
      <c r="Q480" s="34">
        <v>60.75</v>
      </c>
      <c r="R480" s="24">
        <v>4</v>
      </c>
      <c r="S480" s="24" t="s">
        <v>2149</v>
      </c>
      <c r="T480" s="24" t="s">
        <v>49</v>
      </c>
      <c r="U480" s="34" t="str">
        <f>Sales_data!T480</f>
        <v>anita.gupta@company.com</v>
      </c>
      <c r="V480" s="24">
        <v>9910913552</v>
      </c>
      <c r="W480" s="34" t="s">
        <v>2100</v>
      </c>
      <c r="X480" s="24">
        <v>12</v>
      </c>
      <c r="Y480" s="30" t="s">
        <v>2112</v>
      </c>
      <c r="Z480" s="29">
        <v>46315</v>
      </c>
      <c r="AA480" s="24" t="s">
        <v>2177</v>
      </c>
      <c r="AB480" s="24" t="s">
        <v>2108</v>
      </c>
      <c r="AC480" s="136" t="str">
        <f t="shared" si="14"/>
        <v>Ani004Pu</v>
      </c>
      <c r="AD480" s="136" t="str">
        <f t="shared" si="15"/>
        <v>anita.gupta@company.com</v>
      </c>
    </row>
    <row r="481" spans="1:30">
      <c r="A481" s="24" t="s">
        <v>2018</v>
      </c>
      <c r="B481" s="24" t="s">
        <v>127</v>
      </c>
      <c r="C481" s="24" t="s">
        <v>40</v>
      </c>
      <c r="D481" s="30">
        <v>46034</v>
      </c>
      <c r="E481" s="24" t="s">
        <v>587</v>
      </c>
      <c r="F481" s="136" t="str">
        <f>PROPER(TRIM(Sales_data!F481))</f>
        <v>Rohit Singh</v>
      </c>
      <c r="G481" s="30" t="s">
        <v>76</v>
      </c>
      <c r="H481" s="24" t="s">
        <v>131</v>
      </c>
      <c r="I481" s="24" t="s">
        <v>44</v>
      </c>
      <c r="J481" s="24" t="s">
        <v>45</v>
      </c>
      <c r="K481" s="24" t="s">
        <v>2113</v>
      </c>
      <c r="L481" s="24" t="s">
        <v>46</v>
      </c>
      <c r="M481" s="34" t="s">
        <v>47</v>
      </c>
      <c r="N481" s="37">
        <v>3</v>
      </c>
      <c r="O481" s="44">
        <v>9000</v>
      </c>
      <c r="P481" s="35">
        <v>0</v>
      </c>
      <c r="Q481" s="34">
        <v>27000</v>
      </c>
      <c r="R481" s="24">
        <v>2</v>
      </c>
      <c r="S481" s="24" t="s">
        <v>2149</v>
      </c>
      <c r="T481" s="24" t="s">
        <v>151</v>
      </c>
      <c r="U481" s="34" t="str">
        <f>Sales_data!T481</f>
        <v>rohit.singh@company.com</v>
      </c>
      <c r="V481" s="24">
        <v>9282751683</v>
      </c>
      <c r="W481" s="34" t="s">
        <v>2101</v>
      </c>
      <c r="X481" s="24">
        <v>24</v>
      </c>
      <c r="Y481" s="30" t="s">
        <v>2112</v>
      </c>
      <c r="Z481" s="29">
        <v>46770</v>
      </c>
      <c r="AA481" s="24" t="s">
        <v>2176</v>
      </c>
      <c r="AB481" s="24" t="s">
        <v>2160</v>
      </c>
      <c r="AC481" s="136" t="str">
        <f t="shared" si="14"/>
        <v>Roh003De</v>
      </c>
      <c r="AD481" s="136" t="str">
        <f t="shared" si="15"/>
        <v>rohit.singh@company.com</v>
      </c>
    </row>
    <row r="482" spans="1:30">
      <c r="A482" s="24" t="s">
        <v>2021</v>
      </c>
      <c r="B482" s="24" t="s">
        <v>23</v>
      </c>
      <c r="C482" s="24" t="s">
        <v>40</v>
      </c>
      <c r="D482" s="30">
        <v>45683</v>
      </c>
      <c r="E482" s="24" t="s">
        <v>1863</v>
      </c>
      <c r="F482" s="136" t="str">
        <f>PROPER(TRIM(Sales_data!F482))</f>
        <v>Kavya Nair</v>
      </c>
      <c r="G482" s="30" t="s">
        <v>28</v>
      </c>
      <c r="H482" s="24" t="s">
        <v>29</v>
      </c>
      <c r="I482" s="24" t="s">
        <v>30</v>
      </c>
      <c r="J482" s="24" t="s">
        <v>31</v>
      </c>
      <c r="K482" s="24" t="s">
        <v>2111</v>
      </c>
      <c r="L482" s="24" t="s">
        <v>46</v>
      </c>
      <c r="M482" s="34" t="s">
        <v>47</v>
      </c>
      <c r="N482" s="37">
        <v>3</v>
      </c>
      <c r="O482" s="44">
        <v>9000</v>
      </c>
      <c r="P482" s="35">
        <v>0.2</v>
      </c>
      <c r="Q482" s="34">
        <v>21600</v>
      </c>
      <c r="R482" s="24">
        <v>3</v>
      </c>
      <c r="S482" s="24" t="s">
        <v>2149</v>
      </c>
      <c r="T482" s="24" t="s">
        <v>115</v>
      </c>
      <c r="U482" s="34" t="str">
        <f>Sales_data!T482</f>
        <v>kavya.nair@company.com</v>
      </c>
      <c r="V482" s="24">
        <v>9939332058</v>
      </c>
      <c r="W482" s="34" t="s">
        <v>2101</v>
      </c>
      <c r="X482" s="24">
        <v>24</v>
      </c>
      <c r="Y482" s="30" t="s">
        <v>2108</v>
      </c>
      <c r="Z482" s="29">
        <v>46419</v>
      </c>
      <c r="AA482" s="24" t="s">
        <v>2171</v>
      </c>
      <c r="AB482" s="24" t="s">
        <v>2108</v>
      </c>
      <c r="AC482" s="136" t="str">
        <f t="shared" si="14"/>
        <v>Kav008Hy</v>
      </c>
      <c r="AD482" s="136" t="str">
        <f t="shared" si="15"/>
        <v>kavya.nair@company.com</v>
      </c>
    </row>
    <row r="483" spans="1:30">
      <c r="A483" s="24" t="s">
        <v>2025</v>
      </c>
      <c r="B483" s="24" t="s">
        <v>127</v>
      </c>
      <c r="C483" s="24" t="s">
        <v>169</v>
      </c>
      <c r="D483" s="30">
        <v>46119</v>
      </c>
      <c r="E483" s="24" t="s">
        <v>161</v>
      </c>
      <c r="F483" s="136" t="str">
        <f>PROPER(TRIM(Sales_data!F483))</f>
        <v>Rohit Singh</v>
      </c>
      <c r="G483" s="30" t="s">
        <v>76</v>
      </c>
      <c r="H483" s="24" t="s">
        <v>131</v>
      </c>
      <c r="I483" s="24" t="s">
        <v>44</v>
      </c>
      <c r="J483" s="24" t="s">
        <v>45</v>
      </c>
      <c r="K483" s="24" t="s">
        <v>2113</v>
      </c>
      <c r="L483" s="24" t="s">
        <v>32</v>
      </c>
      <c r="M483" s="34" t="s">
        <v>174</v>
      </c>
      <c r="N483" s="37">
        <v>9</v>
      </c>
      <c r="O483" s="44">
        <v>6375</v>
      </c>
      <c r="P483" s="35">
        <v>0.15</v>
      </c>
      <c r="Q483" s="34">
        <v>48768.75</v>
      </c>
      <c r="R483" s="24">
        <v>5</v>
      </c>
      <c r="S483" s="24" t="s">
        <v>34</v>
      </c>
      <c r="T483" s="24" t="s">
        <v>49</v>
      </c>
      <c r="U483" s="34" t="str">
        <f>Sales_data!T483</f>
        <v>rohit.singh@company.com</v>
      </c>
      <c r="V483" s="24">
        <v>9780626473</v>
      </c>
      <c r="W483" s="34" t="s">
        <v>2100</v>
      </c>
      <c r="X483" s="24">
        <v>24</v>
      </c>
      <c r="Y483" s="30" t="s">
        <v>2112</v>
      </c>
      <c r="Z483" s="29">
        <v>46851</v>
      </c>
      <c r="AA483" s="24" t="s">
        <v>2176</v>
      </c>
      <c r="AB483" s="24" t="s">
        <v>2108</v>
      </c>
      <c r="AC483" s="136" t="str">
        <f t="shared" si="14"/>
        <v>Roh003De</v>
      </c>
      <c r="AD483" s="136" t="str">
        <f t="shared" si="15"/>
        <v>rohit.singh@company.com</v>
      </c>
    </row>
    <row r="484" spans="1:30">
      <c r="A484" s="24" t="s">
        <v>2028</v>
      </c>
      <c r="B484" s="24" t="s">
        <v>71</v>
      </c>
      <c r="C484" s="24" t="s">
        <v>184</v>
      </c>
      <c r="D484" s="30">
        <v>45834</v>
      </c>
      <c r="E484" s="24" t="s">
        <v>881</v>
      </c>
      <c r="F484" s="136" t="str">
        <f>PROPER(TRIM(Sales_data!F484))</f>
        <v>Mohit Verma</v>
      </c>
      <c r="G484" s="30" t="s">
        <v>76</v>
      </c>
      <c r="H484" s="24" t="s">
        <v>77</v>
      </c>
      <c r="I484" s="24" t="s">
        <v>44</v>
      </c>
      <c r="J484" s="24" t="s">
        <v>45</v>
      </c>
      <c r="K484" s="24" t="s">
        <v>2114</v>
      </c>
      <c r="L484" s="24" t="s">
        <v>46</v>
      </c>
      <c r="M484" s="34" t="s">
        <v>189</v>
      </c>
      <c r="N484" s="37">
        <v>17</v>
      </c>
      <c r="O484" s="44">
        <v>525</v>
      </c>
      <c r="P484" s="35">
        <v>0</v>
      </c>
      <c r="Q484" s="34">
        <v>8925</v>
      </c>
      <c r="R484" s="24">
        <v>2</v>
      </c>
      <c r="S484" s="24" t="s">
        <v>34</v>
      </c>
      <c r="T484" s="24" t="s">
        <v>61</v>
      </c>
      <c r="U484" s="34" t="str">
        <f>Sales_data!T484</f>
        <v>mohit.verma@company.com</v>
      </c>
      <c r="V484" s="24">
        <v>9347298020</v>
      </c>
      <c r="W484" s="34" t="s">
        <v>2100</v>
      </c>
      <c r="X484" s="24">
        <v>24</v>
      </c>
      <c r="Y484" s="30" t="s">
        <v>2110</v>
      </c>
      <c r="Z484" s="29">
        <v>46574</v>
      </c>
      <c r="AA484" s="24" t="s">
        <v>2173</v>
      </c>
      <c r="AB484" s="24" t="s">
        <v>2160</v>
      </c>
      <c r="AC484" s="136" t="str">
        <f t="shared" si="14"/>
        <v>Moh009De</v>
      </c>
      <c r="AD484" s="136" t="str">
        <f t="shared" si="15"/>
        <v>mohit.verma@company.com</v>
      </c>
    </row>
    <row r="485" spans="1:30">
      <c r="A485" s="24" t="s">
        <v>2032</v>
      </c>
      <c r="B485" s="24" t="s">
        <v>23</v>
      </c>
      <c r="C485" s="24" t="s">
        <v>184</v>
      </c>
      <c r="D485" s="30">
        <v>45846</v>
      </c>
      <c r="E485" s="24" t="s">
        <v>1572</v>
      </c>
      <c r="F485" s="136" t="str">
        <f>PROPER(TRIM(Sales_data!F485))</f>
        <v>Kavya Nair</v>
      </c>
      <c r="G485" s="30" t="s">
        <v>28</v>
      </c>
      <c r="H485" s="24" t="s">
        <v>29</v>
      </c>
      <c r="I485" s="24" t="s">
        <v>30</v>
      </c>
      <c r="J485" s="24" t="s">
        <v>31</v>
      </c>
      <c r="K485" s="24" t="s">
        <v>2111</v>
      </c>
      <c r="L485" s="24" t="s">
        <v>46</v>
      </c>
      <c r="M485" s="34" t="s">
        <v>189</v>
      </c>
      <c r="N485" s="37">
        <v>20</v>
      </c>
      <c r="O485" s="44">
        <v>525</v>
      </c>
      <c r="P485" s="35">
        <v>0.05</v>
      </c>
      <c r="Q485" s="34">
        <v>9975</v>
      </c>
      <c r="R485" s="24">
        <v>2</v>
      </c>
      <c r="S485" s="24" t="s">
        <v>2149</v>
      </c>
      <c r="T485" s="24" t="s">
        <v>35</v>
      </c>
      <c r="U485" s="34" t="str">
        <f>Sales_data!T485</f>
        <v>kavya.nair@company.com</v>
      </c>
      <c r="V485" s="24">
        <v>9345328522</v>
      </c>
      <c r="W485" s="34" t="s">
        <v>2100</v>
      </c>
      <c r="X485" s="24">
        <v>24</v>
      </c>
      <c r="Y485" s="30" t="s">
        <v>2108</v>
      </c>
      <c r="Z485" s="29">
        <v>46586</v>
      </c>
      <c r="AA485" s="24" t="s">
        <v>2171</v>
      </c>
      <c r="AB485" s="24" t="s">
        <v>2160</v>
      </c>
      <c r="AC485" s="136" t="str">
        <f t="shared" si="14"/>
        <v>Kav008Hy</v>
      </c>
      <c r="AD485" s="136" t="str">
        <f t="shared" si="15"/>
        <v>kavya.nair@company.com</v>
      </c>
    </row>
    <row r="486" spans="1:30">
      <c r="A486" s="24" t="s">
        <v>2035</v>
      </c>
      <c r="B486" s="24" t="s">
        <v>327</v>
      </c>
      <c r="C486" s="24" t="s">
        <v>72</v>
      </c>
      <c r="D486" s="30">
        <v>46092</v>
      </c>
      <c r="E486" s="24" t="s">
        <v>65</v>
      </c>
      <c r="F486" s="136" t="str">
        <f>PROPER(TRIM(Sales_data!F486))</f>
        <v>Amit Sharma</v>
      </c>
      <c r="G486" s="30" t="s">
        <v>76</v>
      </c>
      <c r="H486" s="24" t="s">
        <v>331</v>
      </c>
      <c r="I486" s="24" t="s">
        <v>114</v>
      </c>
      <c r="J486" s="24" t="s">
        <v>106</v>
      </c>
      <c r="K486" s="24" t="s">
        <v>2109</v>
      </c>
      <c r="L486" s="24" t="s">
        <v>46</v>
      </c>
      <c r="M486" s="34" t="s">
        <v>78</v>
      </c>
      <c r="N486" s="37">
        <v>13</v>
      </c>
      <c r="O486" s="44">
        <v>900</v>
      </c>
      <c r="P486" s="35">
        <v>0.2</v>
      </c>
      <c r="Q486" s="34">
        <v>9360</v>
      </c>
      <c r="R486" s="24">
        <v>5</v>
      </c>
      <c r="S486" s="24" t="s">
        <v>79</v>
      </c>
      <c r="T486" s="24" t="s">
        <v>115</v>
      </c>
      <c r="U486" s="34" t="str">
        <f>Sales_data!T486</f>
        <v>amit.sharma@company.com</v>
      </c>
      <c r="V486" s="24">
        <v>9160310438</v>
      </c>
      <c r="W486" s="34" t="s">
        <v>2100</v>
      </c>
      <c r="X486" s="24">
        <v>6</v>
      </c>
      <c r="Y486" s="30" t="s">
        <v>2108</v>
      </c>
      <c r="Z486" s="29">
        <v>46286</v>
      </c>
      <c r="AA486" s="24" t="s">
        <v>2171</v>
      </c>
      <c r="AB486" s="24" t="s">
        <v>2108</v>
      </c>
      <c r="AC486" s="136" t="str">
        <f t="shared" si="14"/>
        <v>Ami001Pu</v>
      </c>
      <c r="AD486" s="136" t="str">
        <f t="shared" si="15"/>
        <v>amit.sharma@company.com</v>
      </c>
    </row>
    <row r="487" spans="1:30">
      <c r="A487" s="24" t="s">
        <v>2039</v>
      </c>
      <c r="B487" s="24" t="s">
        <v>100</v>
      </c>
      <c r="C487" s="24" t="s">
        <v>54</v>
      </c>
      <c r="D487" s="30">
        <v>46104</v>
      </c>
      <c r="E487" s="24" t="s">
        <v>1932</v>
      </c>
      <c r="F487" s="136" t="str">
        <f>PROPER(TRIM(Sales_data!F487))</f>
        <v>Priya Patel</v>
      </c>
      <c r="G487" s="30" t="s">
        <v>28</v>
      </c>
      <c r="H487" s="24" t="s">
        <v>104</v>
      </c>
      <c r="I487" s="24" t="s">
        <v>105</v>
      </c>
      <c r="J487" s="24" t="s">
        <v>106</v>
      </c>
      <c r="K487" s="24" t="s">
        <v>2111</v>
      </c>
      <c r="L487" s="24" t="s">
        <v>46</v>
      </c>
      <c r="M487" s="34" t="s">
        <v>60</v>
      </c>
      <c r="N487" s="37">
        <v>20</v>
      </c>
      <c r="O487" s="44">
        <v>41250</v>
      </c>
      <c r="P487" s="35">
        <v>0.1</v>
      </c>
      <c r="Q487" s="34">
        <v>742500</v>
      </c>
      <c r="R487" s="24">
        <v>1</v>
      </c>
      <c r="S487" s="24" t="s">
        <v>2149</v>
      </c>
      <c r="T487" s="24" t="s">
        <v>35</v>
      </c>
      <c r="U487" s="34" t="str">
        <f>Sales_data!T487</f>
        <v>priya.patel@company.com</v>
      </c>
      <c r="V487" s="24">
        <v>9343776153</v>
      </c>
      <c r="W487" s="34" t="s">
        <v>2100</v>
      </c>
      <c r="X487" s="24">
        <v>12</v>
      </c>
      <c r="Y487" s="30" t="s">
        <v>2110</v>
      </c>
      <c r="Z487" s="29">
        <v>46475</v>
      </c>
      <c r="AA487" s="24" t="s">
        <v>2175</v>
      </c>
      <c r="AB487" s="24" t="s">
        <v>2160</v>
      </c>
      <c r="AC487" s="136" t="str">
        <f t="shared" si="14"/>
        <v>Pri002Mu</v>
      </c>
      <c r="AD487" s="136" t="str">
        <f t="shared" si="15"/>
        <v>priya.patel@company.com</v>
      </c>
    </row>
    <row r="488" spans="1:30">
      <c r="A488" s="24" t="s">
        <v>2042</v>
      </c>
      <c r="B488" s="24" t="s">
        <v>251</v>
      </c>
      <c r="C488" s="24" t="s">
        <v>72</v>
      </c>
      <c r="D488" s="30">
        <v>45961</v>
      </c>
      <c r="E488" s="24" t="s">
        <v>291</v>
      </c>
      <c r="F488" s="136" t="str">
        <f>PROPER(TRIM(Sales_data!F488))</f>
        <v>Sneha Joshi</v>
      </c>
      <c r="G488" s="30" t="s">
        <v>28</v>
      </c>
      <c r="H488" s="24" t="s">
        <v>255</v>
      </c>
      <c r="I488" s="24" t="s">
        <v>114</v>
      </c>
      <c r="J488" s="24" t="s">
        <v>106</v>
      </c>
      <c r="K488" s="24" t="s">
        <v>2111</v>
      </c>
      <c r="L488" s="24" t="s">
        <v>46</v>
      </c>
      <c r="M488" s="34" t="s">
        <v>78</v>
      </c>
      <c r="N488" s="37">
        <v>8</v>
      </c>
      <c r="O488" s="44">
        <v>900</v>
      </c>
      <c r="P488" s="35">
        <v>0</v>
      </c>
      <c r="Q488" s="34">
        <v>7200</v>
      </c>
      <c r="R488" s="24">
        <v>2</v>
      </c>
      <c r="S488" s="24" t="s">
        <v>2148</v>
      </c>
      <c r="T488" s="24" t="s">
        <v>151</v>
      </c>
      <c r="U488" s="34" t="str">
        <f>Sales_data!T488</f>
        <v>sneha.joshi@company.com</v>
      </c>
      <c r="V488" s="24">
        <v>9458599727</v>
      </c>
      <c r="W488" s="34" t="s">
        <v>2100</v>
      </c>
      <c r="X488" s="24">
        <v>6</v>
      </c>
      <c r="Y488" s="30" t="s">
        <v>2112</v>
      </c>
      <c r="Z488" s="29">
        <v>46147</v>
      </c>
      <c r="AA488" s="24" t="s">
        <v>2173</v>
      </c>
      <c r="AB488" s="24" t="s">
        <v>2160</v>
      </c>
      <c r="AC488" s="136" t="str">
        <f t="shared" si="14"/>
        <v>Sne006Pu</v>
      </c>
      <c r="AD488" s="136" t="str">
        <f t="shared" si="15"/>
        <v>sneha.joshi@company.com</v>
      </c>
    </row>
    <row r="489" spans="1:30">
      <c r="A489" s="24" t="s">
        <v>2045</v>
      </c>
      <c r="B489" s="24" t="s">
        <v>53</v>
      </c>
      <c r="C489" s="24" t="s">
        <v>222</v>
      </c>
      <c r="D489" s="30">
        <v>46147</v>
      </c>
      <c r="E489" s="24" t="s">
        <v>1238</v>
      </c>
      <c r="F489" s="136" t="str">
        <f>PROPER(TRIM(Sales_data!F489))</f>
        <v>Pooja Shah</v>
      </c>
      <c r="G489" s="30" t="s">
        <v>28</v>
      </c>
      <c r="H489" s="24" t="s">
        <v>58</v>
      </c>
      <c r="I489" s="24" t="s">
        <v>59</v>
      </c>
      <c r="J489" s="24" t="s">
        <v>31</v>
      </c>
      <c r="K489" s="24" t="s">
        <v>2111</v>
      </c>
      <c r="L489" s="24" t="s">
        <v>122</v>
      </c>
      <c r="M489" s="34" t="s">
        <v>227</v>
      </c>
      <c r="N489" s="37">
        <v>18</v>
      </c>
      <c r="O489" s="44">
        <v>15</v>
      </c>
      <c r="P489" s="35">
        <v>0.1</v>
      </c>
      <c r="Q489" s="34">
        <v>243</v>
      </c>
      <c r="R489" s="24">
        <v>5</v>
      </c>
      <c r="S489" s="24" t="s">
        <v>79</v>
      </c>
      <c r="T489" s="24" t="s">
        <v>2145</v>
      </c>
      <c r="U489" s="34" t="str">
        <f>Sales_data!T489</f>
        <v>pOOja.shah@company.com</v>
      </c>
      <c r="V489" s="24">
        <v>9218660140</v>
      </c>
      <c r="W489" s="34" t="s">
        <v>2103</v>
      </c>
      <c r="X489" s="24">
        <v>12</v>
      </c>
      <c r="Y489" s="30" t="s">
        <v>2108</v>
      </c>
      <c r="Z489" s="29">
        <v>46516</v>
      </c>
      <c r="AA489" s="24" t="s">
        <v>2172</v>
      </c>
      <c r="AB489" s="24" t="s">
        <v>2108</v>
      </c>
      <c r="AC489" s="136" t="str">
        <f t="shared" si="14"/>
        <v>Poo010Be</v>
      </c>
      <c r="AD489" s="136" t="str">
        <f t="shared" si="15"/>
        <v>pooja.shah@company.com</v>
      </c>
    </row>
    <row r="490" spans="1:30">
      <c r="A490" s="24" t="s">
        <v>2050</v>
      </c>
      <c r="B490" s="24" t="s">
        <v>168</v>
      </c>
      <c r="C490" s="24" t="s">
        <v>40</v>
      </c>
      <c r="D490" s="30">
        <v>45711</v>
      </c>
      <c r="E490" s="24" t="s">
        <v>272</v>
      </c>
      <c r="F490" s="136" t="str">
        <f>PROPER(TRIM(Sales_data!F490))</f>
        <v>Anita Gupta</v>
      </c>
      <c r="G490" s="30" t="s">
        <v>28</v>
      </c>
      <c r="H490" s="24" t="s">
        <v>173</v>
      </c>
      <c r="I490" s="24" t="s">
        <v>114</v>
      </c>
      <c r="J490" s="24" t="s">
        <v>106</v>
      </c>
      <c r="K490" s="24" t="s">
        <v>2111</v>
      </c>
      <c r="L490" s="24" t="s">
        <v>46</v>
      </c>
      <c r="M490" s="34" t="s">
        <v>47</v>
      </c>
      <c r="N490" s="37">
        <v>11</v>
      </c>
      <c r="O490" s="44">
        <v>9000</v>
      </c>
      <c r="P490" s="35">
        <v>0.1</v>
      </c>
      <c r="Q490" s="34">
        <v>89100</v>
      </c>
      <c r="R490" s="24">
        <v>1</v>
      </c>
      <c r="S490" s="24" t="s">
        <v>79</v>
      </c>
      <c r="T490" s="24" t="s">
        <v>49</v>
      </c>
      <c r="U490" s="34" t="str">
        <f>Sales_data!T490</f>
        <v>anita.gupta@company.com</v>
      </c>
      <c r="V490" s="24">
        <v>9341979199</v>
      </c>
      <c r="W490" s="34" t="s">
        <v>2101</v>
      </c>
      <c r="X490" s="24">
        <v>24</v>
      </c>
      <c r="Y490" s="30" t="s">
        <v>2112</v>
      </c>
      <c r="Z490" s="29">
        <v>46453</v>
      </c>
      <c r="AA490" s="24" t="s">
        <v>2177</v>
      </c>
      <c r="AB490" s="24" t="s">
        <v>2160</v>
      </c>
      <c r="AC490" s="136" t="str">
        <f t="shared" si="14"/>
        <v>Ani004Pu</v>
      </c>
      <c r="AD490" s="136" t="str">
        <f t="shared" si="15"/>
        <v>anita.gupta@company.com</v>
      </c>
    </row>
    <row r="491" spans="1:30">
      <c r="A491" s="24" t="s">
        <v>2054</v>
      </c>
      <c r="B491" s="24" t="s">
        <v>327</v>
      </c>
      <c r="C491" s="24" t="s">
        <v>169</v>
      </c>
      <c r="D491" s="30">
        <v>45672</v>
      </c>
      <c r="E491" s="24" t="s">
        <v>1378</v>
      </c>
      <c r="F491" s="136" t="str">
        <f>PROPER(TRIM(Sales_data!F491))</f>
        <v>Amit Sharma</v>
      </c>
      <c r="G491" s="30" t="s">
        <v>76</v>
      </c>
      <c r="H491" s="24" t="s">
        <v>331</v>
      </c>
      <c r="I491" s="24" t="s">
        <v>114</v>
      </c>
      <c r="J491" s="24" t="s">
        <v>106</v>
      </c>
      <c r="K491" s="24" t="s">
        <v>2109</v>
      </c>
      <c r="L491" s="24" t="s">
        <v>32</v>
      </c>
      <c r="M491" s="34" t="s">
        <v>174</v>
      </c>
      <c r="N491" s="37">
        <v>2</v>
      </c>
      <c r="O491" s="44">
        <v>6375</v>
      </c>
      <c r="P491" s="35">
        <v>0.05</v>
      </c>
      <c r="Q491" s="34">
        <v>12112.5</v>
      </c>
      <c r="R491" s="24">
        <v>1</v>
      </c>
      <c r="S491" s="24" t="s">
        <v>79</v>
      </c>
      <c r="T491" s="24" t="s">
        <v>61</v>
      </c>
      <c r="U491" s="34" t="str">
        <f>Sales_data!T491</f>
        <v>amit.sharma@company.com</v>
      </c>
      <c r="V491" s="24">
        <v>9823080381</v>
      </c>
      <c r="W491" s="34" t="s">
        <v>2100</v>
      </c>
      <c r="X491" s="24">
        <v>24</v>
      </c>
      <c r="Y491" s="30" t="s">
        <v>2108</v>
      </c>
      <c r="Z491" s="29">
        <v>46404</v>
      </c>
      <c r="AA491" s="24" t="s">
        <v>2171</v>
      </c>
      <c r="AB491" s="24" t="s">
        <v>2160</v>
      </c>
      <c r="AC491" s="136" t="str">
        <f t="shared" si="14"/>
        <v>Ami001Pu</v>
      </c>
      <c r="AD491" s="136" t="str">
        <f t="shared" si="15"/>
        <v>amit.sharma@company.com</v>
      </c>
    </row>
    <row r="492" spans="1:30">
      <c r="A492" s="24" t="s">
        <v>2057</v>
      </c>
      <c r="B492" s="24" t="s">
        <v>100</v>
      </c>
      <c r="C492" s="24" t="s">
        <v>24</v>
      </c>
      <c r="D492" s="30">
        <v>45746</v>
      </c>
      <c r="E492" s="24" t="s">
        <v>1507</v>
      </c>
      <c r="F492" s="136" t="str">
        <f>PROPER(TRIM(Sales_data!F492))</f>
        <v>Priya Patel</v>
      </c>
      <c r="G492" s="30" t="s">
        <v>28</v>
      </c>
      <c r="H492" s="24" t="s">
        <v>104</v>
      </c>
      <c r="I492" s="24" t="s">
        <v>105</v>
      </c>
      <c r="J492" s="24" t="s">
        <v>106</v>
      </c>
      <c r="K492" s="24" t="s">
        <v>2111</v>
      </c>
      <c r="L492" s="24" t="s">
        <v>32</v>
      </c>
      <c r="M492" s="34" t="s">
        <v>33</v>
      </c>
      <c r="N492" s="37">
        <v>7</v>
      </c>
      <c r="O492" s="44">
        <v>1650</v>
      </c>
      <c r="P492" s="35">
        <v>0</v>
      </c>
      <c r="Q492" s="34">
        <v>11550</v>
      </c>
      <c r="R492" s="24">
        <v>5</v>
      </c>
      <c r="S492" s="24" t="s">
        <v>2148</v>
      </c>
      <c r="T492" s="24" t="s">
        <v>35</v>
      </c>
      <c r="U492" s="34" t="str">
        <f>Sales_data!T492</f>
        <v>priya.patel@company.com</v>
      </c>
      <c r="V492" s="24">
        <v>9981183477</v>
      </c>
      <c r="W492" s="34" t="s">
        <v>2101</v>
      </c>
      <c r="X492" s="24">
        <v>24</v>
      </c>
      <c r="Y492" s="30" t="s">
        <v>2110</v>
      </c>
      <c r="Z492" s="29">
        <v>46485</v>
      </c>
      <c r="AA492" s="24" t="s">
        <v>2175</v>
      </c>
      <c r="AB492" s="24" t="s">
        <v>2108</v>
      </c>
      <c r="AC492" s="136" t="str">
        <f t="shared" si="14"/>
        <v>Pri002Mu</v>
      </c>
      <c r="AD492" s="136" t="str">
        <f t="shared" si="15"/>
        <v>priya.patel@company.com</v>
      </c>
    </row>
    <row r="493" spans="1:30">
      <c r="A493" s="24" t="s">
        <v>2061</v>
      </c>
      <c r="B493" s="24" t="s">
        <v>83</v>
      </c>
      <c r="C493" s="24" t="s">
        <v>169</v>
      </c>
      <c r="D493" s="30">
        <v>46136</v>
      </c>
      <c r="E493" s="24" t="s">
        <v>1098</v>
      </c>
      <c r="F493" s="136" t="str">
        <f>PROPER(TRIM(Sales_data!F493))</f>
        <v>Arjun Rao</v>
      </c>
      <c r="G493" s="30" t="s">
        <v>76</v>
      </c>
      <c r="H493" s="24" t="s">
        <v>87</v>
      </c>
      <c r="I493" s="24" t="s">
        <v>30</v>
      </c>
      <c r="J493" s="24" t="s">
        <v>31</v>
      </c>
      <c r="K493" s="24" t="s">
        <v>2109</v>
      </c>
      <c r="L493" s="24" t="s">
        <v>32</v>
      </c>
      <c r="M493" s="34" t="s">
        <v>174</v>
      </c>
      <c r="N493" s="37">
        <v>20</v>
      </c>
      <c r="O493" s="44">
        <v>6375</v>
      </c>
      <c r="P493" s="35">
        <v>0</v>
      </c>
      <c r="Q493" s="34">
        <v>127500</v>
      </c>
      <c r="R493" s="24">
        <v>3</v>
      </c>
      <c r="S493" s="24" t="s">
        <v>2148</v>
      </c>
      <c r="T493" s="24" t="s">
        <v>49</v>
      </c>
      <c r="U493" s="34" t="str">
        <f>Sales_data!T493</f>
        <v>arjun.rao@company.com</v>
      </c>
      <c r="V493" s="24">
        <v>9281596011</v>
      </c>
      <c r="W493" s="34" t="s">
        <v>2100</v>
      </c>
      <c r="X493" s="24">
        <v>24</v>
      </c>
      <c r="Y493" s="30" t="s">
        <v>2108</v>
      </c>
      <c r="Z493" s="29">
        <v>46875</v>
      </c>
      <c r="AA493" s="24" t="s">
        <v>2174</v>
      </c>
      <c r="AB493" s="24" t="s">
        <v>2112</v>
      </c>
      <c r="AC493" s="136" t="str">
        <f t="shared" si="14"/>
        <v>Arj007Hy</v>
      </c>
      <c r="AD493" s="136" t="str">
        <f t="shared" si="15"/>
        <v>arjun.rao@company.com</v>
      </c>
    </row>
    <row r="494" spans="1:30">
      <c r="A494" s="24" t="s">
        <v>2064</v>
      </c>
      <c r="B494" s="24" t="s">
        <v>127</v>
      </c>
      <c r="C494" s="24" t="s">
        <v>72</v>
      </c>
      <c r="D494" s="30">
        <v>45858</v>
      </c>
      <c r="E494" s="24" t="s">
        <v>839</v>
      </c>
      <c r="F494" s="136" t="str">
        <f>PROPER(TRIM(Sales_data!F494))</f>
        <v>Rohit Singh</v>
      </c>
      <c r="G494" s="30" t="s">
        <v>76</v>
      </c>
      <c r="H494" s="24" t="s">
        <v>131</v>
      </c>
      <c r="I494" s="24" t="s">
        <v>44</v>
      </c>
      <c r="J494" s="24" t="s">
        <v>45</v>
      </c>
      <c r="K494" s="24" t="s">
        <v>2113</v>
      </c>
      <c r="L494" s="24" t="s">
        <v>46</v>
      </c>
      <c r="M494" s="34" t="s">
        <v>78</v>
      </c>
      <c r="N494" s="37">
        <v>11</v>
      </c>
      <c r="O494" s="44">
        <v>900</v>
      </c>
      <c r="P494" s="35">
        <v>0.05</v>
      </c>
      <c r="Q494" s="34">
        <v>9405</v>
      </c>
      <c r="R494" s="24">
        <v>2</v>
      </c>
      <c r="S494" s="24" t="s">
        <v>34</v>
      </c>
      <c r="T494" s="24" t="s">
        <v>35</v>
      </c>
      <c r="U494" s="34" t="str">
        <f>Sales_data!T494</f>
        <v>rohit.singh@company.com</v>
      </c>
      <c r="V494" s="24">
        <v>9211734022</v>
      </c>
      <c r="W494" s="34" t="s">
        <v>2100</v>
      </c>
      <c r="X494" s="24">
        <v>6</v>
      </c>
      <c r="Y494" s="30" t="s">
        <v>2112</v>
      </c>
      <c r="Z494" s="29">
        <v>46051</v>
      </c>
      <c r="AA494" s="24" t="s">
        <v>2176</v>
      </c>
      <c r="AB494" s="24" t="s">
        <v>2160</v>
      </c>
      <c r="AC494" s="136" t="str">
        <f t="shared" si="14"/>
        <v>Roh003De</v>
      </c>
      <c r="AD494" s="136" t="str">
        <f t="shared" si="15"/>
        <v>rohit.singh@company.com</v>
      </c>
    </row>
    <row r="495" spans="1:30">
      <c r="A495" s="24" t="s">
        <v>2068</v>
      </c>
      <c r="B495" s="24" t="s">
        <v>83</v>
      </c>
      <c r="C495" s="24" t="s">
        <v>184</v>
      </c>
      <c r="D495" s="30">
        <v>45867</v>
      </c>
      <c r="E495" s="24" t="s">
        <v>756</v>
      </c>
      <c r="F495" s="136" t="str">
        <f>PROPER(TRIM(Sales_data!F495))</f>
        <v>Arjun Rao</v>
      </c>
      <c r="G495" s="30" t="s">
        <v>76</v>
      </c>
      <c r="H495" s="24" t="s">
        <v>87</v>
      </c>
      <c r="I495" s="24" t="s">
        <v>30</v>
      </c>
      <c r="J495" s="24" t="s">
        <v>31</v>
      </c>
      <c r="K495" s="24" t="s">
        <v>2109</v>
      </c>
      <c r="L495" s="24" t="s">
        <v>46</v>
      </c>
      <c r="M495" s="34" t="s">
        <v>189</v>
      </c>
      <c r="N495" s="37">
        <v>14</v>
      </c>
      <c r="O495" s="44">
        <v>525</v>
      </c>
      <c r="P495" s="35">
        <v>0</v>
      </c>
      <c r="Q495" s="34">
        <v>7350</v>
      </c>
      <c r="R495" s="24">
        <v>2</v>
      </c>
      <c r="S495" s="24" t="s">
        <v>79</v>
      </c>
      <c r="T495" s="24" t="s">
        <v>151</v>
      </c>
      <c r="U495" s="34" t="str">
        <f>Sales_data!T495</f>
        <v>arjun.rao@company.com</v>
      </c>
      <c r="V495" s="24">
        <v>9447151666</v>
      </c>
      <c r="W495" s="34" t="s">
        <v>2100</v>
      </c>
      <c r="X495" s="24">
        <v>24</v>
      </c>
      <c r="Y495" s="30" t="s">
        <v>2108</v>
      </c>
      <c r="Z495" s="29">
        <v>46600</v>
      </c>
      <c r="AA495" s="24" t="s">
        <v>2174</v>
      </c>
      <c r="AB495" s="24" t="s">
        <v>2160</v>
      </c>
      <c r="AC495" s="136" t="str">
        <f t="shared" si="14"/>
        <v>Arj007Hy</v>
      </c>
      <c r="AD495" s="136" t="str">
        <f t="shared" si="15"/>
        <v>arjun.rao@company.com</v>
      </c>
    </row>
    <row r="496" spans="1:30">
      <c r="A496" s="24" t="s">
        <v>2071</v>
      </c>
      <c r="B496" s="24" t="s">
        <v>71</v>
      </c>
      <c r="C496" s="24" t="s">
        <v>72</v>
      </c>
      <c r="D496" s="30">
        <v>45951</v>
      </c>
      <c r="E496" s="24" t="s">
        <v>1650</v>
      </c>
      <c r="F496" s="136" t="str">
        <f>PROPER(TRIM(Sales_data!F496))</f>
        <v>Mohit Verma</v>
      </c>
      <c r="G496" s="30" t="s">
        <v>76</v>
      </c>
      <c r="H496" s="24" t="s">
        <v>77</v>
      </c>
      <c r="I496" s="24" t="s">
        <v>44</v>
      </c>
      <c r="J496" s="24" t="s">
        <v>45</v>
      </c>
      <c r="K496" s="24" t="s">
        <v>2114</v>
      </c>
      <c r="L496" s="24" t="s">
        <v>46</v>
      </c>
      <c r="M496" s="34" t="s">
        <v>78</v>
      </c>
      <c r="N496" s="37">
        <v>16</v>
      </c>
      <c r="O496" s="44">
        <v>900</v>
      </c>
      <c r="P496" s="35">
        <v>0.15</v>
      </c>
      <c r="Q496" s="34">
        <v>12240</v>
      </c>
      <c r="R496" s="24">
        <v>4</v>
      </c>
      <c r="S496" s="24" t="s">
        <v>34</v>
      </c>
      <c r="T496" s="24" t="s">
        <v>151</v>
      </c>
      <c r="U496" s="34" t="str">
        <f>Sales_data!T496</f>
        <v>mohit.verma@company.com</v>
      </c>
      <c r="V496" s="24">
        <v>9345342793</v>
      </c>
      <c r="W496" s="34" t="s">
        <v>2100</v>
      </c>
      <c r="X496" s="24">
        <v>6</v>
      </c>
      <c r="Y496" s="30" t="s">
        <v>2110</v>
      </c>
      <c r="Z496" s="29">
        <v>46143</v>
      </c>
      <c r="AA496" s="24" t="s">
        <v>2173</v>
      </c>
      <c r="AB496" s="24" t="s">
        <v>2108</v>
      </c>
      <c r="AC496" s="136" t="str">
        <f t="shared" si="14"/>
        <v>Moh009De</v>
      </c>
      <c r="AD496" s="136" t="str">
        <f t="shared" si="15"/>
        <v>mohit.verma@company.com</v>
      </c>
    </row>
    <row r="497" spans="1:30">
      <c r="A497" s="24" t="s">
        <v>2074</v>
      </c>
      <c r="B497" s="24" t="s">
        <v>168</v>
      </c>
      <c r="C497" s="24" t="s">
        <v>24</v>
      </c>
      <c r="D497" s="30">
        <v>46098</v>
      </c>
      <c r="E497" s="24" t="s">
        <v>1932</v>
      </c>
      <c r="F497" s="136" t="str">
        <f>PROPER(TRIM(Sales_data!F497))</f>
        <v>Anita Gupta</v>
      </c>
      <c r="G497" s="30" t="s">
        <v>28</v>
      </c>
      <c r="H497" s="24" t="s">
        <v>173</v>
      </c>
      <c r="I497" s="24" t="s">
        <v>114</v>
      </c>
      <c r="J497" s="24" t="s">
        <v>106</v>
      </c>
      <c r="K497" s="24" t="s">
        <v>2111</v>
      </c>
      <c r="L497" s="24" t="s">
        <v>32</v>
      </c>
      <c r="M497" s="34" t="s">
        <v>33</v>
      </c>
      <c r="N497" s="37">
        <v>20</v>
      </c>
      <c r="O497" s="44">
        <v>1650</v>
      </c>
      <c r="P497" s="35">
        <v>0</v>
      </c>
      <c r="Q497" s="34">
        <v>33000</v>
      </c>
      <c r="R497" s="24">
        <v>5</v>
      </c>
      <c r="S497" s="24" t="s">
        <v>34</v>
      </c>
      <c r="T497" s="24" t="s">
        <v>35</v>
      </c>
      <c r="U497" s="34" t="str">
        <f>Sales_data!T497</f>
        <v>anita.gupta@company.com</v>
      </c>
      <c r="V497" s="24">
        <v>9329668173</v>
      </c>
      <c r="W497" s="34" t="s">
        <v>2101</v>
      </c>
      <c r="X497" s="24">
        <v>24</v>
      </c>
      <c r="Y497" s="30" t="s">
        <v>2112</v>
      </c>
      <c r="Z497" s="29">
        <v>46841</v>
      </c>
      <c r="AA497" s="24" t="s">
        <v>2177</v>
      </c>
      <c r="AB497" s="24" t="s">
        <v>2108</v>
      </c>
      <c r="AC497" s="136" t="str">
        <f t="shared" si="14"/>
        <v>Ani004Pu</v>
      </c>
      <c r="AD497" s="136" t="str">
        <f t="shared" si="15"/>
        <v>anita.gupta@company.com</v>
      </c>
    </row>
    <row r="498" spans="1:30">
      <c r="A498" s="24" t="s">
        <v>2078</v>
      </c>
      <c r="B498" s="24" t="s">
        <v>83</v>
      </c>
      <c r="C498" s="24" t="s">
        <v>40</v>
      </c>
      <c r="D498" s="30">
        <v>45711</v>
      </c>
      <c r="E498" s="24" t="s">
        <v>272</v>
      </c>
      <c r="F498" s="136" t="str">
        <f>PROPER(TRIM(Sales_data!F498))</f>
        <v>Arjun Rao</v>
      </c>
      <c r="G498" s="30" t="s">
        <v>76</v>
      </c>
      <c r="H498" s="24" t="s">
        <v>87</v>
      </c>
      <c r="I498" s="24" t="s">
        <v>30</v>
      </c>
      <c r="J498" s="24" t="s">
        <v>31</v>
      </c>
      <c r="K498" s="24" t="s">
        <v>2109</v>
      </c>
      <c r="L498" s="24" t="s">
        <v>46</v>
      </c>
      <c r="M498" s="34" t="s">
        <v>47</v>
      </c>
      <c r="N498" s="37">
        <v>12</v>
      </c>
      <c r="O498" s="44">
        <v>9000</v>
      </c>
      <c r="P498" s="35">
        <v>0.15</v>
      </c>
      <c r="Q498" s="34">
        <v>91800</v>
      </c>
      <c r="R498" s="24">
        <v>5</v>
      </c>
      <c r="S498" s="24" t="s">
        <v>34</v>
      </c>
      <c r="T498" s="24" t="s">
        <v>151</v>
      </c>
      <c r="U498" s="34" t="str">
        <f>Sales_data!T498</f>
        <v>arjun.rao@company.com</v>
      </c>
      <c r="V498" s="24">
        <v>9294740227</v>
      </c>
      <c r="W498" s="34" t="s">
        <v>2101</v>
      </c>
      <c r="X498" s="24">
        <v>24</v>
      </c>
      <c r="Y498" s="30" t="s">
        <v>2108</v>
      </c>
      <c r="Z498" s="29">
        <v>46453</v>
      </c>
      <c r="AA498" s="24" t="s">
        <v>2174</v>
      </c>
      <c r="AB498" s="24" t="s">
        <v>2112</v>
      </c>
      <c r="AC498" s="136" t="str">
        <f t="shared" si="14"/>
        <v>Arj007Hy</v>
      </c>
      <c r="AD498" s="136" t="str">
        <f t="shared" si="15"/>
        <v>arjun.rao@company.com</v>
      </c>
    </row>
    <row r="499" spans="1:30">
      <c r="A499" s="24" t="s">
        <v>2081</v>
      </c>
      <c r="B499" s="24" t="s">
        <v>221</v>
      </c>
      <c r="C499" s="24" t="s">
        <v>72</v>
      </c>
      <c r="D499" s="30">
        <v>46002</v>
      </c>
      <c r="E499" s="24" t="s">
        <v>611</v>
      </c>
      <c r="F499" s="136" t="str">
        <f>PROPER(TRIM(Sales_data!F499))</f>
        <v>Vikas Mehta</v>
      </c>
      <c r="G499" s="30" t="s">
        <v>76</v>
      </c>
      <c r="H499" s="24" t="s">
        <v>226</v>
      </c>
      <c r="I499" s="24" t="s">
        <v>105</v>
      </c>
      <c r="J499" s="24" t="s">
        <v>106</v>
      </c>
      <c r="K499" s="24" t="s">
        <v>2113</v>
      </c>
      <c r="L499" s="24" t="s">
        <v>46</v>
      </c>
      <c r="M499" s="34" t="s">
        <v>78</v>
      </c>
      <c r="N499" s="37">
        <v>3</v>
      </c>
      <c r="O499" s="44">
        <v>900</v>
      </c>
      <c r="P499" s="35">
        <v>0.2</v>
      </c>
      <c r="Q499" s="34">
        <v>2160</v>
      </c>
      <c r="R499" s="24">
        <v>2</v>
      </c>
      <c r="S499" s="24" t="s">
        <v>2148</v>
      </c>
      <c r="T499" s="24" t="s">
        <v>115</v>
      </c>
      <c r="U499" s="34" t="str">
        <f>Sales_data!T499</f>
        <v>vikas.mehtacompany.com</v>
      </c>
      <c r="V499" s="24">
        <v>9549426303</v>
      </c>
      <c r="W499" s="34" t="s">
        <v>2100</v>
      </c>
      <c r="X499" s="24">
        <v>6</v>
      </c>
      <c r="Y499" s="30" t="s">
        <v>2112</v>
      </c>
      <c r="Z499" s="29">
        <v>46193</v>
      </c>
      <c r="AA499" s="24" t="s">
        <v>2171</v>
      </c>
      <c r="AB499" s="24" t="s">
        <v>2160</v>
      </c>
      <c r="AC499" s="136" t="str">
        <f t="shared" si="14"/>
        <v>Vik005Mu</v>
      </c>
      <c r="AD499" s="136" t="str">
        <f t="shared" si="15"/>
        <v>Invalid Email</v>
      </c>
    </row>
    <row r="500" spans="1:30">
      <c r="A500" s="24" t="s">
        <v>2084</v>
      </c>
      <c r="B500" s="24" t="s">
        <v>100</v>
      </c>
      <c r="C500" s="24" t="s">
        <v>54</v>
      </c>
      <c r="D500" s="30">
        <v>45842</v>
      </c>
      <c r="E500" s="24" t="s">
        <v>2085</v>
      </c>
      <c r="F500" s="136" t="str">
        <f>PROPER(TRIM(Sales_data!F500))</f>
        <v>Priya Patel</v>
      </c>
      <c r="G500" s="30" t="s">
        <v>28</v>
      </c>
      <c r="H500" s="24" t="s">
        <v>104</v>
      </c>
      <c r="I500" s="24" t="s">
        <v>105</v>
      </c>
      <c r="J500" s="24" t="s">
        <v>106</v>
      </c>
      <c r="K500" s="24" t="s">
        <v>2111</v>
      </c>
      <c r="L500" s="24" t="s">
        <v>46</v>
      </c>
      <c r="M500" s="34" t="s">
        <v>60</v>
      </c>
      <c r="N500" s="37">
        <v>6</v>
      </c>
      <c r="O500" s="44">
        <v>41250</v>
      </c>
      <c r="P500" s="35">
        <v>0.2</v>
      </c>
      <c r="Q500" s="34">
        <v>198000</v>
      </c>
      <c r="R500" s="24">
        <v>3</v>
      </c>
      <c r="S500" s="24" t="s">
        <v>34</v>
      </c>
      <c r="T500" s="24" t="s">
        <v>151</v>
      </c>
      <c r="U500" s="34" t="str">
        <f>Sales_data!T500</f>
        <v>priya.patel@company.com</v>
      </c>
      <c r="V500" s="24">
        <v>9374249303</v>
      </c>
      <c r="W500" s="34" t="s">
        <v>2100</v>
      </c>
      <c r="X500" s="24">
        <v>12</v>
      </c>
      <c r="Y500" s="30" t="s">
        <v>2110</v>
      </c>
      <c r="Z500" s="29">
        <v>46208</v>
      </c>
      <c r="AA500" s="24" t="s">
        <v>2175</v>
      </c>
      <c r="AB500" s="24" t="s">
        <v>2112</v>
      </c>
      <c r="AC500" s="136" t="str">
        <f t="shared" si="14"/>
        <v>Pri002Mu</v>
      </c>
      <c r="AD500" s="136" t="str">
        <f t="shared" si="15"/>
        <v>priya.patel@company.com</v>
      </c>
    </row>
    <row r="501" spans="1:30">
      <c r="A501" s="24" t="s">
        <v>2089</v>
      </c>
      <c r="B501" s="24" t="s">
        <v>100</v>
      </c>
      <c r="C501" s="24" t="s">
        <v>92</v>
      </c>
      <c r="D501" s="30">
        <v>45916</v>
      </c>
      <c r="E501" s="24" t="s">
        <v>129</v>
      </c>
      <c r="F501" s="136" t="str">
        <f>PROPER(TRIM(Sales_data!F501))</f>
        <v>Priya Patel</v>
      </c>
      <c r="G501" s="30" t="s">
        <v>28</v>
      </c>
      <c r="H501" s="24" t="s">
        <v>104</v>
      </c>
      <c r="I501" s="24" t="s">
        <v>105</v>
      </c>
      <c r="J501" s="24" t="s">
        <v>106</v>
      </c>
      <c r="K501" s="24" t="s">
        <v>2111</v>
      </c>
      <c r="L501" s="24" t="s">
        <v>32</v>
      </c>
      <c r="M501" s="34" t="s">
        <v>97</v>
      </c>
      <c r="N501" s="37">
        <v>20</v>
      </c>
      <c r="O501" s="44">
        <v>2625</v>
      </c>
      <c r="P501" s="35">
        <v>0</v>
      </c>
      <c r="Q501" s="34">
        <v>52500</v>
      </c>
      <c r="R501" s="24">
        <v>1</v>
      </c>
      <c r="S501" s="24" t="s">
        <v>2148</v>
      </c>
      <c r="T501" s="24" t="s">
        <v>151</v>
      </c>
      <c r="U501" s="34" t="str">
        <f>Sales_data!T501</f>
        <v>priya.patel@company.com</v>
      </c>
      <c r="V501" s="24">
        <v>9810334941</v>
      </c>
      <c r="W501" s="34" t="s">
        <v>2101</v>
      </c>
      <c r="X501" s="24">
        <v>6</v>
      </c>
      <c r="Y501" s="30" t="s">
        <v>2110</v>
      </c>
      <c r="Z501" s="29">
        <v>46104</v>
      </c>
      <c r="AA501" s="24" t="s">
        <v>2175</v>
      </c>
      <c r="AB501" s="24" t="s">
        <v>2160</v>
      </c>
      <c r="AC501" s="136" t="str">
        <f t="shared" si="14"/>
        <v>Pri002Mu</v>
      </c>
      <c r="AD501" s="136" t="str">
        <f t="shared" si="15"/>
        <v>priya.patel@company.com</v>
      </c>
    </row>
  </sheetData>
  <dataValidations count="1">
    <dataValidation type="whole" showInputMessage="1" showErrorMessage="1" sqref="M1" xr:uid="{C388D867-C3B3-43E8-B95C-B5B6F172281E}">
      <formula1>1</formula1>
      <formula2>50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C742-13AE-4CE8-AC35-4381BF85F983}">
  <dimension ref="A1:N27"/>
  <sheetViews>
    <sheetView workbookViewId="0">
      <selection sqref="A1:N13"/>
    </sheetView>
  </sheetViews>
  <sheetFormatPr defaultRowHeight="14.4"/>
  <cols>
    <col min="6" max="6" width="112.33203125" bestFit="1" customWidth="1"/>
    <col min="7" max="13" width="8.88671875" hidden="1" customWidth="1"/>
    <col min="14" max="14" width="49.88671875" customWidth="1"/>
  </cols>
  <sheetData>
    <row r="1" spans="1:14">
      <c r="A1" s="106" t="s">
        <v>2201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</row>
    <row r="2" spans="1:14">
      <c r="A2" s="109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10"/>
    </row>
    <row r="3" spans="1:14">
      <c r="A3" s="109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110"/>
    </row>
    <row r="4" spans="1:14">
      <c r="A4" s="109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110"/>
    </row>
    <row r="5" spans="1:14">
      <c r="A5" s="109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110"/>
    </row>
    <row r="6" spans="1:14">
      <c r="A6" s="109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10"/>
    </row>
    <row r="7" spans="1:14">
      <c r="A7" s="109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10"/>
    </row>
    <row r="8" spans="1:14">
      <c r="A8" s="10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110"/>
    </row>
    <row r="9" spans="1:14">
      <c r="A9" s="10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110"/>
    </row>
    <row r="10" spans="1:14">
      <c r="A10" s="10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110"/>
    </row>
    <row r="11" spans="1:14">
      <c r="A11" s="10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110"/>
    </row>
    <row r="12" spans="1:14">
      <c r="A12" s="10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110"/>
    </row>
    <row r="13" spans="1:14" ht="15" thickBot="1">
      <c r="A13" s="111"/>
      <c r="B13" s="112"/>
      <c r="C13" s="112"/>
      <c r="D13" s="112"/>
      <c r="E13" s="112"/>
      <c r="F13" s="115"/>
      <c r="G13" s="115"/>
      <c r="H13" s="115"/>
      <c r="I13" s="115"/>
      <c r="J13" s="115"/>
      <c r="K13" s="115"/>
      <c r="L13" s="115"/>
      <c r="M13" s="115"/>
      <c r="N13" s="116"/>
    </row>
    <row r="14" spans="1:14">
      <c r="A14" s="119" t="s">
        <v>2202</v>
      </c>
      <c r="B14" s="117"/>
      <c r="C14" s="117"/>
      <c r="D14" s="117"/>
      <c r="E14" s="120"/>
      <c r="F14" s="139" t="s">
        <v>2203</v>
      </c>
      <c r="N14" s="150" t="s">
        <v>2213</v>
      </c>
    </row>
    <row r="15" spans="1:14">
      <c r="A15" s="121"/>
      <c r="B15" s="118"/>
      <c r="C15" s="118"/>
      <c r="D15" s="118"/>
      <c r="E15" s="122"/>
      <c r="F15" s="140"/>
      <c r="N15" s="151"/>
    </row>
    <row r="16" spans="1:14">
      <c r="A16" s="121"/>
      <c r="B16" s="118"/>
      <c r="C16" s="118"/>
      <c r="D16" s="118"/>
      <c r="E16" s="122"/>
      <c r="F16" s="141" t="s">
        <v>2204</v>
      </c>
      <c r="N16" s="151"/>
    </row>
    <row r="17" spans="1:14">
      <c r="A17" s="121"/>
      <c r="B17" s="118"/>
      <c r="C17" s="118"/>
      <c r="D17" s="118"/>
      <c r="E17" s="122"/>
      <c r="F17" s="142" t="s">
        <v>2205</v>
      </c>
      <c r="N17" s="151"/>
    </row>
    <row r="18" spans="1:14">
      <c r="A18" s="121"/>
      <c r="B18" s="118"/>
      <c r="C18" s="118"/>
      <c r="D18" s="118"/>
      <c r="E18" s="122"/>
      <c r="F18" s="143"/>
      <c r="N18" s="151"/>
    </row>
    <row r="19" spans="1:14">
      <c r="A19" s="121"/>
      <c r="B19" s="118"/>
      <c r="C19" s="118"/>
      <c r="D19" s="118"/>
      <c r="E19" s="122"/>
      <c r="F19" s="141" t="s">
        <v>2207</v>
      </c>
      <c r="N19" s="151"/>
    </row>
    <row r="20" spans="1:14">
      <c r="A20" s="121"/>
      <c r="B20" s="118"/>
      <c r="C20" s="118"/>
      <c r="D20" s="118"/>
      <c r="E20" s="122"/>
      <c r="F20" s="140" t="s">
        <v>2206</v>
      </c>
      <c r="N20" s="151"/>
    </row>
    <row r="21" spans="1:14">
      <c r="A21" s="121"/>
      <c r="B21" s="118"/>
      <c r="C21" s="118"/>
      <c r="D21" s="118"/>
      <c r="E21" s="122"/>
      <c r="F21" s="143"/>
      <c r="N21" s="151"/>
    </row>
    <row r="22" spans="1:14">
      <c r="A22" s="121"/>
      <c r="B22" s="118"/>
      <c r="C22" s="118"/>
      <c r="D22" s="118"/>
      <c r="E22" s="122"/>
      <c r="F22" s="144" t="s">
        <v>2209</v>
      </c>
      <c r="N22" s="151"/>
    </row>
    <row r="23" spans="1:14">
      <c r="A23" s="121"/>
      <c r="B23" s="118"/>
      <c r="C23" s="118"/>
      <c r="D23" s="118"/>
      <c r="E23" s="122"/>
      <c r="F23" s="145" t="s">
        <v>2208</v>
      </c>
      <c r="N23" s="151"/>
    </row>
    <row r="24" spans="1:14">
      <c r="A24" s="121"/>
      <c r="B24" s="118"/>
      <c r="C24" s="118"/>
      <c r="D24" s="118"/>
      <c r="E24" s="122"/>
      <c r="F24" s="145"/>
      <c r="N24" s="151"/>
    </row>
    <row r="25" spans="1:14">
      <c r="A25" s="121"/>
      <c r="B25" s="118"/>
      <c r="C25" s="118"/>
      <c r="D25" s="118"/>
      <c r="E25" s="122"/>
      <c r="F25" s="146" t="s">
        <v>2210</v>
      </c>
      <c r="N25" s="151"/>
    </row>
    <row r="26" spans="1:14">
      <c r="A26" s="121"/>
      <c r="B26" s="118"/>
      <c r="C26" s="118"/>
      <c r="D26" s="118"/>
      <c r="E26" s="122"/>
      <c r="F26" s="146" t="s">
        <v>2211</v>
      </c>
      <c r="N26" s="151"/>
    </row>
    <row r="27" spans="1:14" ht="15" thickBot="1">
      <c r="A27" s="123"/>
      <c r="B27" s="124"/>
      <c r="C27" s="124"/>
      <c r="D27" s="124"/>
      <c r="E27" s="125"/>
      <c r="F27" s="147" t="s">
        <v>2212</v>
      </c>
      <c r="N27" s="152"/>
    </row>
  </sheetData>
  <mergeCells count="3">
    <mergeCell ref="A1:N13"/>
    <mergeCell ref="A14:E27"/>
    <mergeCell ref="N14:N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BC86-2C8D-4090-BD38-6F983C97DCF8}">
  <dimension ref="A1:K777"/>
  <sheetViews>
    <sheetView workbookViewId="0">
      <selection activeCell="I2" sqref="I2"/>
    </sheetView>
  </sheetViews>
  <sheetFormatPr defaultRowHeight="14.4"/>
  <cols>
    <col min="1" max="1" width="13" style="24" bestFit="1" customWidth="1"/>
    <col min="2" max="2" width="16.33203125" style="24" bestFit="1" customWidth="1"/>
    <col min="3" max="3" width="14.88671875" style="24" bestFit="1" customWidth="1"/>
    <col min="4" max="4" width="16.77734375" style="49" bestFit="1" customWidth="1"/>
    <col min="5" max="5" width="17.109375" bestFit="1" customWidth="1"/>
    <col min="6" max="6" width="15.21875" bestFit="1" customWidth="1"/>
    <col min="7" max="7" width="7.109375" bestFit="1" customWidth="1"/>
    <col min="8" max="8" width="10.5546875" bestFit="1" customWidth="1"/>
    <col min="9" max="9" width="12.77734375" bestFit="1" customWidth="1"/>
    <col min="10" max="10" width="18.33203125" bestFit="1" customWidth="1"/>
    <col min="11" max="11" width="13.5546875" bestFit="1" customWidth="1"/>
  </cols>
  <sheetData>
    <row r="1" spans="1:1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51" t="s">
        <v>2214</v>
      </c>
      <c r="J1" s="51" t="s">
        <v>2215</v>
      </c>
      <c r="K1" s="51" t="s">
        <v>2216</v>
      </c>
    </row>
    <row r="2" spans="1:11">
      <c r="A2" s="24" t="s">
        <v>22</v>
      </c>
      <c r="B2" s="24" t="s">
        <v>23</v>
      </c>
      <c r="C2" s="24" t="s">
        <v>24</v>
      </c>
      <c r="D2" s="30">
        <v>45918</v>
      </c>
      <c r="E2" s="30">
        <v>45922</v>
      </c>
      <c r="F2" s="24" t="s">
        <v>27</v>
      </c>
      <c r="G2" s="24" t="s">
        <v>28</v>
      </c>
      <c r="H2" s="30" t="s">
        <v>29</v>
      </c>
      <c r="I2" s="232">
        <f ca="1">DATEDIF(H2, TODAY(), "Y")</f>
        <v>49</v>
      </c>
      <c r="J2" s="232">
        <f>IFERROR(IF(OR(E2="", D2="", LOWER(TRIM(E2))="pending", LOWER(TRIM(D2))="pending"), "Pending", E2 - D2), "Pending")</f>
        <v>4</v>
      </c>
      <c r="K2" s="233" t="str">
        <f>IFERROR(IF(OR(E2="", D2="","Pending","Pending"), "Pending", IF((E2 - D2) &lt;= 5, "On Time", "Delayed")), "Pending")</f>
        <v>On Time</v>
      </c>
    </row>
    <row r="3" spans="1:11">
      <c r="A3" s="24" t="s">
        <v>39</v>
      </c>
      <c r="B3" s="24" t="s">
        <v>23</v>
      </c>
      <c r="C3" s="24" t="s">
        <v>40</v>
      </c>
      <c r="D3" s="30">
        <v>45774</v>
      </c>
      <c r="E3" s="30">
        <v>45781</v>
      </c>
      <c r="F3" s="24" t="s">
        <v>27</v>
      </c>
      <c r="G3" s="24" t="s">
        <v>28</v>
      </c>
      <c r="H3" s="30" t="s">
        <v>29</v>
      </c>
      <c r="I3" s="232">
        <f t="shared" ref="I3:I66" ca="1" si="0">DATEDIF(H3, TODAY(), "Y")</f>
        <v>49</v>
      </c>
      <c r="J3" s="232">
        <f t="shared" ref="J3:J66" si="1">IFERROR(IF(OR(E3="", D3="", LOWER(TRIM(E3))="pending", LOWER(TRIM(D3))="pending"), "Pending", E3 - D3), "Pending")</f>
        <v>7</v>
      </c>
      <c r="K3" s="233" t="str">
        <f t="shared" ref="K3:K66" si="2">IFERROR(IF(OR(E3="", D3="","Pending","Pending"), "Pending", IF((E3 - D3) &lt;= 5, "On Time", "Delayed")), "Pending")</f>
        <v>Delayed</v>
      </c>
    </row>
    <row r="4" spans="1:11">
      <c r="A4" s="24" t="s">
        <v>52</v>
      </c>
      <c r="B4" s="24" t="s">
        <v>53</v>
      </c>
      <c r="C4" s="24" t="s">
        <v>54</v>
      </c>
      <c r="D4" s="30">
        <v>45903</v>
      </c>
      <c r="E4" s="30">
        <v>45914</v>
      </c>
      <c r="F4" s="24" t="s">
        <v>163</v>
      </c>
      <c r="G4" s="24" t="s">
        <v>28</v>
      </c>
      <c r="H4" s="30" t="s">
        <v>58</v>
      </c>
      <c r="I4" s="232">
        <f t="shared" ca="1" si="0"/>
        <v>31</v>
      </c>
      <c r="J4" s="232">
        <f t="shared" si="1"/>
        <v>11</v>
      </c>
      <c r="K4" s="233" t="str">
        <f t="shared" si="2"/>
        <v>Delayed</v>
      </c>
    </row>
    <row r="5" spans="1:11">
      <c r="A5" s="24" t="s">
        <v>2129</v>
      </c>
      <c r="B5" s="24" t="s">
        <v>23</v>
      </c>
      <c r="C5" s="24" t="s">
        <v>24</v>
      </c>
      <c r="D5" s="30">
        <v>46102</v>
      </c>
      <c r="E5" s="30">
        <v>46114</v>
      </c>
      <c r="F5" s="24" t="s">
        <v>27</v>
      </c>
      <c r="G5" s="24" t="s">
        <v>28</v>
      </c>
      <c r="H5" s="30" t="s">
        <v>29</v>
      </c>
      <c r="I5" s="232">
        <f t="shared" ca="1" si="0"/>
        <v>49</v>
      </c>
      <c r="J5" s="232">
        <f t="shared" si="1"/>
        <v>12</v>
      </c>
      <c r="K5" s="233" t="str">
        <f t="shared" si="2"/>
        <v>Delayed</v>
      </c>
    </row>
    <row r="6" spans="1:11">
      <c r="A6" s="24" t="s">
        <v>70</v>
      </c>
      <c r="B6" s="24" t="s">
        <v>71</v>
      </c>
      <c r="C6" s="24" t="s">
        <v>72</v>
      </c>
      <c r="D6" s="30">
        <v>45927</v>
      </c>
      <c r="E6" s="30">
        <v>45937</v>
      </c>
      <c r="F6" s="24" t="s">
        <v>217</v>
      </c>
      <c r="G6" s="24" t="s">
        <v>76</v>
      </c>
      <c r="H6" s="30" t="s">
        <v>77</v>
      </c>
      <c r="I6" s="232">
        <f t="shared" ca="1" si="0"/>
        <v>50</v>
      </c>
      <c r="J6" s="232">
        <f t="shared" si="1"/>
        <v>10</v>
      </c>
      <c r="K6" s="233" t="str">
        <f t="shared" si="2"/>
        <v>Delayed</v>
      </c>
    </row>
    <row r="7" spans="1:11">
      <c r="A7" s="24" t="s">
        <v>82</v>
      </c>
      <c r="B7" s="24" t="s">
        <v>83</v>
      </c>
      <c r="C7" s="24" t="s">
        <v>24</v>
      </c>
      <c r="D7" s="30">
        <v>46026</v>
      </c>
      <c r="E7" s="30">
        <v>46034</v>
      </c>
      <c r="F7" s="24" t="s">
        <v>180</v>
      </c>
      <c r="G7" s="24" t="s">
        <v>76</v>
      </c>
      <c r="H7" s="30" t="s">
        <v>87</v>
      </c>
      <c r="I7" s="232">
        <f t="shared" ca="1" si="0"/>
        <v>38</v>
      </c>
      <c r="J7" s="232">
        <f t="shared" si="1"/>
        <v>8</v>
      </c>
      <c r="K7" s="233" t="str">
        <f t="shared" si="2"/>
        <v>Delayed</v>
      </c>
    </row>
    <row r="8" spans="1:11">
      <c r="A8" s="24" t="s">
        <v>91</v>
      </c>
      <c r="B8" s="24" t="s">
        <v>23</v>
      </c>
      <c r="C8" s="24" t="s">
        <v>92</v>
      </c>
      <c r="D8" s="30" t="s">
        <v>93</v>
      </c>
      <c r="E8" s="30">
        <v>46078</v>
      </c>
      <c r="F8" s="24" t="s">
        <v>27</v>
      </c>
      <c r="G8" s="24" t="s">
        <v>28</v>
      </c>
      <c r="H8" s="30" t="s">
        <v>29</v>
      </c>
      <c r="I8" s="232">
        <f t="shared" ca="1" si="0"/>
        <v>49</v>
      </c>
      <c r="J8" s="232" t="str">
        <f t="shared" si="1"/>
        <v>Pending</v>
      </c>
      <c r="K8" s="233" t="str">
        <f t="shared" si="2"/>
        <v>Pending</v>
      </c>
    </row>
    <row r="9" spans="1:11">
      <c r="A9" s="24" t="s">
        <v>99</v>
      </c>
      <c r="B9" s="24" t="s">
        <v>100</v>
      </c>
      <c r="C9" s="24" t="s">
        <v>40</v>
      </c>
      <c r="D9" s="30">
        <v>45760</v>
      </c>
      <c r="E9" s="30">
        <v>45766</v>
      </c>
      <c r="F9" s="24" t="s">
        <v>103</v>
      </c>
      <c r="G9" s="24" t="s">
        <v>28</v>
      </c>
      <c r="H9" s="30" t="s">
        <v>104</v>
      </c>
      <c r="I9" s="232">
        <f t="shared" ca="1" si="0"/>
        <v>31</v>
      </c>
      <c r="J9" s="232">
        <f t="shared" si="1"/>
        <v>6</v>
      </c>
      <c r="K9" s="233" t="str">
        <f t="shared" si="2"/>
        <v>Delayed</v>
      </c>
    </row>
    <row r="10" spans="1:11">
      <c r="A10" s="24" t="s">
        <v>109</v>
      </c>
      <c r="B10" s="24" t="s">
        <v>23</v>
      </c>
      <c r="C10" s="24" t="s">
        <v>40</v>
      </c>
      <c r="D10" s="30">
        <v>46053</v>
      </c>
      <c r="E10" s="30">
        <v>46055</v>
      </c>
      <c r="F10" s="24" t="s">
        <v>27</v>
      </c>
      <c r="G10" s="24" t="s">
        <v>28</v>
      </c>
      <c r="H10" s="30" t="s">
        <v>29</v>
      </c>
      <c r="I10" s="232">
        <f t="shared" ca="1" si="0"/>
        <v>49</v>
      </c>
      <c r="J10" s="232">
        <f t="shared" si="1"/>
        <v>2</v>
      </c>
      <c r="K10" s="233" t="str">
        <f t="shared" si="2"/>
        <v>On Time</v>
      </c>
    </row>
    <row r="11" spans="1:11">
      <c r="A11" s="24" t="s">
        <v>117</v>
      </c>
      <c r="B11" s="24" t="s">
        <v>100</v>
      </c>
      <c r="C11" s="24" t="s">
        <v>118</v>
      </c>
      <c r="D11" s="30">
        <v>45741</v>
      </c>
      <c r="E11" s="30">
        <v>45743</v>
      </c>
      <c r="F11" s="24" t="s">
        <v>103</v>
      </c>
      <c r="G11" s="24" t="s">
        <v>28</v>
      </c>
      <c r="H11" s="30" t="s">
        <v>104</v>
      </c>
      <c r="I11" s="232">
        <f t="shared" ca="1" si="0"/>
        <v>31</v>
      </c>
      <c r="J11" s="232">
        <f t="shared" si="1"/>
        <v>2</v>
      </c>
      <c r="K11" s="233" t="str">
        <f t="shared" si="2"/>
        <v>On Time</v>
      </c>
    </row>
    <row r="12" spans="1:11">
      <c r="A12" s="24" t="s">
        <v>126</v>
      </c>
      <c r="B12" s="24" t="s">
        <v>127</v>
      </c>
      <c r="C12" s="24" t="s">
        <v>24</v>
      </c>
      <c r="D12" s="30">
        <v>45919</v>
      </c>
      <c r="E12" s="30">
        <v>45923</v>
      </c>
      <c r="F12" s="24" t="s">
        <v>200</v>
      </c>
      <c r="G12" s="24" t="s">
        <v>76</v>
      </c>
      <c r="H12" s="30" t="s">
        <v>131</v>
      </c>
      <c r="I12" s="232">
        <f t="shared" ca="1" si="0"/>
        <v>44</v>
      </c>
      <c r="J12" s="232">
        <f t="shared" si="1"/>
        <v>4</v>
      </c>
      <c r="K12" s="233" t="str">
        <f t="shared" si="2"/>
        <v>On Time</v>
      </c>
    </row>
    <row r="13" spans="1:11">
      <c r="A13" s="24" t="s">
        <v>134</v>
      </c>
      <c r="B13" s="24" t="s">
        <v>23</v>
      </c>
      <c r="C13" s="24" t="s">
        <v>92</v>
      </c>
      <c r="D13" s="30">
        <v>45724</v>
      </c>
      <c r="E13" s="30">
        <v>45731</v>
      </c>
      <c r="F13" s="24" t="s">
        <v>27</v>
      </c>
      <c r="G13" s="24" t="s">
        <v>28</v>
      </c>
      <c r="H13" s="30" t="s">
        <v>29</v>
      </c>
      <c r="I13" s="232">
        <f t="shared" ca="1" si="0"/>
        <v>49</v>
      </c>
      <c r="J13" s="232">
        <f t="shared" si="1"/>
        <v>7</v>
      </c>
      <c r="K13" s="233" t="str">
        <f t="shared" si="2"/>
        <v>Delayed</v>
      </c>
    </row>
    <row r="14" spans="1:11">
      <c r="A14" s="24" t="s">
        <v>140</v>
      </c>
      <c r="B14" s="24" t="s">
        <v>100</v>
      </c>
      <c r="C14" s="24" t="s">
        <v>24</v>
      </c>
      <c r="D14" s="30">
        <v>45667</v>
      </c>
      <c r="E14" s="30">
        <v>45672</v>
      </c>
      <c r="F14" s="24" t="s">
        <v>103</v>
      </c>
      <c r="G14" s="24" t="s">
        <v>28</v>
      </c>
      <c r="H14" s="30" t="s">
        <v>104</v>
      </c>
      <c r="I14" s="232">
        <f t="shared" ca="1" si="0"/>
        <v>31</v>
      </c>
      <c r="J14" s="232">
        <f t="shared" si="1"/>
        <v>5</v>
      </c>
      <c r="K14" s="233" t="str">
        <f t="shared" si="2"/>
        <v>On Time</v>
      </c>
    </row>
    <row r="15" spans="1:11">
      <c r="A15" s="24" t="s">
        <v>146</v>
      </c>
      <c r="B15" s="24" t="s">
        <v>127</v>
      </c>
      <c r="C15" s="24" t="s">
        <v>24</v>
      </c>
      <c r="D15" s="30">
        <v>45725</v>
      </c>
      <c r="E15" s="30">
        <v>45729</v>
      </c>
      <c r="F15" s="24" t="s">
        <v>200</v>
      </c>
      <c r="G15" s="24" t="s">
        <v>76</v>
      </c>
      <c r="H15" s="30" t="s">
        <v>131</v>
      </c>
      <c r="I15" s="232">
        <f t="shared" ca="1" si="0"/>
        <v>44</v>
      </c>
      <c r="J15" s="232">
        <f t="shared" si="1"/>
        <v>4</v>
      </c>
      <c r="K15" s="233" t="str">
        <f t="shared" si="2"/>
        <v>On Time</v>
      </c>
    </row>
    <row r="16" spans="1:11">
      <c r="A16" s="24" t="s">
        <v>154</v>
      </c>
      <c r="B16" s="24" t="s">
        <v>23</v>
      </c>
      <c r="C16" s="24" t="s">
        <v>92</v>
      </c>
      <c r="D16" s="30">
        <v>45864</v>
      </c>
      <c r="E16" s="30">
        <v>45876</v>
      </c>
      <c r="F16" s="24" t="s">
        <v>27</v>
      </c>
      <c r="G16" s="24" t="s">
        <v>28</v>
      </c>
      <c r="H16" s="30" t="s">
        <v>29</v>
      </c>
      <c r="I16" s="232">
        <f t="shared" ca="1" si="0"/>
        <v>49</v>
      </c>
      <c r="J16" s="232">
        <f t="shared" si="1"/>
        <v>12</v>
      </c>
      <c r="K16" s="233" t="str">
        <f t="shared" si="2"/>
        <v>Delayed</v>
      </c>
    </row>
    <row r="17" spans="1:11">
      <c r="A17" s="24" t="s">
        <v>160</v>
      </c>
      <c r="B17" s="24" t="s">
        <v>53</v>
      </c>
      <c r="C17" s="24" t="s">
        <v>72</v>
      </c>
      <c r="D17" s="30">
        <v>46120</v>
      </c>
      <c r="E17" s="30">
        <v>46123</v>
      </c>
      <c r="F17" s="24" t="s">
        <v>163</v>
      </c>
      <c r="G17" s="24" t="s">
        <v>28</v>
      </c>
      <c r="H17" s="30" t="s">
        <v>58</v>
      </c>
      <c r="I17" s="232">
        <f t="shared" ca="1" si="0"/>
        <v>31</v>
      </c>
      <c r="J17" s="232">
        <f t="shared" si="1"/>
        <v>3</v>
      </c>
      <c r="K17" s="233" t="str">
        <f t="shared" si="2"/>
        <v>On Time</v>
      </c>
    </row>
    <row r="18" spans="1:11">
      <c r="A18" s="24" t="s">
        <v>167</v>
      </c>
      <c r="B18" s="24" t="s">
        <v>168</v>
      </c>
      <c r="C18" s="24" t="s">
        <v>169</v>
      </c>
      <c r="D18" s="30">
        <v>46075</v>
      </c>
      <c r="E18" s="30">
        <v>46084</v>
      </c>
      <c r="F18" s="24" t="s">
        <v>361</v>
      </c>
      <c r="G18" s="24" t="s">
        <v>28</v>
      </c>
      <c r="H18" s="30" t="s">
        <v>173</v>
      </c>
      <c r="I18" s="232">
        <f t="shared" ca="1" si="0"/>
        <v>24</v>
      </c>
      <c r="J18" s="232">
        <f t="shared" si="1"/>
        <v>9</v>
      </c>
      <c r="K18" s="233" t="str">
        <f t="shared" si="2"/>
        <v>Delayed</v>
      </c>
    </row>
    <row r="19" spans="1:11">
      <c r="A19" s="24" t="s">
        <v>177</v>
      </c>
      <c r="B19" s="24" t="s">
        <v>83</v>
      </c>
      <c r="C19" s="24" t="s">
        <v>169</v>
      </c>
      <c r="D19" s="30">
        <v>46081</v>
      </c>
      <c r="E19" s="30">
        <v>46086</v>
      </c>
      <c r="F19" s="24" t="s">
        <v>180</v>
      </c>
      <c r="G19" s="24" t="s">
        <v>76</v>
      </c>
      <c r="H19" s="30" t="s">
        <v>87</v>
      </c>
      <c r="I19" s="232">
        <f t="shared" ca="1" si="0"/>
        <v>38</v>
      </c>
      <c r="J19" s="232">
        <f t="shared" si="1"/>
        <v>5</v>
      </c>
      <c r="K19" s="233" t="str">
        <f t="shared" si="2"/>
        <v>On Time</v>
      </c>
    </row>
    <row r="20" spans="1:11">
      <c r="A20" s="24" t="s">
        <v>183</v>
      </c>
      <c r="B20" s="24" t="s">
        <v>83</v>
      </c>
      <c r="C20" s="24" t="s">
        <v>184</v>
      </c>
      <c r="D20" s="30">
        <v>45992</v>
      </c>
      <c r="E20" s="30">
        <v>45995</v>
      </c>
      <c r="F20" s="24" t="s">
        <v>180</v>
      </c>
      <c r="G20" s="24" t="s">
        <v>76</v>
      </c>
      <c r="H20" s="30" t="s">
        <v>87</v>
      </c>
      <c r="I20" s="232">
        <f t="shared" ca="1" si="0"/>
        <v>38</v>
      </c>
      <c r="J20" s="232">
        <f t="shared" si="1"/>
        <v>3</v>
      </c>
      <c r="K20" s="233" t="str">
        <f t="shared" si="2"/>
        <v>On Time</v>
      </c>
    </row>
    <row r="21" spans="1:11">
      <c r="A21" s="24" t="s">
        <v>192</v>
      </c>
      <c r="B21" s="24" t="s">
        <v>23</v>
      </c>
      <c r="C21" s="24" t="s">
        <v>54</v>
      </c>
      <c r="D21" s="30">
        <v>45833</v>
      </c>
      <c r="E21" s="30">
        <v>45841</v>
      </c>
      <c r="F21" s="24" t="s">
        <v>27</v>
      </c>
      <c r="G21" s="24" t="s">
        <v>28</v>
      </c>
      <c r="H21" s="30" t="s">
        <v>29</v>
      </c>
      <c r="I21" s="232">
        <f t="shared" ca="1" si="0"/>
        <v>49</v>
      </c>
      <c r="J21" s="232">
        <f t="shared" si="1"/>
        <v>8</v>
      </c>
      <c r="K21" s="233" t="str">
        <f t="shared" si="2"/>
        <v>Delayed</v>
      </c>
    </row>
    <row r="22" spans="1:11">
      <c r="A22" s="24" t="s">
        <v>197</v>
      </c>
      <c r="B22" s="24" t="s">
        <v>127</v>
      </c>
      <c r="C22" s="24" t="s">
        <v>184</v>
      </c>
      <c r="D22" s="30">
        <v>45773</v>
      </c>
      <c r="E22" s="30">
        <v>45782</v>
      </c>
      <c r="F22" s="24" t="s">
        <v>200</v>
      </c>
      <c r="G22" s="24" t="s">
        <v>76</v>
      </c>
      <c r="H22" s="30" t="s">
        <v>131</v>
      </c>
      <c r="I22" s="232">
        <f t="shared" ca="1" si="0"/>
        <v>44</v>
      </c>
      <c r="J22" s="232">
        <f t="shared" si="1"/>
        <v>9</v>
      </c>
      <c r="K22" s="233" t="str">
        <f t="shared" si="2"/>
        <v>Delayed</v>
      </c>
    </row>
    <row r="23" spans="1:11">
      <c r="A23" s="24" t="s">
        <v>204</v>
      </c>
      <c r="B23" s="24" t="s">
        <v>23</v>
      </c>
      <c r="C23" s="24" t="s">
        <v>92</v>
      </c>
      <c r="D23" s="30">
        <v>45660</v>
      </c>
      <c r="E23" s="30">
        <v>45665</v>
      </c>
      <c r="F23" s="24" t="s">
        <v>27</v>
      </c>
      <c r="G23" s="24" t="s">
        <v>28</v>
      </c>
      <c r="H23" s="30" t="s">
        <v>29</v>
      </c>
      <c r="I23" s="232">
        <f t="shared" ca="1" si="0"/>
        <v>49</v>
      </c>
      <c r="J23" s="232">
        <f t="shared" si="1"/>
        <v>5</v>
      </c>
      <c r="K23" s="233" t="str">
        <f t="shared" si="2"/>
        <v>On Time</v>
      </c>
    </row>
    <row r="24" spans="1:11">
      <c r="A24" s="24" t="s">
        <v>209</v>
      </c>
      <c r="B24" s="24" t="s">
        <v>100</v>
      </c>
      <c r="C24" s="24" t="s">
        <v>184</v>
      </c>
      <c r="D24" s="30">
        <v>45766</v>
      </c>
      <c r="E24" s="30">
        <v>45777</v>
      </c>
      <c r="F24" s="24" t="s">
        <v>103</v>
      </c>
      <c r="G24" s="24" t="s">
        <v>28</v>
      </c>
      <c r="H24" s="30" t="s">
        <v>104</v>
      </c>
      <c r="I24" s="232">
        <f t="shared" ca="1" si="0"/>
        <v>31</v>
      </c>
      <c r="J24" s="232">
        <f t="shared" si="1"/>
        <v>11</v>
      </c>
      <c r="K24" s="233" t="str">
        <f t="shared" si="2"/>
        <v>Delayed</v>
      </c>
    </row>
    <row r="25" spans="1:11">
      <c r="A25" s="24" t="s">
        <v>214</v>
      </c>
      <c r="B25" s="24" t="s">
        <v>71</v>
      </c>
      <c r="C25" s="24" t="s">
        <v>54</v>
      </c>
      <c r="D25" s="30">
        <v>46013</v>
      </c>
      <c r="E25" s="30">
        <v>46023</v>
      </c>
      <c r="F25" s="24" t="s">
        <v>217</v>
      </c>
      <c r="G25" s="24" t="s">
        <v>76</v>
      </c>
      <c r="H25" s="30" t="s">
        <v>77</v>
      </c>
      <c r="I25" s="232">
        <f t="shared" ca="1" si="0"/>
        <v>50</v>
      </c>
      <c r="J25" s="232">
        <f t="shared" si="1"/>
        <v>10</v>
      </c>
      <c r="K25" s="233" t="str">
        <f t="shared" si="2"/>
        <v>Delayed</v>
      </c>
    </row>
    <row r="26" spans="1:11">
      <c r="A26" s="24" t="s">
        <v>220</v>
      </c>
      <c r="B26" s="24" t="s">
        <v>221</v>
      </c>
      <c r="C26" s="24" t="s">
        <v>222</v>
      </c>
      <c r="D26" s="30">
        <v>46121</v>
      </c>
      <c r="E26" s="30">
        <v>46132</v>
      </c>
      <c r="F26" s="24" t="s">
        <v>225</v>
      </c>
      <c r="G26" s="24" t="s">
        <v>76</v>
      </c>
      <c r="H26" s="30" t="s">
        <v>226</v>
      </c>
      <c r="I26" s="232">
        <f t="shared" ca="1" si="0"/>
        <v>34</v>
      </c>
      <c r="J26" s="232">
        <f t="shared" si="1"/>
        <v>11</v>
      </c>
      <c r="K26" s="233" t="str">
        <f t="shared" si="2"/>
        <v>Delayed</v>
      </c>
    </row>
    <row r="27" spans="1:11">
      <c r="A27" s="24" t="s">
        <v>230</v>
      </c>
      <c r="B27" s="24" t="s">
        <v>83</v>
      </c>
      <c r="C27" s="24" t="s">
        <v>222</v>
      </c>
      <c r="D27" s="30">
        <v>45832</v>
      </c>
      <c r="E27" s="30">
        <v>45840</v>
      </c>
      <c r="F27" s="24" t="s">
        <v>180</v>
      </c>
      <c r="G27" s="24" t="s">
        <v>76</v>
      </c>
      <c r="H27" s="30" t="s">
        <v>87</v>
      </c>
      <c r="I27" s="232">
        <f t="shared" ca="1" si="0"/>
        <v>38</v>
      </c>
      <c r="J27" s="232">
        <f t="shared" si="1"/>
        <v>8</v>
      </c>
      <c r="K27" s="233" t="str">
        <f t="shared" si="2"/>
        <v>Delayed</v>
      </c>
    </row>
    <row r="28" spans="1:11">
      <c r="A28" s="24" t="s">
        <v>235</v>
      </c>
      <c r="B28" s="24" t="s">
        <v>71</v>
      </c>
      <c r="C28" s="24" t="s">
        <v>92</v>
      </c>
      <c r="D28" s="30">
        <v>45799</v>
      </c>
      <c r="E28" s="30">
        <v>45802</v>
      </c>
      <c r="F28" s="24" t="s">
        <v>217</v>
      </c>
      <c r="G28" s="24" t="s">
        <v>76</v>
      </c>
      <c r="H28" s="30" t="s">
        <v>77</v>
      </c>
      <c r="I28" s="232">
        <f t="shared" ca="1" si="0"/>
        <v>50</v>
      </c>
      <c r="J28" s="232">
        <f t="shared" si="1"/>
        <v>3</v>
      </c>
      <c r="K28" s="233" t="str">
        <f t="shared" si="2"/>
        <v>On Time</v>
      </c>
    </row>
    <row r="29" spans="1:11">
      <c r="A29" s="24" t="s">
        <v>240</v>
      </c>
      <c r="B29" s="24" t="s">
        <v>23</v>
      </c>
      <c r="C29" s="24" t="s">
        <v>72</v>
      </c>
      <c r="D29" s="30">
        <v>46094</v>
      </c>
      <c r="E29" s="30">
        <v>46101</v>
      </c>
      <c r="F29" s="24" t="s">
        <v>27</v>
      </c>
      <c r="G29" s="24" t="s">
        <v>28</v>
      </c>
      <c r="H29" s="30" t="s">
        <v>29</v>
      </c>
      <c r="I29" s="232">
        <f t="shared" ca="1" si="0"/>
        <v>49</v>
      </c>
      <c r="J29" s="232">
        <f t="shared" si="1"/>
        <v>7</v>
      </c>
      <c r="K29" s="233" t="str">
        <f t="shared" si="2"/>
        <v>Delayed</v>
      </c>
    </row>
    <row r="30" spans="1:11">
      <c r="A30" s="24" t="s">
        <v>245</v>
      </c>
      <c r="B30" s="24" t="s">
        <v>127</v>
      </c>
      <c r="C30" s="24" t="s">
        <v>169</v>
      </c>
      <c r="D30" s="30">
        <v>45908</v>
      </c>
      <c r="E30" s="30">
        <v>45920</v>
      </c>
      <c r="F30" s="24" t="s">
        <v>200</v>
      </c>
      <c r="G30" s="24" t="s">
        <v>76</v>
      </c>
      <c r="H30" s="30" t="s">
        <v>131</v>
      </c>
      <c r="I30" s="232">
        <f t="shared" ca="1" si="0"/>
        <v>44</v>
      </c>
      <c r="J30" s="232">
        <f t="shared" si="1"/>
        <v>12</v>
      </c>
      <c r="K30" s="233" t="str">
        <f t="shared" si="2"/>
        <v>Delayed</v>
      </c>
    </row>
    <row r="31" spans="1:11">
      <c r="A31" s="24" t="s">
        <v>250</v>
      </c>
      <c r="B31" s="24" t="s">
        <v>251</v>
      </c>
      <c r="C31" s="24" t="s">
        <v>118</v>
      </c>
      <c r="D31" s="30">
        <v>46033</v>
      </c>
      <c r="E31" s="30">
        <v>46038</v>
      </c>
      <c r="F31" s="24" t="s">
        <v>254</v>
      </c>
      <c r="G31" s="24" t="s">
        <v>28</v>
      </c>
      <c r="H31" s="30" t="s">
        <v>255</v>
      </c>
      <c r="I31" s="232">
        <f t="shared" ca="1" si="0"/>
        <v>45</v>
      </c>
      <c r="J31" s="232">
        <f t="shared" si="1"/>
        <v>5</v>
      </c>
      <c r="K31" s="233" t="str">
        <f t="shared" si="2"/>
        <v>On Time</v>
      </c>
    </row>
    <row r="32" spans="1:11">
      <c r="A32" s="24" t="s">
        <v>258</v>
      </c>
      <c r="B32" s="24" t="s">
        <v>23</v>
      </c>
      <c r="C32" s="24" t="s">
        <v>259</v>
      </c>
      <c r="D32" s="30">
        <v>45824</v>
      </c>
      <c r="E32" s="30">
        <v>45834</v>
      </c>
      <c r="F32" s="24" t="s">
        <v>27</v>
      </c>
      <c r="G32" s="24" t="s">
        <v>28</v>
      </c>
      <c r="H32" s="30" t="s">
        <v>29</v>
      </c>
      <c r="I32" s="232">
        <f t="shared" ca="1" si="0"/>
        <v>49</v>
      </c>
      <c r="J32" s="232">
        <f t="shared" si="1"/>
        <v>10</v>
      </c>
      <c r="K32" s="233" t="str">
        <f t="shared" si="2"/>
        <v>Delayed</v>
      </c>
    </row>
    <row r="33" spans="1:11">
      <c r="A33" s="24" t="s">
        <v>265</v>
      </c>
      <c r="B33" s="24" t="s">
        <v>100</v>
      </c>
      <c r="C33" s="24" t="s">
        <v>40</v>
      </c>
      <c r="D33" s="30">
        <v>45839</v>
      </c>
      <c r="E33" s="30">
        <v>45851</v>
      </c>
      <c r="F33" s="24" t="s">
        <v>103</v>
      </c>
      <c r="G33" s="24" t="s">
        <v>28</v>
      </c>
      <c r="H33" s="30" t="s">
        <v>104</v>
      </c>
      <c r="I33" s="232">
        <f t="shared" ca="1" si="0"/>
        <v>31</v>
      </c>
      <c r="J33" s="232">
        <f t="shared" si="1"/>
        <v>12</v>
      </c>
      <c r="K33" s="233" t="str">
        <f t="shared" si="2"/>
        <v>Delayed</v>
      </c>
    </row>
    <row r="34" spans="1:11">
      <c r="A34" s="24" t="s">
        <v>271</v>
      </c>
      <c r="B34" s="24" t="s">
        <v>251</v>
      </c>
      <c r="C34" s="24" t="s">
        <v>24</v>
      </c>
      <c r="D34" s="30">
        <v>45723</v>
      </c>
      <c r="E34" s="30">
        <v>45731</v>
      </c>
      <c r="F34" s="24" t="s">
        <v>254</v>
      </c>
      <c r="G34" s="24" t="s">
        <v>28</v>
      </c>
      <c r="H34" s="30" t="s">
        <v>255</v>
      </c>
      <c r="I34" s="232">
        <f t="shared" ca="1" si="0"/>
        <v>45</v>
      </c>
      <c r="J34" s="232">
        <f t="shared" si="1"/>
        <v>8</v>
      </c>
      <c r="K34" s="233" t="str">
        <f t="shared" si="2"/>
        <v>Delayed</v>
      </c>
    </row>
    <row r="35" spans="1:11">
      <c r="A35" s="24" t="s">
        <v>275</v>
      </c>
      <c r="B35" s="24" t="s">
        <v>83</v>
      </c>
      <c r="C35" s="24" t="s">
        <v>222</v>
      </c>
      <c r="D35" s="30">
        <v>45832</v>
      </c>
      <c r="E35" s="30">
        <v>45842</v>
      </c>
      <c r="F35" s="24" t="s">
        <v>180</v>
      </c>
      <c r="G35" s="24" t="s">
        <v>76</v>
      </c>
      <c r="H35" s="30" t="s">
        <v>87</v>
      </c>
      <c r="I35" s="232">
        <f t="shared" ca="1" si="0"/>
        <v>38</v>
      </c>
      <c r="J35" s="232">
        <f t="shared" si="1"/>
        <v>10</v>
      </c>
      <c r="K35" s="233" t="str">
        <f t="shared" si="2"/>
        <v>Delayed</v>
      </c>
    </row>
    <row r="36" spans="1:11">
      <c r="A36" s="24" t="s">
        <v>280</v>
      </c>
      <c r="B36" s="24" t="s">
        <v>127</v>
      </c>
      <c r="C36" s="24" t="s">
        <v>259</v>
      </c>
      <c r="D36" s="30">
        <v>45939</v>
      </c>
      <c r="E36" s="30">
        <v>45949</v>
      </c>
      <c r="F36" s="24" t="s">
        <v>200</v>
      </c>
      <c r="G36" s="24" t="s">
        <v>76</v>
      </c>
      <c r="H36" s="30" t="s">
        <v>131</v>
      </c>
      <c r="I36" s="232">
        <f t="shared" ca="1" si="0"/>
        <v>44</v>
      </c>
      <c r="J36" s="232">
        <f t="shared" si="1"/>
        <v>10</v>
      </c>
      <c r="K36" s="233" t="str">
        <f t="shared" si="2"/>
        <v>Delayed</v>
      </c>
    </row>
    <row r="37" spans="1:11">
      <c r="A37" s="24" t="s">
        <v>285</v>
      </c>
      <c r="B37" s="24" t="s">
        <v>127</v>
      </c>
      <c r="C37" s="24" t="s">
        <v>72</v>
      </c>
      <c r="D37" s="30">
        <v>45980</v>
      </c>
      <c r="E37" s="30">
        <v>45987</v>
      </c>
      <c r="F37" s="24" t="s">
        <v>200</v>
      </c>
      <c r="G37" s="24" t="s">
        <v>76</v>
      </c>
      <c r="H37" s="30" t="s">
        <v>131</v>
      </c>
      <c r="I37" s="232">
        <f t="shared" ca="1" si="0"/>
        <v>44</v>
      </c>
      <c r="J37" s="232">
        <f t="shared" si="1"/>
        <v>7</v>
      </c>
      <c r="K37" s="233" t="str">
        <f t="shared" si="2"/>
        <v>Delayed</v>
      </c>
    </row>
    <row r="38" spans="1:11">
      <c r="A38" s="24" t="s">
        <v>290</v>
      </c>
      <c r="B38" s="24" t="s">
        <v>71</v>
      </c>
      <c r="C38" s="24" t="s">
        <v>54</v>
      </c>
      <c r="D38" s="30">
        <v>45966</v>
      </c>
      <c r="E38" s="30">
        <v>45975</v>
      </c>
      <c r="F38" s="24" t="s">
        <v>217</v>
      </c>
      <c r="G38" s="24" t="s">
        <v>76</v>
      </c>
      <c r="H38" s="30" t="s">
        <v>77</v>
      </c>
      <c r="I38" s="232">
        <f t="shared" ca="1" si="0"/>
        <v>50</v>
      </c>
      <c r="J38" s="232">
        <f t="shared" si="1"/>
        <v>9</v>
      </c>
      <c r="K38" s="233" t="str">
        <f t="shared" si="2"/>
        <v>Delayed</v>
      </c>
    </row>
    <row r="39" spans="1:11">
      <c r="A39" s="24" t="s">
        <v>297</v>
      </c>
      <c r="B39" s="24" t="s">
        <v>251</v>
      </c>
      <c r="C39" s="24" t="s">
        <v>92</v>
      </c>
      <c r="D39" s="30">
        <v>46089</v>
      </c>
      <c r="E39" s="30">
        <v>46101</v>
      </c>
      <c r="F39" s="24" t="s">
        <v>254</v>
      </c>
      <c r="G39" s="24" t="s">
        <v>28</v>
      </c>
      <c r="H39" s="30" t="s">
        <v>255</v>
      </c>
      <c r="I39" s="232">
        <f t="shared" ca="1" si="0"/>
        <v>45</v>
      </c>
      <c r="J39" s="232">
        <f t="shared" si="1"/>
        <v>12</v>
      </c>
      <c r="K39" s="233" t="str">
        <f t="shared" si="2"/>
        <v>Delayed</v>
      </c>
    </row>
    <row r="40" spans="1:11">
      <c r="A40" s="24" t="s">
        <v>301</v>
      </c>
      <c r="B40" s="24" t="s">
        <v>23</v>
      </c>
      <c r="C40" s="24" t="s">
        <v>222</v>
      </c>
      <c r="D40" s="30">
        <v>45701</v>
      </c>
      <c r="E40" s="30">
        <v>45707</v>
      </c>
      <c r="F40" s="24" t="s">
        <v>27</v>
      </c>
      <c r="G40" s="24" t="s">
        <v>28</v>
      </c>
      <c r="H40" s="30" t="s">
        <v>29</v>
      </c>
      <c r="I40" s="232">
        <f t="shared" ca="1" si="0"/>
        <v>49</v>
      </c>
      <c r="J40" s="232">
        <f t="shared" si="1"/>
        <v>6</v>
      </c>
      <c r="K40" s="233" t="str">
        <f t="shared" si="2"/>
        <v>Delayed</v>
      </c>
    </row>
    <row r="41" spans="1:11">
      <c r="A41" s="24" t="s">
        <v>307</v>
      </c>
      <c r="B41" s="24" t="s">
        <v>53</v>
      </c>
      <c r="C41" s="24" t="s">
        <v>169</v>
      </c>
      <c r="D41" s="30">
        <v>45935</v>
      </c>
      <c r="E41" s="30">
        <v>45945</v>
      </c>
      <c r="F41" s="24" t="s">
        <v>163</v>
      </c>
      <c r="G41" s="24" t="s">
        <v>28</v>
      </c>
      <c r="H41" s="30" t="s">
        <v>58</v>
      </c>
      <c r="I41" s="232">
        <f t="shared" ca="1" si="0"/>
        <v>31</v>
      </c>
      <c r="J41" s="232">
        <f t="shared" si="1"/>
        <v>10</v>
      </c>
      <c r="K41" s="233" t="str">
        <f t="shared" si="2"/>
        <v>Delayed</v>
      </c>
    </row>
    <row r="42" spans="1:11">
      <c r="A42" s="24" t="s">
        <v>312</v>
      </c>
      <c r="B42" s="24" t="s">
        <v>83</v>
      </c>
      <c r="C42" s="24" t="s">
        <v>118</v>
      </c>
      <c r="D42" s="30">
        <v>46063</v>
      </c>
      <c r="E42" s="30">
        <v>46065</v>
      </c>
      <c r="F42" s="24" t="s">
        <v>180</v>
      </c>
      <c r="G42" s="24" t="s">
        <v>76</v>
      </c>
      <c r="H42" s="30" t="s">
        <v>87</v>
      </c>
      <c r="I42" s="232">
        <f t="shared" ca="1" si="0"/>
        <v>38</v>
      </c>
      <c r="J42" s="232">
        <f t="shared" si="1"/>
        <v>2</v>
      </c>
      <c r="K42" s="233" t="str">
        <f t="shared" si="2"/>
        <v>On Time</v>
      </c>
    </row>
    <row r="43" spans="1:11">
      <c r="A43" s="24" t="s">
        <v>317</v>
      </c>
      <c r="B43" s="24" t="s">
        <v>53</v>
      </c>
      <c r="C43" s="24" t="s">
        <v>92</v>
      </c>
      <c r="D43" s="30">
        <v>45812</v>
      </c>
      <c r="E43" s="30">
        <v>45824</v>
      </c>
      <c r="F43" s="24" t="s">
        <v>163</v>
      </c>
      <c r="G43" s="24" t="s">
        <v>28</v>
      </c>
      <c r="H43" s="30" t="s">
        <v>58</v>
      </c>
      <c r="I43" s="232">
        <f t="shared" ca="1" si="0"/>
        <v>31</v>
      </c>
      <c r="J43" s="232">
        <f t="shared" si="1"/>
        <v>12</v>
      </c>
      <c r="K43" s="233" t="str">
        <f t="shared" si="2"/>
        <v>Delayed</v>
      </c>
    </row>
    <row r="44" spans="1:11">
      <c r="A44" s="24" t="s">
        <v>321</v>
      </c>
      <c r="B44" s="24" t="s">
        <v>71</v>
      </c>
      <c r="C44" s="24" t="s">
        <v>169</v>
      </c>
      <c r="D44" s="30">
        <v>46061</v>
      </c>
      <c r="E44" s="30">
        <v>46067</v>
      </c>
      <c r="F44" s="24" t="s">
        <v>217</v>
      </c>
      <c r="G44" s="24" t="s">
        <v>76</v>
      </c>
      <c r="H44" s="30" t="s">
        <v>77</v>
      </c>
      <c r="I44" s="232">
        <f t="shared" ca="1" si="0"/>
        <v>50</v>
      </c>
      <c r="J44" s="232">
        <f t="shared" si="1"/>
        <v>6</v>
      </c>
      <c r="K44" s="233" t="str">
        <f t="shared" si="2"/>
        <v>Delayed</v>
      </c>
    </row>
    <row r="45" spans="1:11">
      <c r="A45" s="24" t="s">
        <v>326</v>
      </c>
      <c r="B45" s="24" t="s">
        <v>327</v>
      </c>
      <c r="C45" s="24" t="s">
        <v>259</v>
      </c>
      <c r="D45" s="30">
        <v>45746</v>
      </c>
      <c r="E45" s="30">
        <v>45747</v>
      </c>
      <c r="F45" s="24" t="s">
        <v>394</v>
      </c>
      <c r="G45" s="24" t="s">
        <v>76</v>
      </c>
      <c r="H45" s="30" t="s">
        <v>331</v>
      </c>
      <c r="I45" s="232">
        <f t="shared" ca="1" si="0"/>
        <v>34</v>
      </c>
      <c r="J45" s="232">
        <f t="shared" si="1"/>
        <v>1</v>
      </c>
      <c r="K45" s="233" t="str">
        <f t="shared" si="2"/>
        <v>On Time</v>
      </c>
    </row>
    <row r="46" spans="1:11">
      <c r="A46" s="24" t="s">
        <v>334</v>
      </c>
      <c r="B46" s="24" t="s">
        <v>251</v>
      </c>
      <c r="C46" s="24" t="s">
        <v>24</v>
      </c>
      <c r="D46" s="30">
        <v>45772</v>
      </c>
      <c r="E46" s="30">
        <v>45775</v>
      </c>
      <c r="F46" s="24" t="s">
        <v>254</v>
      </c>
      <c r="G46" s="24" t="s">
        <v>28</v>
      </c>
      <c r="H46" s="30" t="s">
        <v>255</v>
      </c>
      <c r="I46" s="232">
        <f t="shared" ca="1" si="0"/>
        <v>45</v>
      </c>
      <c r="J46" s="232">
        <f t="shared" si="1"/>
        <v>3</v>
      </c>
      <c r="K46" s="233" t="str">
        <f t="shared" si="2"/>
        <v>On Time</v>
      </c>
    </row>
    <row r="47" spans="1:11">
      <c r="A47" s="24" t="s">
        <v>339</v>
      </c>
      <c r="B47" s="24" t="s">
        <v>71</v>
      </c>
      <c r="C47" s="24" t="s">
        <v>92</v>
      </c>
      <c r="D47" s="30">
        <v>45943</v>
      </c>
      <c r="E47" s="30">
        <v>45953</v>
      </c>
      <c r="F47" s="24" t="s">
        <v>217</v>
      </c>
      <c r="G47" s="24" t="s">
        <v>76</v>
      </c>
      <c r="H47" s="30" t="s">
        <v>77</v>
      </c>
      <c r="I47" s="232">
        <f t="shared" ca="1" si="0"/>
        <v>50</v>
      </c>
      <c r="J47" s="232">
        <f t="shared" si="1"/>
        <v>10</v>
      </c>
      <c r="K47" s="233" t="str">
        <f t="shared" si="2"/>
        <v>Delayed</v>
      </c>
    </row>
    <row r="48" spans="1:11">
      <c r="A48" s="24" t="s">
        <v>344</v>
      </c>
      <c r="B48" s="24" t="s">
        <v>251</v>
      </c>
      <c r="C48" s="24" t="s">
        <v>184</v>
      </c>
      <c r="D48" s="30">
        <v>45941</v>
      </c>
      <c r="E48" s="30">
        <v>45944</v>
      </c>
      <c r="F48" s="24" t="s">
        <v>254</v>
      </c>
      <c r="G48" s="24" t="s">
        <v>28</v>
      </c>
      <c r="H48" s="30" t="s">
        <v>255</v>
      </c>
      <c r="I48" s="232">
        <f t="shared" ca="1" si="0"/>
        <v>45</v>
      </c>
      <c r="J48" s="232">
        <f t="shared" si="1"/>
        <v>3</v>
      </c>
      <c r="K48" s="233" t="str">
        <f t="shared" si="2"/>
        <v>On Time</v>
      </c>
    </row>
    <row r="49" spans="1:11">
      <c r="A49" s="24" t="s">
        <v>350</v>
      </c>
      <c r="B49" s="24" t="s">
        <v>251</v>
      </c>
      <c r="C49" s="24" t="s">
        <v>184</v>
      </c>
      <c r="D49" s="30">
        <v>45988</v>
      </c>
      <c r="E49" s="30">
        <v>45994</v>
      </c>
      <c r="F49" s="24" t="s">
        <v>254</v>
      </c>
      <c r="G49" s="24" t="s">
        <v>28</v>
      </c>
      <c r="H49" s="30" t="s">
        <v>255</v>
      </c>
      <c r="I49" s="232">
        <f t="shared" ca="1" si="0"/>
        <v>45</v>
      </c>
      <c r="J49" s="232">
        <f t="shared" si="1"/>
        <v>6</v>
      </c>
      <c r="K49" s="233" t="str">
        <f t="shared" si="2"/>
        <v>Delayed</v>
      </c>
    </row>
    <row r="50" spans="1:11">
      <c r="A50" s="24" t="s">
        <v>355</v>
      </c>
      <c r="B50" s="24" t="s">
        <v>71</v>
      </c>
      <c r="C50" s="24" t="s">
        <v>40</v>
      </c>
      <c r="D50" s="30">
        <v>46131</v>
      </c>
      <c r="E50" s="24"/>
      <c r="F50" s="24" t="s">
        <v>217</v>
      </c>
      <c r="G50" s="24" t="s">
        <v>76</v>
      </c>
      <c r="H50" s="30" t="s">
        <v>77</v>
      </c>
      <c r="I50" s="232">
        <f t="shared" ca="1" si="0"/>
        <v>50</v>
      </c>
      <c r="J50" s="232" t="str">
        <f t="shared" si="1"/>
        <v>Pending</v>
      </c>
      <c r="K50" s="233" t="str">
        <f t="shared" si="2"/>
        <v>Pending</v>
      </c>
    </row>
    <row r="51" spans="1:11">
      <c r="A51" s="24" t="s">
        <v>359</v>
      </c>
      <c r="B51" s="24" t="s">
        <v>168</v>
      </c>
      <c r="C51" s="24" t="s">
        <v>72</v>
      </c>
      <c r="D51" s="30">
        <v>46131</v>
      </c>
      <c r="E51" s="30">
        <v>46133</v>
      </c>
      <c r="F51" s="24" t="s">
        <v>361</v>
      </c>
      <c r="G51" s="24" t="s">
        <v>28</v>
      </c>
      <c r="H51" s="30" t="s">
        <v>173</v>
      </c>
      <c r="I51" s="232">
        <f t="shared" ca="1" si="0"/>
        <v>24</v>
      </c>
      <c r="J51" s="232">
        <f t="shared" si="1"/>
        <v>2</v>
      </c>
      <c r="K51" s="233" t="str">
        <f t="shared" si="2"/>
        <v>On Time</v>
      </c>
    </row>
    <row r="52" spans="1:11">
      <c r="A52" s="24" t="s">
        <v>364</v>
      </c>
      <c r="B52" s="24" t="s">
        <v>53</v>
      </c>
      <c r="C52" s="24" t="s">
        <v>24</v>
      </c>
      <c r="D52" s="30">
        <v>45744</v>
      </c>
      <c r="E52" s="30">
        <v>45754</v>
      </c>
      <c r="F52" s="24" t="s">
        <v>163</v>
      </c>
      <c r="G52" s="24" t="s">
        <v>28</v>
      </c>
      <c r="H52" s="30" t="s">
        <v>58</v>
      </c>
      <c r="I52" s="232">
        <f t="shared" ca="1" si="0"/>
        <v>31</v>
      </c>
      <c r="J52" s="232">
        <f t="shared" si="1"/>
        <v>10</v>
      </c>
      <c r="K52" s="233" t="str">
        <f t="shared" si="2"/>
        <v>Delayed</v>
      </c>
    </row>
    <row r="53" spans="1:11">
      <c r="A53" s="24" t="s">
        <v>370</v>
      </c>
      <c r="B53" s="24" t="s">
        <v>100</v>
      </c>
      <c r="C53" s="24" t="s">
        <v>118</v>
      </c>
      <c r="D53" s="30">
        <v>45894</v>
      </c>
      <c r="E53" s="30">
        <v>45897</v>
      </c>
      <c r="F53" s="24" t="s">
        <v>103</v>
      </c>
      <c r="G53" s="24" t="s">
        <v>28</v>
      </c>
      <c r="H53" s="30" t="s">
        <v>104</v>
      </c>
      <c r="I53" s="232">
        <f t="shared" ca="1" si="0"/>
        <v>31</v>
      </c>
      <c r="J53" s="232">
        <f t="shared" si="1"/>
        <v>3</v>
      </c>
      <c r="K53" s="233" t="str">
        <f t="shared" si="2"/>
        <v>On Time</v>
      </c>
    </row>
    <row r="54" spans="1:11">
      <c r="A54" s="24" t="s">
        <v>375</v>
      </c>
      <c r="B54" s="24" t="s">
        <v>221</v>
      </c>
      <c r="C54" s="24" t="s">
        <v>54</v>
      </c>
      <c r="D54" s="30">
        <v>45888</v>
      </c>
      <c r="E54" s="30">
        <v>45892</v>
      </c>
      <c r="F54" s="24" t="s">
        <v>225</v>
      </c>
      <c r="G54" s="24" t="s">
        <v>76</v>
      </c>
      <c r="H54" s="30" t="s">
        <v>226</v>
      </c>
      <c r="I54" s="232">
        <f t="shared" ca="1" si="0"/>
        <v>34</v>
      </c>
      <c r="J54" s="232">
        <f t="shared" si="1"/>
        <v>4</v>
      </c>
      <c r="K54" s="233" t="str">
        <f t="shared" si="2"/>
        <v>On Time</v>
      </c>
    </row>
    <row r="55" spans="1:11">
      <c r="A55" s="24" t="s">
        <v>380</v>
      </c>
      <c r="B55" s="24" t="s">
        <v>23</v>
      </c>
      <c r="C55" s="24" t="s">
        <v>184</v>
      </c>
      <c r="D55" s="30">
        <v>45865</v>
      </c>
      <c r="E55" s="30">
        <v>45874</v>
      </c>
      <c r="F55" s="24" t="s">
        <v>27</v>
      </c>
      <c r="G55" s="24" t="s">
        <v>28</v>
      </c>
      <c r="H55" s="30" t="s">
        <v>29</v>
      </c>
      <c r="I55" s="232">
        <f t="shared" ca="1" si="0"/>
        <v>49</v>
      </c>
      <c r="J55" s="232">
        <f t="shared" si="1"/>
        <v>9</v>
      </c>
      <c r="K55" s="233" t="str">
        <f t="shared" si="2"/>
        <v>Delayed</v>
      </c>
    </row>
    <row r="56" spans="1:11">
      <c r="A56" s="24" t="s">
        <v>385</v>
      </c>
      <c r="B56" s="24" t="s">
        <v>127</v>
      </c>
      <c r="C56" s="24" t="s">
        <v>118</v>
      </c>
      <c r="D56" s="30">
        <v>45709</v>
      </c>
      <c r="E56" s="30">
        <v>45714</v>
      </c>
      <c r="F56" s="24" t="s">
        <v>200</v>
      </c>
      <c r="G56" s="24" t="s">
        <v>76</v>
      </c>
      <c r="H56" s="30" t="s">
        <v>131</v>
      </c>
      <c r="I56" s="232">
        <f t="shared" ca="1" si="0"/>
        <v>44</v>
      </c>
      <c r="J56" s="232">
        <f t="shared" si="1"/>
        <v>5</v>
      </c>
      <c r="K56" s="233" t="str">
        <f t="shared" si="2"/>
        <v>On Time</v>
      </c>
    </row>
    <row r="57" spans="1:11">
      <c r="A57" s="24" t="s">
        <v>391</v>
      </c>
      <c r="B57" s="24" t="s">
        <v>327</v>
      </c>
      <c r="C57" s="24" t="s">
        <v>118</v>
      </c>
      <c r="D57" s="30">
        <v>45879</v>
      </c>
      <c r="E57" s="30">
        <v>45880</v>
      </c>
      <c r="F57" s="24" t="s">
        <v>394</v>
      </c>
      <c r="G57" s="24" t="s">
        <v>76</v>
      </c>
      <c r="H57" s="30" t="s">
        <v>331</v>
      </c>
      <c r="I57" s="232">
        <f t="shared" ca="1" si="0"/>
        <v>34</v>
      </c>
      <c r="J57" s="232">
        <f t="shared" si="1"/>
        <v>1</v>
      </c>
      <c r="K57" s="233" t="str">
        <f t="shared" si="2"/>
        <v>On Time</v>
      </c>
    </row>
    <row r="58" spans="1:11">
      <c r="A58" s="24" t="s">
        <v>397</v>
      </c>
      <c r="B58" s="24" t="s">
        <v>327</v>
      </c>
      <c r="C58" s="24" t="s">
        <v>184</v>
      </c>
      <c r="D58" s="30">
        <v>46105</v>
      </c>
      <c r="E58" s="30">
        <v>46111</v>
      </c>
      <c r="F58" s="24" t="s">
        <v>394</v>
      </c>
      <c r="G58" s="24" t="s">
        <v>76</v>
      </c>
      <c r="H58" s="30" t="s">
        <v>331</v>
      </c>
      <c r="I58" s="232">
        <f t="shared" ca="1" si="0"/>
        <v>34</v>
      </c>
      <c r="J58" s="232">
        <f t="shared" si="1"/>
        <v>6</v>
      </c>
      <c r="K58" s="233" t="str">
        <f t="shared" si="2"/>
        <v>Delayed</v>
      </c>
    </row>
    <row r="59" spans="1:11">
      <c r="A59" s="24" t="s">
        <v>403</v>
      </c>
      <c r="B59" s="24" t="s">
        <v>127</v>
      </c>
      <c r="C59" s="24" t="s">
        <v>259</v>
      </c>
      <c r="D59" s="30">
        <v>46094</v>
      </c>
      <c r="E59" s="30">
        <v>46100</v>
      </c>
      <c r="F59" s="24" t="s">
        <v>200</v>
      </c>
      <c r="G59" s="24" t="s">
        <v>76</v>
      </c>
      <c r="H59" s="30" t="s">
        <v>131</v>
      </c>
      <c r="I59" s="232">
        <f t="shared" ca="1" si="0"/>
        <v>44</v>
      </c>
      <c r="J59" s="232">
        <f t="shared" si="1"/>
        <v>6</v>
      </c>
      <c r="K59" s="233" t="str">
        <f t="shared" si="2"/>
        <v>Delayed</v>
      </c>
    </row>
    <row r="60" spans="1:11">
      <c r="A60" s="24" t="s">
        <v>407</v>
      </c>
      <c r="B60" s="24" t="s">
        <v>83</v>
      </c>
      <c r="C60" s="24" t="s">
        <v>222</v>
      </c>
      <c r="D60" s="30">
        <v>45823</v>
      </c>
      <c r="E60" s="30">
        <v>45834</v>
      </c>
      <c r="F60" s="24" t="s">
        <v>180</v>
      </c>
      <c r="G60" s="24" t="s">
        <v>76</v>
      </c>
      <c r="H60" s="30" t="s">
        <v>87</v>
      </c>
      <c r="I60" s="232">
        <f t="shared" ca="1" si="0"/>
        <v>38</v>
      </c>
      <c r="J60" s="232">
        <f t="shared" si="1"/>
        <v>11</v>
      </c>
      <c r="K60" s="233" t="str">
        <f t="shared" si="2"/>
        <v>Delayed</v>
      </c>
    </row>
    <row r="61" spans="1:11">
      <c r="A61" s="24" t="s">
        <v>412</v>
      </c>
      <c r="B61" s="24" t="s">
        <v>221</v>
      </c>
      <c r="C61" s="24" t="s">
        <v>184</v>
      </c>
      <c r="D61" s="30">
        <v>45721</v>
      </c>
      <c r="E61" s="30">
        <v>45722</v>
      </c>
      <c r="F61" s="24" t="s">
        <v>225</v>
      </c>
      <c r="G61" s="24" t="s">
        <v>76</v>
      </c>
      <c r="H61" s="30" t="s">
        <v>226</v>
      </c>
      <c r="I61" s="232">
        <f t="shared" ca="1" si="0"/>
        <v>34</v>
      </c>
      <c r="J61" s="232">
        <f t="shared" si="1"/>
        <v>1</v>
      </c>
      <c r="K61" s="233" t="str">
        <f t="shared" si="2"/>
        <v>On Time</v>
      </c>
    </row>
    <row r="62" spans="1:11">
      <c r="A62" s="24" t="s">
        <v>418</v>
      </c>
      <c r="B62" s="24" t="s">
        <v>23</v>
      </c>
      <c r="C62" s="24" t="s">
        <v>222</v>
      </c>
      <c r="D62" s="30">
        <v>46121</v>
      </c>
      <c r="E62" s="30">
        <v>46131</v>
      </c>
      <c r="F62" s="24" t="s">
        <v>27</v>
      </c>
      <c r="G62" s="24" t="s">
        <v>28</v>
      </c>
      <c r="H62" s="30" t="s">
        <v>29</v>
      </c>
      <c r="I62" s="232">
        <f t="shared" ca="1" si="0"/>
        <v>49</v>
      </c>
      <c r="J62" s="232">
        <f t="shared" si="1"/>
        <v>10</v>
      </c>
      <c r="K62" s="233" t="str">
        <f t="shared" si="2"/>
        <v>Delayed</v>
      </c>
    </row>
    <row r="63" spans="1:11">
      <c r="A63" s="24" t="s">
        <v>421</v>
      </c>
      <c r="B63" s="24" t="s">
        <v>100</v>
      </c>
      <c r="C63" s="24" t="s">
        <v>222</v>
      </c>
      <c r="D63" s="30">
        <v>45885</v>
      </c>
      <c r="E63" s="30">
        <v>45894</v>
      </c>
      <c r="F63" s="24" t="s">
        <v>103</v>
      </c>
      <c r="G63" s="24" t="s">
        <v>28</v>
      </c>
      <c r="H63" s="30" t="s">
        <v>104</v>
      </c>
      <c r="I63" s="232">
        <f t="shared" ca="1" si="0"/>
        <v>31</v>
      </c>
      <c r="J63" s="232">
        <f t="shared" si="1"/>
        <v>9</v>
      </c>
      <c r="K63" s="233" t="str">
        <f t="shared" si="2"/>
        <v>Delayed</v>
      </c>
    </row>
    <row r="64" spans="1:11">
      <c r="A64" s="24" t="s">
        <v>425</v>
      </c>
      <c r="B64" s="24" t="s">
        <v>53</v>
      </c>
      <c r="C64" s="24" t="s">
        <v>259</v>
      </c>
      <c r="D64" s="30">
        <v>46155</v>
      </c>
      <c r="E64" s="30">
        <v>46162</v>
      </c>
      <c r="F64" s="24" t="s">
        <v>163</v>
      </c>
      <c r="G64" s="24" t="s">
        <v>28</v>
      </c>
      <c r="H64" s="30" t="s">
        <v>58</v>
      </c>
      <c r="I64" s="232">
        <f t="shared" ca="1" si="0"/>
        <v>31</v>
      </c>
      <c r="J64" s="232">
        <f t="shared" si="1"/>
        <v>7</v>
      </c>
      <c r="K64" s="233" t="str">
        <f t="shared" si="2"/>
        <v>Delayed</v>
      </c>
    </row>
    <row r="65" spans="1:11">
      <c r="A65" s="24" t="s">
        <v>430</v>
      </c>
      <c r="B65" s="24" t="s">
        <v>251</v>
      </c>
      <c r="C65" s="24" t="s">
        <v>184</v>
      </c>
      <c r="D65" s="30">
        <v>45717</v>
      </c>
      <c r="E65" s="30">
        <v>45721</v>
      </c>
      <c r="F65" s="24" t="s">
        <v>254</v>
      </c>
      <c r="G65" s="24" t="s">
        <v>28</v>
      </c>
      <c r="H65" s="30" t="s">
        <v>255</v>
      </c>
      <c r="I65" s="232">
        <f t="shared" ca="1" si="0"/>
        <v>45</v>
      </c>
      <c r="J65" s="232">
        <f t="shared" si="1"/>
        <v>4</v>
      </c>
      <c r="K65" s="233" t="str">
        <f t="shared" si="2"/>
        <v>On Time</v>
      </c>
    </row>
    <row r="66" spans="1:11">
      <c r="A66" s="24" t="s">
        <v>434</v>
      </c>
      <c r="B66" s="24" t="s">
        <v>53</v>
      </c>
      <c r="C66" s="24" t="s">
        <v>259</v>
      </c>
      <c r="D66" s="30">
        <v>45697</v>
      </c>
      <c r="E66" s="30">
        <v>45700</v>
      </c>
      <c r="F66" s="24" t="s">
        <v>163</v>
      </c>
      <c r="G66" s="24" t="s">
        <v>28</v>
      </c>
      <c r="H66" s="30" t="s">
        <v>58</v>
      </c>
      <c r="I66" s="232">
        <f t="shared" ca="1" si="0"/>
        <v>31</v>
      </c>
      <c r="J66" s="232">
        <f t="shared" si="1"/>
        <v>3</v>
      </c>
      <c r="K66" s="233" t="str">
        <f t="shared" si="2"/>
        <v>On Time</v>
      </c>
    </row>
    <row r="67" spans="1:11">
      <c r="A67" s="24" t="s">
        <v>439</v>
      </c>
      <c r="B67" s="24" t="s">
        <v>100</v>
      </c>
      <c r="C67" s="24" t="s">
        <v>24</v>
      </c>
      <c r="D67" s="30">
        <v>46031</v>
      </c>
      <c r="E67" s="30">
        <v>46032</v>
      </c>
      <c r="F67" s="24" t="s">
        <v>103</v>
      </c>
      <c r="G67" s="24" t="s">
        <v>28</v>
      </c>
      <c r="H67" s="30" t="s">
        <v>104</v>
      </c>
      <c r="I67" s="232">
        <f t="shared" ref="I67:I130" ca="1" si="3">DATEDIF(H67, TODAY(), "Y")</f>
        <v>31</v>
      </c>
      <c r="J67" s="232">
        <f t="shared" ref="J67:J130" si="4">IFERROR(IF(OR(E67="", D67="", LOWER(TRIM(E67))="pending", LOWER(TRIM(D67))="pending"), "Pending", E67 - D67), "Pending")</f>
        <v>1</v>
      </c>
      <c r="K67" s="233" t="str">
        <f t="shared" ref="K67:K130" si="5">IFERROR(IF(OR(E67="", D67="","Pending","Pending"), "Pending", IF((E67 - D67) &lt;= 5, "On Time", "Delayed")), "Pending")</f>
        <v>On Time</v>
      </c>
    </row>
    <row r="68" spans="1:11">
      <c r="A68" s="24" t="s">
        <v>444</v>
      </c>
      <c r="B68" s="24" t="s">
        <v>23</v>
      </c>
      <c r="C68" s="24" t="s">
        <v>259</v>
      </c>
      <c r="D68" s="30">
        <v>45901</v>
      </c>
      <c r="E68" s="30">
        <v>45905</v>
      </c>
      <c r="F68" s="24" t="s">
        <v>27</v>
      </c>
      <c r="G68" s="24" t="s">
        <v>28</v>
      </c>
      <c r="H68" s="30" t="s">
        <v>29</v>
      </c>
      <c r="I68" s="232">
        <f t="shared" ca="1" si="3"/>
        <v>49</v>
      </c>
      <c r="J68" s="232">
        <f t="shared" si="4"/>
        <v>4</v>
      </c>
      <c r="K68" s="233" t="str">
        <f t="shared" si="5"/>
        <v>On Time</v>
      </c>
    </row>
    <row r="69" spans="1:11">
      <c r="A69" s="24" t="s">
        <v>449</v>
      </c>
      <c r="B69" s="24" t="s">
        <v>251</v>
      </c>
      <c r="C69" s="24" t="s">
        <v>92</v>
      </c>
      <c r="D69" s="30">
        <v>46062</v>
      </c>
      <c r="E69" s="30">
        <v>46067</v>
      </c>
      <c r="F69" s="24" t="s">
        <v>254</v>
      </c>
      <c r="G69" s="24" t="s">
        <v>28</v>
      </c>
      <c r="H69" s="30" t="s">
        <v>255</v>
      </c>
      <c r="I69" s="232">
        <f t="shared" ca="1" si="3"/>
        <v>45</v>
      </c>
      <c r="J69" s="232">
        <f t="shared" si="4"/>
        <v>5</v>
      </c>
      <c r="K69" s="233" t="str">
        <f t="shared" si="5"/>
        <v>On Time</v>
      </c>
    </row>
    <row r="70" spans="1:11">
      <c r="A70" s="24" t="s">
        <v>453</v>
      </c>
      <c r="B70" s="24" t="s">
        <v>53</v>
      </c>
      <c r="C70" s="24" t="s">
        <v>169</v>
      </c>
      <c r="D70" s="30">
        <v>46005</v>
      </c>
      <c r="E70" s="30">
        <v>46010</v>
      </c>
      <c r="F70" s="24" t="s">
        <v>163</v>
      </c>
      <c r="G70" s="24" t="s">
        <v>28</v>
      </c>
      <c r="H70" s="30" t="s">
        <v>58</v>
      </c>
      <c r="I70" s="232">
        <f t="shared" ca="1" si="3"/>
        <v>31</v>
      </c>
      <c r="J70" s="232">
        <f t="shared" si="4"/>
        <v>5</v>
      </c>
      <c r="K70" s="233" t="str">
        <f t="shared" si="5"/>
        <v>On Time</v>
      </c>
    </row>
    <row r="71" spans="1:11">
      <c r="A71" s="24" t="s">
        <v>458</v>
      </c>
      <c r="B71" s="24" t="s">
        <v>23</v>
      </c>
      <c r="C71" s="24" t="s">
        <v>54</v>
      </c>
      <c r="D71" s="30">
        <v>45754</v>
      </c>
      <c r="E71" s="30">
        <v>45757</v>
      </c>
      <c r="F71" s="24" t="s">
        <v>27</v>
      </c>
      <c r="G71" s="24" t="s">
        <v>28</v>
      </c>
      <c r="H71" s="30" t="s">
        <v>29</v>
      </c>
      <c r="I71" s="232">
        <f t="shared" ca="1" si="3"/>
        <v>49</v>
      </c>
      <c r="J71" s="232">
        <f t="shared" si="4"/>
        <v>3</v>
      </c>
      <c r="K71" s="233" t="str">
        <f t="shared" si="5"/>
        <v>On Time</v>
      </c>
    </row>
    <row r="72" spans="1:11">
      <c r="A72" s="24" t="s">
        <v>462</v>
      </c>
      <c r="B72" s="24" t="s">
        <v>168</v>
      </c>
      <c r="C72" s="24" t="s">
        <v>40</v>
      </c>
      <c r="D72" s="30">
        <v>46015</v>
      </c>
      <c r="E72" s="30">
        <v>46025</v>
      </c>
      <c r="F72" s="24" t="s">
        <v>361</v>
      </c>
      <c r="G72" s="24" t="s">
        <v>28</v>
      </c>
      <c r="H72" s="30" t="s">
        <v>173</v>
      </c>
      <c r="I72" s="232">
        <f t="shared" ca="1" si="3"/>
        <v>24</v>
      </c>
      <c r="J72" s="232">
        <f t="shared" si="4"/>
        <v>10</v>
      </c>
      <c r="K72" s="233" t="str">
        <f t="shared" si="5"/>
        <v>Delayed</v>
      </c>
    </row>
    <row r="73" spans="1:11">
      <c r="A73" s="24" t="s">
        <v>468</v>
      </c>
      <c r="B73" s="24" t="s">
        <v>127</v>
      </c>
      <c r="C73" s="24" t="s">
        <v>259</v>
      </c>
      <c r="D73" s="30">
        <v>45899</v>
      </c>
      <c r="E73" s="30">
        <v>45905</v>
      </c>
      <c r="F73" s="24" t="s">
        <v>200</v>
      </c>
      <c r="G73" s="24" t="s">
        <v>76</v>
      </c>
      <c r="H73" s="30" t="s">
        <v>131</v>
      </c>
      <c r="I73" s="232">
        <f t="shared" ca="1" si="3"/>
        <v>44</v>
      </c>
      <c r="J73" s="232">
        <f t="shared" si="4"/>
        <v>6</v>
      </c>
      <c r="K73" s="233" t="str">
        <f t="shared" si="5"/>
        <v>Delayed</v>
      </c>
    </row>
    <row r="74" spans="1:11">
      <c r="A74" s="24" t="s">
        <v>472</v>
      </c>
      <c r="B74" s="24" t="s">
        <v>23</v>
      </c>
      <c r="C74" s="24" t="s">
        <v>72</v>
      </c>
      <c r="D74" s="30">
        <v>46004</v>
      </c>
      <c r="E74" s="30">
        <v>46014</v>
      </c>
      <c r="F74" s="24" t="s">
        <v>27</v>
      </c>
      <c r="G74" s="24" t="s">
        <v>28</v>
      </c>
      <c r="H74" s="30" t="s">
        <v>29</v>
      </c>
      <c r="I74" s="232">
        <f t="shared" ca="1" si="3"/>
        <v>49</v>
      </c>
      <c r="J74" s="232">
        <f t="shared" si="4"/>
        <v>10</v>
      </c>
      <c r="K74" s="233" t="str">
        <f t="shared" si="5"/>
        <v>Delayed</v>
      </c>
    </row>
    <row r="75" spans="1:11">
      <c r="A75" s="24" t="s">
        <v>477</v>
      </c>
      <c r="B75" s="24" t="s">
        <v>53</v>
      </c>
      <c r="C75" s="24" t="s">
        <v>24</v>
      </c>
      <c r="D75" s="30">
        <v>46057</v>
      </c>
      <c r="E75" s="30">
        <v>46069</v>
      </c>
      <c r="F75" s="24" t="s">
        <v>163</v>
      </c>
      <c r="G75" s="24" t="s">
        <v>28</v>
      </c>
      <c r="H75" s="30" t="s">
        <v>58</v>
      </c>
      <c r="I75" s="232">
        <f t="shared" ca="1" si="3"/>
        <v>31</v>
      </c>
      <c r="J75" s="232">
        <f t="shared" si="4"/>
        <v>12</v>
      </c>
      <c r="K75" s="233" t="str">
        <f t="shared" si="5"/>
        <v>Delayed</v>
      </c>
    </row>
    <row r="76" spans="1:11">
      <c r="A76" s="24" t="s">
        <v>482</v>
      </c>
      <c r="B76" s="24" t="s">
        <v>127</v>
      </c>
      <c r="C76" s="24" t="s">
        <v>72</v>
      </c>
      <c r="D76" s="30">
        <v>46048</v>
      </c>
      <c r="E76" s="30">
        <v>46050</v>
      </c>
      <c r="F76" s="24" t="s">
        <v>200</v>
      </c>
      <c r="G76" s="24" t="s">
        <v>76</v>
      </c>
      <c r="H76" s="30" t="s">
        <v>131</v>
      </c>
      <c r="I76" s="232">
        <f t="shared" ca="1" si="3"/>
        <v>44</v>
      </c>
      <c r="J76" s="232">
        <f t="shared" si="4"/>
        <v>2</v>
      </c>
      <c r="K76" s="233" t="str">
        <f t="shared" si="5"/>
        <v>On Time</v>
      </c>
    </row>
    <row r="77" spans="1:11">
      <c r="A77" s="24" t="s">
        <v>487</v>
      </c>
      <c r="B77" s="24" t="s">
        <v>23</v>
      </c>
      <c r="C77" s="24" t="s">
        <v>92</v>
      </c>
      <c r="D77" s="30">
        <v>45835</v>
      </c>
      <c r="E77" s="30">
        <v>45845</v>
      </c>
      <c r="F77" s="24" t="s">
        <v>27</v>
      </c>
      <c r="G77" s="24" t="s">
        <v>28</v>
      </c>
      <c r="H77" s="30" t="s">
        <v>29</v>
      </c>
      <c r="I77" s="232">
        <f t="shared" ca="1" si="3"/>
        <v>49</v>
      </c>
      <c r="J77" s="232">
        <f t="shared" si="4"/>
        <v>10</v>
      </c>
      <c r="K77" s="233" t="str">
        <f t="shared" si="5"/>
        <v>Delayed</v>
      </c>
    </row>
    <row r="78" spans="1:11">
      <c r="A78" s="24" t="s">
        <v>492</v>
      </c>
      <c r="B78" s="24" t="s">
        <v>83</v>
      </c>
      <c r="C78" s="24" t="s">
        <v>184</v>
      </c>
      <c r="D78" s="30">
        <v>46098</v>
      </c>
      <c r="E78" s="30">
        <v>46100</v>
      </c>
      <c r="F78" s="24" t="s">
        <v>180</v>
      </c>
      <c r="G78" s="24" t="s">
        <v>76</v>
      </c>
      <c r="H78" s="30" t="s">
        <v>87</v>
      </c>
      <c r="I78" s="232">
        <f t="shared" ca="1" si="3"/>
        <v>38</v>
      </c>
      <c r="J78" s="232">
        <f t="shared" si="4"/>
        <v>2</v>
      </c>
      <c r="K78" s="233" t="str">
        <f t="shared" si="5"/>
        <v>On Time</v>
      </c>
    </row>
    <row r="79" spans="1:11">
      <c r="A79" s="24" t="s">
        <v>496</v>
      </c>
      <c r="B79" s="24" t="s">
        <v>221</v>
      </c>
      <c r="C79" s="24" t="s">
        <v>184</v>
      </c>
      <c r="D79" s="30">
        <v>45817</v>
      </c>
      <c r="E79" s="30">
        <v>45826</v>
      </c>
      <c r="F79" s="24" t="s">
        <v>225</v>
      </c>
      <c r="G79" s="24" t="s">
        <v>76</v>
      </c>
      <c r="H79" s="30" t="s">
        <v>226</v>
      </c>
      <c r="I79" s="232">
        <f t="shared" ca="1" si="3"/>
        <v>34</v>
      </c>
      <c r="J79" s="232">
        <f t="shared" si="4"/>
        <v>9</v>
      </c>
      <c r="K79" s="233" t="str">
        <f t="shared" si="5"/>
        <v>Delayed</v>
      </c>
    </row>
    <row r="80" spans="1:11">
      <c r="A80" s="24" t="s">
        <v>501</v>
      </c>
      <c r="B80" s="24" t="s">
        <v>71</v>
      </c>
      <c r="C80" s="24" t="s">
        <v>72</v>
      </c>
      <c r="D80" s="30">
        <v>45976</v>
      </c>
      <c r="E80" s="30">
        <v>45977</v>
      </c>
      <c r="F80" s="24" t="s">
        <v>217</v>
      </c>
      <c r="G80" s="24" t="s">
        <v>76</v>
      </c>
      <c r="H80" s="30" t="s">
        <v>77</v>
      </c>
      <c r="I80" s="232">
        <f t="shared" ca="1" si="3"/>
        <v>50</v>
      </c>
      <c r="J80" s="232">
        <f t="shared" si="4"/>
        <v>1</v>
      </c>
      <c r="K80" s="233" t="str">
        <f t="shared" si="5"/>
        <v>On Time</v>
      </c>
    </row>
    <row r="81" spans="1:11">
      <c r="A81" s="24" t="s">
        <v>506</v>
      </c>
      <c r="B81" s="24" t="s">
        <v>127</v>
      </c>
      <c r="C81" s="24" t="s">
        <v>118</v>
      </c>
      <c r="D81" s="30">
        <v>45967</v>
      </c>
      <c r="E81" s="30">
        <v>45971</v>
      </c>
      <c r="F81" s="24" t="s">
        <v>200</v>
      </c>
      <c r="G81" s="24" t="s">
        <v>76</v>
      </c>
      <c r="H81" s="30" t="s">
        <v>131</v>
      </c>
      <c r="I81" s="232">
        <f t="shared" ca="1" si="3"/>
        <v>44</v>
      </c>
      <c r="J81" s="232">
        <f t="shared" si="4"/>
        <v>4</v>
      </c>
      <c r="K81" s="233" t="str">
        <f t="shared" si="5"/>
        <v>On Time</v>
      </c>
    </row>
    <row r="82" spans="1:11">
      <c r="A82" s="24" t="s">
        <v>511</v>
      </c>
      <c r="B82" s="24" t="s">
        <v>327</v>
      </c>
      <c r="C82" s="24" t="s">
        <v>259</v>
      </c>
      <c r="D82" s="30">
        <v>45658</v>
      </c>
      <c r="E82" s="30">
        <v>45664</v>
      </c>
      <c r="F82" s="24" t="s">
        <v>394</v>
      </c>
      <c r="G82" s="24" t="s">
        <v>76</v>
      </c>
      <c r="H82" s="30" t="s">
        <v>331</v>
      </c>
      <c r="I82" s="232">
        <f t="shared" ca="1" si="3"/>
        <v>34</v>
      </c>
      <c r="J82" s="232">
        <f t="shared" si="4"/>
        <v>6</v>
      </c>
      <c r="K82" s="233" t="str">
        <f t="shared" si="5"/>
        <v>Delayed</v>
      </c>
    </row>
    <row r="83" spans="1:11">
      <c r="A83" s="24" t="s">
        <v>516</v>
      </c>
      <c r="B83" s="24" t="s">
        <v>221</v>
      </c>
      <c r="C83" s="24" t="s">
        <v>92</v>
      </c>
      <c r="D83" s="30">
        <v>46137</v>
      </c>
      <c r="E83" s="30">
        <v>46145</v>
      </c>
      <c r="F83" s="24" t="s">
        <v>225</v>
      </c>
      <c r="G83" s="24" t="s">
        <v>76</v>
      </c>
      <c r="H83" s="30" t="s">
        <v>226</v>
      </c>
      <c r="I83" s="232">
        <f t="shared" ca="1" si="3"/>
        <v>34</v>
      </c>
      <c r="J83" s="232">
        <f t="shared" si="4"/>
        <v>8</v>
      </c>
      <c r="K83" s="233" t="str">
        <f t="shared" si="5"/>
        <v>Delayed</v>
      </c>
    </row>
    <row r="84" spans="1:11">
      <c r="A84" s="24" t="s">
        <v>521</v>
      </c>
      <c r="B84" s="24" t="s">
        <v>127</v>
      </c>
      <c r="C84" s="24" t="s">
        <v>118</v>
      </c>
      <c r="D84" s="30">
        <v>45919</v>
      </c>
      <c r="E84" s="30">
        <v>45927</v>
      </c>
      <c r="F84" s="24" t="s">
        <v>200</v>
      </c>
      <c r="G84" s="24" t="s">
        <v>76</v>
      </c>
      <c r="H84" s="30" t="s">
        <v>131</v>
      </c>
      <c r="I84" s="232">
        <f t="shared" ca="1" si="3"/>
        <v>44</v>
      </c>
      <c r="J84" s="232">
        <f t="shared" si="4"/>
        <v>8</v>
      </c>
      <c r="K84" s="233" t="str">
        <f t="shared" si="5"/>
        <v>Delayed</v>
      </c>
    </row>
    <row r="85" spans="1:11">
      <c r="A85" s="24" t="s">
        <v>524</v>
      </c>
      <c r="B85" s="24" t="s">
        <v>127</v>
      </c>
      <c r="C85" s="24" t="s">
        <v>72</v>
      </c>
      <c r="D85" s="30">
        <v>45734</v>
      </c>
      <c r="E85" s="30">
        <v>45737</v>
      </c>
      <c r="F85" s="24" t="s">
        <v>200</v>
      </c>
      <c r="G85" s="24" t="s">
        <v>76</v>
      </c>
      <c r="H85" s="30" t="s">
        <v>131</v>
      </c>
      <c r="I85" s="232">
        <f t="shared" ca="1" si="3"/>
        <v>44</v>
      </c>
      <c r="J85" s="232">
        <f t="shared" si="4"/>
        <v>3</v>
      </c>
      <c r="K85" s="233" t="str">
        <f t="shared" si="5"/>
        <v>On Time</v>
      </c>
    </row>
    <row r="86" spans="1:11">
      <c r="A86" s="24" t="s">
        <v>529</v>
      </c>
      <c r="B86" s="24" t="s">
        <v>23</v>
      </c>
      <c r="C86" s="24" t="s">
        <v>40</v>
      </c>
      <c r="D86" s="30">
        <v>45960</v>
      </c>
      <c r="E86" s="30">
        <v>45961</v>
      </c>
      <c r="F86" s="24" t="s">
        <v>27</v>
      </c>
      <c r="G86" s="24" t="s">
        <v>28</v>
      </c>
      <c r="H86" s="30" t="s">
        <v>29</v>
      </c>
      <c r="I86" s="232">
        <f t="shared" ca="1" si="3"/>
        <v>49</v>
      </c>
      <c r="J86" s="232">
        <f t="shared" si="4"/>
        <v>1</v>
      </c>
      <c r="K86" s="233" t="str">
        <f t="shared" si="5"/>
        <v>On Time</v>
      </c>
    </row>
    <row r="87" spans="1:11">
      <c r="A87" s="24" t="s">
        <v>534</v>
      </c>
      <c r="B87" s="24" t="s">
        <v>83</v>
      </c>
      <c r="C87" s="24" t="s">
        <v>222</v>
      </c>
      <c r="D87" s="30">
        <v>45961</v>
      </c>
      <c r="E87" s="30">
        <v>45972</v>
      </c>
      <c r="F87" s="24" t="s">
        <v>180</v>
      </c>
      <c r="G87" s="24" t="s">
        <v>76</v>
      </c>
      <c r="H87" s="30" t="s">
        <v>87</v>
      </c>
      <c r="I87" s="232">
        <f t="shared" ca="1" si="3"/>
        <v>38</v>
      </c>
      <c r="J87" s="232">
        <f t="shared" si="4"/>
        <v>11</v>
      </c>
      <c r="K87" s="233" t="str">
        <f t="shared" si="5"/>
        <v>Delayed</v>
      </c>
    </row>
    <row r="88" spans="1:11">
      <c r="A88" s="24" t="s">
        <v>538</v>
      </c>
      <c r="B88" s="24" t="s">
        <v>251</v>
      </c>
      <c r="C88" s="24" t="s">
        <v>92</v>
      </c>
      <c r="D88" s="30">
        <v>45757</v>
      </c>
      <c r="E88" s="30">
        <v>45765</v>
      </c>
      <c r="F88" s="24" t="s">
        <v>254</v>
      </c>
      <c r="G88" s="24" t="s">
        <v>28</v>
      </c>
      <c r="H88" s="30" t="s">
        <v>255</v>
      </c>
      <c r="I88" s="232">
        <f t="shared" ca="1" si="3"/>
        <v>45</v>
      </c>
      <c r="J88" s="232">
        <f t="shared" si="4"/>
        <v>8</v>
      </c>
      <c r="K88" s="233" t="str">
        <f t="shared" si="5"/>
        <v>Delayed</v>
      </c>
    </row>
    <row r="89" spans="1:11">
      <c r="A89" s="24" t="s">
        <v>542</v>
      </c>
      <c r="B89" s="24" t="s">
        <v>100</v>
      </c>
      <c r="C89" s="24" t="s">
        <v>169</v>
      </c>
      <c r="D89" s="30">
        <v>46097</v>
      </c>
      <c r="E89" s="30">
        <v>46107</v>
      </c>
      <c r="F89" s="24" t="s">
        <v>103</v>
      </c>
      <c r="G89" s="24" t="s">
        <v>28</v>
      </c>
      <c r="H89" s="30" t="s">
        <v>104</v>
      </c>
      <c r="I89" s="232">
        <f t="shared" ca="1" si="3"/>
        <v>31</v>
      </c>
      <c r="J89" s="232">
        <f t="shared" si="4"/>
        <v>10</v>
      </c>
      <c r="K89" s="233" t="str">
        <f t="shared" si="5"/>
        <v>Delayed</v>
      </c>
    </row>
    <row r="90" spans="1:11">
      <c r="A90" s="24" t="s">
        <v>547</v>
      </c>
      <c r="B90" s="24" t="s">
        <v>327</v>
      </c>
      <c r="C90" s="24" t="s">
        <v>40</v>
      </c>
      <c r="D90" s="30">
        <v>45915</v>
      </c>
      <c r="E90" s="30">
        <v>45924</v>
      </c>
      <c r="F90" s="24" t="s">
        <v>394</v>
      </c>
      <c r="G90" s="24" t="s">
        <v>76</v>
      </c>
      <c r="H90" s="30" t="s">
        <v>331</v>
      </c>
      <c r="I90" s="232">
        <f t="shared" ca="1" si="3"/>
        <v>34</v>
      </c>
      <c r="J90" s="232">
        <f t="shared" si="4"/>
        <v>9</v>
      </c>
      <c r="K90" s="233" t="str">
        <f t="shared" si="5"/>
        <v>Delayed</v>
      </c>
    </row>
    <row r="91" spans="1:11">
      <c r="A91" s="24" t="s">
        <v>553</v>
      </c>
      <c r="B91" s="24" t="s">
        <v>23</v>
      </c>
      <c r="C91" s="24" t="s">
        <v>169</v>
      </c>
      <c r="D91" s="30">
        <v>46092</v>
      </c>
      <c r="E91" s="30">
        <v>46100</v>
      </c>
      <c r="F91" s="24" t="s">
        <v>27</v>
      </c>
      <c r="G91" s="24" t="s">
        <v>28</v>
      </c>
      <c r="H91" s="30" t="s">
        <v>29</v>
      </c>
      <c r="I91" s="232">
        <f t="shared" ca="1" si="3"/>
        <v>49</v>
      </c>
      <c r="J91" s="232">
        <f t="shared" si="4"/>
        <v>8</v>
      </c>
      <c r="K91" s="233" t="str">
        <f t="shared" si="5"/>
        <v>Delayed</v>
      </c>
    </row>
    <row r="92" spans="1:11">
      <c r="A92" s="24" t="s">
        <v>557</v>
      </c>
      <c r="B92" s="24" t="s">
        <v>53</v>
      </c>
      <c r="C92" s="24" t="s">
        <v>72</v>
      </c>
      <c r="D92" s="30">
        <v>45889</v>
      </c>
      <c r="E92" s="30">
        <v>45892</v>
      </c>
      <c r="F92" s="24" t="s">
        <v>163</v>
      </c>
      <c r="G92" s="24" t="s">
        <v>28</v>
      </c>
      <c r="H92" s="30" t="s">
        <v>58</v>
      </c>
      <c r="I92" s="232">
        <f t="shared" ca="1" si="3"/>
        <v>31</v>
      </c>
      <c r="J92" s="232">
        <f t="shared" si="4"/>
        <v>3</v>
      </c>
      <c r="K92" s="233" t="str">
        <f t="shared" si="5"/>
        <v>On Time</v>
      </c>
    </row>
    <row r="93" spans="1:11">
      <c r="A93" s="24" t="s">
        <v>561</v>
      </c>
      <c r="B93" s="24" t="s">
        <v>53</v>
      </c>
      <c r="C93" s="24" t="s">
        <v>222</v>
      </c>
      <c r="D93" s="30">
        <v>45882</v>
      </c>
      <c r="E93" s="30">
        <v>45883</v>
      </c>
      <c r="F93" s="24" t="s">
        <v>163</v>
      </c>
      <c r="G93" s="24" t="s">
        <v>28</v>
      </c>
      <c r="H93" s="30" t="s">
        <v>58</v>
      </c>
      <c r="I93" s="232">
        <f t="shared" ca="1" si="3"/>
        <v>31</v>
      </c>
      <c r="J93" s="232">
        <f t="shared" si="4"/>
        <v>1</v>
      </c>
      <c r="K93" s="233" t="str">
        <f t="shared" si="5"/>
        <v>On Time</v>
      </c>
    </row>
    <row r="94" spans="1:11">
      <c r="A94" s="24" t="s">
        <v>566</v>
      </c>
      <c r="B94" s="24" t="s">
        <v>23</v>
      </c>
      <c r="C94" s="24" t="s">
        <v>222</v>
      </c>
      <c r="D94" s="30">
        <v>45732</v>
      </c>
      <c r="E94" s="30">
        <v>45736</v>
      </c>
      <c r="F94" s="24" t="s">
        <v>27</v>
      </c>
      <c r="G94" s="24" t="s">
        <v>28</v>
      </c>
      <c r="H94" s="30" t="s">
        <v>29</v>
      </c>
      <c r="I94" s="232">
        <f t="shared" ca="1" si="3"/>
        <v>49</v>
      </c>
      <c r="J94" s="232">
        <f t="shared" si="4"/>
        <v>4</v>
      </c>
      <c r="K94" s="233" t="str">
        <f t="shared" si="5"/>
        <v>On Time</v>
      </c>
    </row>
    <row r="95" spans="1:11">
      <c r="A95" s="24" t="s">
        <v>571</v>
      </c>
      <c r="B95" s="24" t="s">
        <v>168</v>
      </c>
      <c r="C95" s="24" t="s">
        <v>24</v>
      </c>
      <c r="D95" s="30">
        <v>45904</v>
      </c>
      <c r="E95" s="30">
        <v>45910</v>
      </c>
      <c r="F95" s="24" t="s">
        <v>361</v>
      </c>
      <c r="G95" s="24" t="s">
        <v>28</v>
      </c>
      <c r="H95" s="30" t="s">
        <v>173</v>
      </c>
      <c r="I95" s="232">
        <f t="shared" ca="1" si="3"/>
        <v>24</v>
      </c>
      <c r="J95" s="232">
        <f t="shared" si="4"/>
        <v>6</v>
      </c>
      <c r="K95" s="233" t="str">
        <f t="shared" si="5"/>
        <v>Delayed</v>
      </c>
    </row>
    <row r="96" spans="1:11">
      <c r="A96" s="24" t="s">
        <v>576</v>
      </c>
      <c r="B96" s="24" t="s">
        <v>327</v>
      </c>
      <c r="C96" s="24" t="s">
        <v>92</v>
      </c>
      <c r="D96" s="30">
        <v>45759</v>
      </c>
      <c r="E96" s="30">
        <v>45762</v>
      </c>
      <c r="F96" s="24" t="s">
        <v>394</v>
      </c>
      <c r="G96" s="24" t="s">
        <v>76</v>
      </c>
      <c r="H96" s="30" t="s">
        <v>331</v>
      </c>
      <c r="I96" s="232">
        <f t="shared" ca="1" si="3"/>
        <v>34</v>
      </c>
      <c r="J96" s="232">
        <f t="shared" si="4"/>
        <v>3</v>
      </c>
      <c r="K96" s="233" t="str">
        <f t="shared" si="5"/>
        <v>On Time</v>
      </c>
    </row>
    <row r="97" spans="1:11">
      <c r="A97" s="24" t="s">
        <v>581</v>
      </c>
      <c r="B97" s="24" t="s">
        <v>100</v>
      </c>
      <c r="C97" s="24" t="s">
        <v>169</v>
      </c>
      <c r="D97" s="30">
        <v>46146</v>
      </c>
      <c r="E97" s="30">
        <v>46149</v>
      </c>
      <c r="F97" s="24" t="s">
        <v>103</v>
      </c>
      <c r="G97" s="24" t="s">
        <v>28</v>
      </c>
      <c r="H97" s="30" t="s">
        <v>104</v>
      </c>
      <c r="I97" s="232">
        <f t="shared" ca="1" si="3"/>
        <v>31</v>
      </c>
      <c r="J97" s="232">
        <f t="shared" si="4"/>
        <v>3</v>
      </c>
      <c r="K97" s="233" t="str">
        <f t="shared" si="5"/>
        <v>On Time</v>
      </c>
    </row>
    <row r="98" spans="1:11">
      <c r="A98" s="24" t="s">
        <v>586</v>
      </c>
      <c r="B98" s="24" t="s">
        <v>251</v>
      </c>
      <c r="C98" s="24" t="s">
        <v>40</v>
      </c>
      <c r="D98" s="30">
        <v>46040</v>
      </c>
      <c r="E98" s="30">
        <v>46049</v>
      </c>
      <c r="F98" s="24" t="s">
        <v>254</v>
      </c>
      <c r="G98" s="24" t="s">
        <v>28</v>
      </c>
      <c r="H98" s="30" t="s">
        <v>255</v>
      </c>
      <c r="I98" s="232">
        <f t="shared" ca="1" si="3"/>
        <v>45</v>
      </c>
      <c r="J98" s="232">
        <f t="shared" si="4"/>
        <v>9</v>
      </c>
      <c r="K98" s="233" t="str">
        <f t="shared" si="5"/>
        <v>Delayed</v>
      </c>
    </row>
    <row r="99" spans="1:11">
      <c r="A99" s="24" t="s">
        <v>591</v>
      </c>
      <c r="B99" s="24" t="s">
        <v>327</v>
      </c>
      <c r="C99" s="24" t="s">
        <v>222</v>
      </c>
      <c r="D99" s="30">
        <v>46095</v>
      </c>
      <c r="E99" s="30">
        <v>46105</v>
      </c>
      <c r="F99" s="24" t="s">
        <v>394</v>
      </c>
      <c r="G99" s="24" t="s">
        <v>76</v>
      </c>
      <c r="H99" s="30" t="s">
        <v>331</v>
      </c>
      <c r="I99" s="232">
        <f t="shared" ca="1" si="3"/>
        <v>34</v>
      </c>
      <c r="J99" s="232">
        <f t="shared" si="4"/>
        <v>10</v>
      </c>
      <c r="K99" s="233" t="str">
        <f t="shared" si="5"/>
        <v>Delayed</v>
      </c>
    </row>
    <row r="100" spans="1:11">
      <c r="A100" s="24" t="s">
        <v>595</v>
      </c>
      <c r="B100" s="24" t="s">
        <v>168</v>
      </c>
      <c r="C100" s="24" t="s">
        <v>184</v>
      </c>
      <c r="D100" s="30">
        <v>45786</v>
      </c>
      <c r="E100" s="30">
        <v>45788</v>
      </c>
      <c r="F100" s="24" t="s">
        <v>361</v>
      </c>
      <c r="G100" s="24" t="s">
        <v>28</v>
      </c>
      <c r="H100" s="30" t="s">
        <v>173</v>
      </c>
      <c r="I100" s="232">
        <f t="shared" ca="1" si="3"/>
        <v>24</v>
      </c>
      <c r="J100" s="232">
        <f t="shared" si="4"/>
        <v>2</v>
      </c>
      <c r="K100" s="233" t="str">
        <f t="shared" si="5"/>
        <v>On Time</v>
      </c>
    </row>
    <row r="101" spans="1:11">
      <c r="A101" s="24" t="s">
        <v>600</v>
      </c>
      <c r="B101" s="24" t="s">
        <v>83</v>
      </c>
      <c r="C101" s="24" t="s">
        <v>259</v>
      </c>
      <c r="D101" s="30">
        <v>46149</v>
      </c>
      <c r="E101" s="30">
        <v>46152</v>
      </c>
      <c r="F101" s="24" t="s">
        <v>180</v>
      </c>
      <c r="G101" s="24" t="s">
        <v>76</v>
      </c>
      <c r="H101" s="30" t="s">
        <v>87</v>
      </c>
      <c r="I101" s="232">
        <f t="shared" ca="1" si="3"/>
        <v>38</v>
      </c>
      <c r="J101" s="232">
        <f t="shared" si="4"/>
        <v>3</v>
      </c>
      <c r="K101" s="233" t="str">
        <f t="shared" si="5"/>
        <v>On Time</v>
      </c>
    </row>
    <row r="102" spans="1:11">
      <c r="A102" s="24" t="s">
        <v>604</v>
      </c>
      <c r="B102" s="24" t="s">
        <v>127</v>
      </c>
      <c r="C102" s="24" t="s">
        <v>118</v>
      </c>
      <c r="D102" s="30">
        <v>45768</v>
      </c>
      <c r="E102" s="30">
        <v>45776</v>
      </c>
      <c r="F102" s="24" t="s">
        <v>200</v>
      </c>
      <c r="G102" s="24" t="s">
        <v>76</v>
      </c>
      <c r="H102" s="30" t="s">
        <v>131</v>
      </c>
      <c r="I102" s="232">
        <f t="shared" ca="1" si="3"/>
        <v>44</v>
      </c>
      <c r="J102" s="232">
        <f t="shared" si="4"/>
        <v>8</v>
      </c>
      <c r="K102" s="233" t="str">
        <f t="shared" si="5"/>
        <v>Delayed</v>
      </c>
    </row>
    <row r="103" spans="1:11">
      <c r="A103" s="24" t="s">
        <v>609</v>
      </c>
      <c r="B103" s="24" t="s">
        <v>327</v>
      </c>
      <c r="C103" s="24" t="s">
        <v>184</v>
      </c>
      <c r="D103" s="30">
        <v>46002</v>
      </c>
      <c r="E103" s="30">
        <v>46011</v>
      </c>
      <c r="F103" s="24" t="s">
        <v>394</v>
      </c>
      <c r="G103" s="24" t="s">
        <v>76</v>
      </c>
      <c r="H103" s="30" t="s">
        <v>331</v>
      </c>
      <c r="I103" s="232">
        <f t="shared" ca="1" si="3"/>
        <v>34</v>
      </c>
      <c r="J103" s="232">
        <f t="shared" si="4"/>
        <v>9</v>
      </c>
      <c r="K103" s="233" t="str">
        <f t="shared" si="5"/>
        <v>Delayed</v>
      </c>
    </row>
    <row r="104" spans="1:11">
      <c r="A104" s="24" t="s">
        <v>614</v>
      </c>
      <c r="B104" s="24" t="s">
        <v>327</v>
      </c>
      <c r="C104" s="24" t="s">
        <v>92</v>
      </c>
      <c r="D104" s="30">
        <v>46149</v>
      </c>
      <c r="E104" s="30">
        <v>46157</v>
      </c>
      <c r="F104" s="24" t="s">
        <v>394</v>
      </c>
      <c r="G104" s="24" t="s">
        <v>76</v>
      </c>
      <c r="H104" s="30" t="s">
        <v>331</v>
      </c>
      <c r="I104" s="232">
        <f t="shared" ca="1" si="3"/>
        <v>34</v>
      </c>
      <c r="J104" s="232">
        <f t="shared" si="4"/>
        <v>8</v>
      </c>
      <c r="K104" s="233" t="str">
        <f t="shared" si="5"/>
        <v>Delayed</v>
      </c>
    </row>
    <row r="105" spans="1:11">
      <c r="A105" s="24" t="s">
        <v>618</v>
      </c>
      <c r="B105" s="24" t="s">
        <v>251</v>
      </c>
      <c r="C105" s="24" t="s">
        <v>259</v>
      </c>
      <c r="D105" s="30">
        <v>45670</v>
      </c>
      <c r="E105" s="30">
        <v>45677</v>
      </c>
      <c r="F105" s="24" t="s">
        <v>254</v>
      </c>
      <c r="G105" s="24" t="s">
        <v>28</v>
      </c>
      <c r="H105" s="30" t="s">
        <v>255</v>
      </c>
      <c r="I105" s="232">
        <f t="shared" ca="1" si="3"/>
        <v>45</v>
      </c>
      <c r="J105" s="232">
        <f t="shared" si="4"/>
        <v>7</v>
      </c>
      <c r="K105" s="233" t="str">
        <f t="shared" si="5"/>
        <v>Delayed</v>
      </c>
    </row>
    <row r="106" spans="1:11">
      <c r="A106" s="24" t="s">
        <v>623</v>
      </c>
      <c r="B106" s="24" t="s">
        <v>83</v>
      </c>
      <c r="C106" s="24" t="s">
        <v>222</v>
      </c>
      <c r="D106" s="30">
        <v>45733</v>
      </c>
      <c r="E106" s="30">
        <v>45734</v>
      </c>
      <c r="F106" s="24" t="s">
        <v>180</v>
      </c>
      <c r="G106" s="24" t="s">
        <v>76</v>
      </c>
      <c r="H106" s="30" t="s">
        <v>87</v>
      </c>
      <c r="I106" s="232">
        <f t="shared" ca="1" si="3"/>
        <v>38</v>
      </c>
      <c r="J106" s="232">
        <f t="shared" si="4"/>
        <v>1</v>
      </c>
      <c r="K106" s="233" t="str">
        <f t="shared" si="5"/>
        <v>On Time</v>
      </c>
    </row>
    <row r="107" spans="1:11">
      <c r="A107" s="24" t="s">
        <v>627</v>
      </c>
      <c r="B107" s="24" t="s">
        <v>53</v>
      </c>
      <c r="C107" s="24" t="s">
        <v>72</v>
      </c>
      <c r="D107" s="30">
        <v>45713</v>
      </c>
      <c r="E107" s="30">
        <v>45717</v>
      </c>
      <c r="F107" s="24" t="s">
        <v>163</v>
      </c>
      <c r="G107" s="24" t="s">
        <v>28</v>
      </c>
      <c r="H107" s="30" t="s">
        <v>58</v>
      </c>
      <c r="I107" s="232">
        <f t="shared" ca="1" si="3"/>
        <v>31</v>
      </c>
      <c r="J107" s="232">
        <f t="shared" si="4"/>
        <v>4</v>
      </c>
      <c r="K107" s="233" t="str">
        <f t="shared" si="5"/>
        <v>On Time</v>
      </c>
    </row>
    <row r="108" spans="1:11">
      <c r="A108" s="24" t="s">
        <v>631</v>
      </c>
      <c r="B108" s="24" t="s">
        <v>100</v>
      </c>
      <c r="C108" s="24" t="s">
        <v>92</v>
      </c>
      <c r="D108" s="30">
        <v>45714</v>
      </c>
      <c r="E108" s="30">
        <v>45715</v>
      </c>
      <c r="F108" s="24" t="s">
        <v>103</v>
      </c>
      <c r="G108" s="24" t="s">
        <v>28</v>
      </c>
      <c r="H108" s="30" t="s">
        <v>104</v>
      </c>
      <c r="I108" s="232">
        <f t="shared" ca="1" si="3"/>
        <v>31</v>
      </c>
      <c r="J108" s="232">
        <f t="shared" si="4"/>
        <v>1</v>
      </c>
      <c r="K108" s="233" t="str">
        <f t="shared" si="5"/>
        <v>On Time</v>
      </c>
    </row>
    <row r="109" spans="1:11">
      <c r="A109" s="24" t="s">
        <v>635</v>
      </c>
      <c r="B109" s="24" t="s">
        <v>221</v>
      </c>
      <c r="C109" s="24" t="s">
        <v>72</v>
      </c>
      <c r="D109" s="30">
        <v>46094</v>
      </c>
      <c r="E109" s="30">
        <v>46099</v>
      </c>
      <c r="F109" s="24" t="s">
        <v>225</v>
      </c>
      <c r="G109" s="24" t="s">
        <v>76</v>
      </c>
      <c r="H109" s="30" t="s">
        <v>226</v>
      </c>
      <c r="I109" s="232">
        <f t="shared" ca="1" si="3"/>
        <v>34</v>
      </c>
      <c r="J109" s="232">
        <f t="shared" si="4"/>
        <v>5</v>
      </c>
      <c r="K109" s="233" t="str">
        <f t="shared" si="5"/>
        <v>On Time</v>
      </c>
    </row>
    <row r="110" spans="1:11">
      <c r="A110" s="24" t="s">
        <v>639</v>
      </c>
      <c r="B110" s="24" t="s">
        <v>83</v>
      </c>
      <c r="C110" s="24" t="s">
        <v>72</v>
      </c>
      <c r="D110" s="30">
        <v>45848</v>
      </c>
      <c r="E110" s="30">
        <v>45850</v>
      </c>
      <c r="F110" s="24" t="s">
        <v>180</v>
      </c>
      <c r="G110" s="24" t="s">
        <v>76</v>
      </c>
      <c r="H110" s="30" t="s">
        <v>87</v>
      </c>
      <c r="I110" s="232">
        <f t="shared" ca="1" si="3"/>
        <v>38</v>
      </c>
      <c r="J110" s="232">
        <f t="shared" si="4"/>
        <v>2</v>
      </c>
      <c r="K110" s="233" t="str">
        <f t="shared" si="5"/>
        <v>On Time</v>
      </c>
    </row>
    <row r="111" spans="1:11">
      <c r="A111" s="24" t="s">
        <v>644</v>
      </c>
      <c r="B111" s="24" t="s">
        <v>221</v>
      </c>
      <c r="C111" s="24" t="s">
        <v>169</v>
      </c>
      <c r="D111" s="30">
        <v>45979</v>
      </c>
      <c r="E111" s="30">
        <v>45987</v>
      </c>
      <c r="F111" s="24" t="s">
        <v>225</v>
      </c>
      <c r="G111" s="24" t="s">
        <v>76</v>
      </c>
      <c r="H111" s="30" t="s">
        <v>226</v>
      </c>
      <c r="I111" s="232">
        <f t="shared" ca="1" si="3"/>
        <v>34</v>
      </c>
      <c r="J111" s="232">
        <f t="shared" si="4"/>
        <v>8</v>
      </c>
      <c r="K111" s="233" t="str">
        <f t="shared" si="5"/>
        <v>Delayed</v>
      </c>
    </row>
    <row r="112" spans="1:11">
      <c r="A112" s="24" t="s">
        <v>648</v>
      </c>
      <c r="B112" s="24" t="s">
        <v>127</v>
      </c>
      <c r="C112" s="24" t="s">
        <v>72</v>
      </c>
      <c r="D112" s="30">
        <v>45760</v>
      </c>
      <c r="E112" s="30">
        <v>45766</v>
      </c>
      <c r="F112" s="24" t="s">
        <v>200</v>
      </c>
      <c r="G112" s="24" t="s">
        <v>76</v>
      </c>
      <c r="H112" s="30" t="s">
        <v>131</v>
      </c>
      <c r="I112" s="232">
        <f t="shared" ca="1" si="3"/>
        <v>44</v>
      </c>
      <c r="J112" s="232">
        <f t="shared" si="4"/>
        <v>6</v>
      </c>
      <c r="K112" s="233" t="str">
        <f t="shared" si="5"/>
        <v>Delayed</v>
      </c>
    </row>
    <row r="113" spans="1:11">
      <c r="A113" s="24" t="s">
        <v>651</v>
      </c>
      <c r="B113" s="24" t="s">
        <v>127</v>
      </c>
      <c r="C113" s="24" t="s">
        <v>169</v>
      </c>
      <c r="D113" s="30">
        <v>45756</v>
      </c>
      <c r="E113" s="30">
        <v>45765</v>
      </c>
      <c r="F113" s="24" t="s">
        <v>200</v>
      </c>
      <c r="G113" s="24" t="s">
        <v>76</v>
      </c>
      <c r="H113" s="30" t="s">
        <v>131</v>
      </c>
      <c r="I113" s="232">
        <f t="shared" ca="1" si="3"/>
        <v>44</v>
      </c>
      <c r="J113" s="232">
        <f t="shared" si="4"/>
        <v>9</v>
      </c>
      <c r="K113" s="233" t="str">
        <f t="shared" si="5"/>
        <v>Delayed</v>
      </c>
    </row>
    <row r="114" spans="1:11">
      <c r="A114" s="24" t="s">
        <v>655</v>
      </c>
      <c r="B114" s="24" t="s">
        <v>53</v>
      </c>
      <c r="C114" s="24" t="s">
        <v>259</v>
      </c>
      <c r="D114" s="30">
        <v>46115</v>
      </c>
      <c r="E114" s="30">
        <v>46122</v>
      </c>
      <c r="F114" s="24" t="s">
        <v>163</v>
      </c>
      <c r="G114" s="24" t="s">
        <v>28</v>
      </c>
      <c r="H114" s="30" t="s">
        <v>58</v>
      </c>
      <c r="I114" s="232">
        <f t="shared" ca="1" si="3"/>
        <v>31</v>
      </c>
      <c r="J114" s="232">
        <f t="shared" si="4"/>
        <v>7</v>
      </c>
      <c r="K114" s="233" t="str">
        <f t="shared" si="5"/>
        <v>Delayed</v>
      </c>
    </row>
    <row r="115" spans="1:11">
      <c r="A115" s="24" t="s">
        <v>660</v>
      </c>
      <c r="B115" s="24" t="s">
        <v>221</v>
      </c>
      <c r="C115" s="24" t="s">
        <v>118</v>
      </c>
      <c r="D115" s="30">
        <v>45953</v>
      </c>
      <c r="E115" s="30">
        <v>45958</v>
      </c>
      <c r="F115" s="24" t="s">
        <v>225</v>
      </c>
      <c r="G115" s="24" t="s">
        <v>76</v>
      </c>
      <c r="H115" s="30" t="s">
        <v>226</v>
      </c>
      <c r="I115" s="232">
        <f t="shared" ca="1" si="3"/>
        <v>34</v>
      </c>
      <c r="J115" s="232">
        <f t="shared" si="4"/>
        <v>5</v>
      </c>
      <c r="K115" s="233" t="str">
        <f t="shared" si="5"/>
        <v>On Time</v>
      </c>
    </row>
    <row r="116" spans="1:11">
      <c r="A116" s="24" t="s">
        <v>664</v>
      </c>
      <c r="B116" s="24" t="s">
        <v>53</v>
      </c>
      <c r="C116" s="24" t="s">
        <v>184</v>
      </c>
      <c r="D116" s="30">
        <v>45750</v>
      </c>
      <c r="E116" s="30">
        <v>45761</v>
      </c>
      <c r="F116" s="24" t="s">
        <v>163</v>
      </c>
      <c r="G116" s="24" t="s">
        <v>28</v>
      </c>
      <c r="H116" s="30" t="s">
        <v>58</v>
      </c>
      <c r="I116" s="232">
        <f t="shared" ca="1" si="3"/>
        <v>31</v>
      </c>
      <c r="J116" s="232">
        <f t="shared" si="4"/>
        <v>11</v>
      </c>
      <c r="K116" s="233" t="str">
        <f t="shared" si="5"/>
        <v>Delayed</v>
      </c>
    </row>
    <row r="117" spans="1:11">
      <c r="A117" s="24" t="s">
        <v>669</v>
      </c>
      <c r="B117" s="24" t="s">
        <v>168</v>
      </c>
      <c r="C117" s="24" t="s">
        <v>222</v>
      </c>
      <c r="D117" s="30">
        <v>45772</v>
      </c>
      <c r="E117" s="30">
        <v>45776</v>
      </c>
      <c r="F117" s="24" t="s">
        <v>361</v>
      </c>
      <c r="G117" s="24" t="s">
        <v>28</v>
      </c>
      <c r="H117" s="30" t="s">
        <v>173</v>
      </c>
      <c r="I117" s="232">
        <f t="shared" ca="1" si="3"/>
        <v>24</v>
      </c>
      <c r="J117" s="232">
        <f t="shared" si="4"/>
        <v>4</v>
      </c>
      <c r="K117" s="233" t="str">
        <f t="shared" si="5"/>
        <v>On Time</v>
      </c>
    </row>
    <row r="118" spans="1:11">
      <c r="A118" s="24" t="s">
        <v>672</v>
      </c>
      <c r="B118" s="24" t="s">
        <v>100</v>
      </c>
      <c r="C118" s="24" t="s">
        <v>184</v>
      </c>
      <c r="D118" s="30">
        <v>45893</v>
      </c>
      <c r="E118" s="30">
        <v>45900</v>
      </c>
      <c r="F118" s="24" t="s">
        <v>103</v>
      </c>
      <c r="G118" s="24" t="s">
        <v>28</v>
      </c>
      <c r="H118" s="30" t="s">
        <v>104</v>
      </c>
      <c r="I118" s="232">
        <f t="shared" ca="1" si="3"/>
        <v>31</v>
      </c>
      <c r="J118" s="232">
        <f t="shared" si="4"/>
        <v>7</v>
      </c>
      <c r="K118" s="233" t="str">
        <f t="shared" si="5"/>
        <v>Delayed</v>
      </c>
    </row>
    <row r="119" spans="1:11">
      <c r="A119" s="24" t="s">
        <v>677</v>
      </c>
      <c r="B119" s="24" t="s">
        <v>327</v>
      </c>
      <c r="C119" s="24" t="s">
        <v>259</v>
      </c>
      <c r="D119" s="30">
        <v>45808</v>
      </c>
      <c r="E119" s="30">
        <v>45819</v>
      </c>
      <c r="F119" s="24" t="s">
        <v>394</v>
      </c>
      <c r="G119" s="24" t="s">
        <v>76</v>
      </c>
      <c r="H119" s="30" t="s">
        <v>331</v>
      </c>
      <c r="I119" s="232">
        <f t="shared" ca="1" si="3"/>
        <v>34</v>
      </c>
      <c r="J119" s="232">
        <f t="shared" si="4"/>
        <v>11</v>
      </c>
      <c r="K119" s="233" t="str">
        <f t="shared" si="5"/>
        <v>Delayed</v>
      </c>
    </row>
    <row r="120" spans="1:11">
      <c r="A120" s="24" t="s">
        <v>682</v>
      </c>
      <c r="B120" s="24" t="s">
        <v>71</v>
      </c>
      <c r="C120" s="24" t="s">
        <v>72</v>
      </c>
      <c r="D120" s="30">
        <v>45807</v>
      </c>
      <c r="E120" s="30">
        <v>45810</v>
      </c>
      <c r="F120" s="24" t="s">
        <v>217</v>
      </c>
      <c r="G120" s="24" t="s">
        <v>76</v>
      </c>
      <c r="H120" s="30" t="s">
        <v>77</v>
      </c>
      <c r="I120" s="232">
        <f t="shared" ca="1" si="3"/>
        <v>50</v>
      </c>
      <c r="J120" s="232">
        <f t="shared" si="4"/>
        <v>3</v>
      </c>
      <c r="K120" s="233" t="str">
        <f t="shared" si="5"/>
        <v>On Time</v>
      </c>
    </row>
    <row r="121" spans="1:11">
      <c r="A121" s="24" t="s">
        <v>688</v>
      </c>
      <c r="B121" s="24" t="s">
        <v>100</v>
      </c>
      <c r="C121" s="24" t="s">
        <v>40</v>
      </c>
      <c r="D121" s="30">
        <v>45888</v>
      </c>
      <c r="E121" s="30">
        <v>45899</v>
      </c>
      <c r="F121" s="24" t="s">
        <v>103</v>
      </c>
      <c r="G121" s="24" t="s">
        <v>28</v>
      </c>
      <c r="H121" s="30" t="s">
        <v>104</v>
      </c>
      <c r="I121" s="232">
        <f t="shared" ca="1" si="3"/>
        <v>31</v>
      </c>
      <c r="J121" s="232">
        <f t="shared" si="4"/>
        <v>11</v>
      </c>
      <c r="K121" s="233" t="str">
        <f t="shared" si="5"/>
        <v>Delayed</v>
      </c>
    </row>
    <row r="122" spans="1:11">
      <c r="A122" s="24" t="s">
        <v>691</v>
      </c>
      <c r="B122" s="24" t="s">
        <v>127</v>
      </c>
      <c r="C122" s="24" t="s">
        <v>169</v>
      </c>
      <c r="D122" s="30">
        <v>46005</v>
      </c>
      <c r="E122" s="30">
        <v>46007</v>
      </c>
      <c r="F122" s="24" t="s">
        <v>200</v>
      </c>
      <c r="G122" s="24" t="s">
        <v>76</v>
      </c>
      <c r="H122" s="30" t="s">
        <v>131</v>
      </c>
      <c r="I122" s="232">
        <f t="shared" ca="1" si="3"/>
        <v>44</v>
      </c>
      <c r="J122" s="232">
        <f t="shared" si="4"/>
        <v>2</v>
      </c>
      <c r="K122" s="233" t="str">
        <f t="shared" si="5"/>
        <v>On Time</v>
      </c>
    </row>
    <row r="123" spans="1:11">
      <c r="A123" s="24" t="s">
        <v>695</v>
      </c>
      <c r="B123" s="24" t="s">
        <v>83</v>
      </c>
      <c r="C123" s="24" t="s">
        <v>259</v>
      </c>
      <c r="D123" s="30">
        <v>46053</v>
      </c>
      <c r="E123" s="30">
        <v>46063</v>
      </c>
      <c r="F123" s="24" t="s">
        <v>180</v>
      </c>
      <c r="G123" s="24" t="s">
        <v>76</v>
      </c>
      <c r="H123" s="30" t="s">
        <v>87</v>
      </c>
      <c r="I123" s="232">
        <f t="shared" ca="1" si="3"/>
        <v>38</v>
      </c>
      <c r="J123" s="232">
        <f t="shared" si="4"/>
        <v>10</v>
      </c>
      <c r="K123" s="233" t="str">
        <f t="shared" si="5"/>
        <v>Delayed</v>
      </c>
    </row>
    <row r="124" spans="1:11">
      <c r="A124" s="24" t="s">
        <v>698</v>
      </c>
      <c r="B124" s="24" t="s">
        <v>327</v>
      </c>
      <c r="C124" s="24" t="s">
        <v>184</v>
      </c>
      <c r="D124" s="30">
        <v>46025</v>
      </c>
      <c r="E124" s="30">
        <v>46026</v>
      </c>
      <c r="F124" s="24" t="s">
        <v>394</v>
      </c>
      <c r="G124" s="24" t="s">
        <v>76</v>
      </c>
      <c r="H124" s="30" t="s">
        <v>331</v>
      </c>
      <c r="I124" s="232">
        <f t="shared" ca="1" si="3"/>
        <v>34</v>
      </c>
      <c r="J124" s="232">
        <f t="shared" si="4"/>
        <v>1</v>
      </c>
      <c r="K124" s="233" t="str">
        <f t="shared" si="5"/>
        <v>On Time</v>
      </c>
    </row>
    <row r="125" spans="1:11">
      <c r="A125" s="24" t="s">
        <v>701</v>
      </c>
      <c r="B125" s="24" t="s">
        <v>168</v>
      </c>
      <c r="C125" s="24" t="s">
        <v>72</v>
      </c>
      <c r="D125" s="30">
        <v>45950</v>
      </c>
      <c r="E125" s="30">
        <v>45956</v>
      </c>
      <c r="F125" s="24" t="s">
        <v>361</v>
      </c>
      <c r="G125" s="24" t="s">
        <v>28</v>
      </c>
      <c r="H125" s="30" t="s">
        <v>173</v>
      </c>
      <c r="I125" s="232">
        <f t="shared" ca="1" si="3"/>
        <v>24</v>
      </c>
      <c r="J125" s="232">
        <f t="shared" si="4"/>
        <v>6</v>
      </c>
      <c r="K125" s="233" t="str">
        <f t="shared" si="5"/>
        <v>Delayed</v>
      </c>
    </row>
    <row r="126" spans="1:11">
      <c r="A126" s="24" t="s">
        <v>706</v>
      </c>
      <c r="B126" s="24" t="s">
        <v>100</v>
      </c>
      <c r="C126" s="24" t="s">
        <v>259</v>
      </c>
      <c r="D126" s="30">
        <v>45788</v>
      </c>
      <c r="E126" s="30">
        <v>45798</v>
      </c>
      <c r="F126" s="24" t="s">
        <v>103</v>
      </c>
      <c r="G126" s="24" t="s">
        <v>28</v>
      </c>
      <c r="H126" s="30" t="s">
        <v>104</v>
      </c>
      <c r="I126" s="232">
        <f t="shared" ca="1" si="3"/>
        <v>31</v>
      </c>
      <c r="J126" s="232">
        <f t="shared" si="4"/>
        <v>10</v>
      </c>
      <c r="K126" s="233" t="str">
        <f t="shared" si="5"/>
        <v>Delayed</v>
      </c>
    </row>
    <row r="127" spans="1:11">
      <c r="A127" s="24" t="s">
        <v>710</v>
      </c>
      <c r="B127" s="24" t="s">
        <v>168</v>
      </c>
      <c r="C127" s="24" t="s">
        <v>72</v>
      </c>
      <c r="D127" s="30">
        <v>46024</v>
      </c>
      <c r="E127" s="30">
        <v>46028</v>
      </c>
      <c r="F127" s="24" t="s">
        <v>361</v>
      </c>
      <c r="G127" s="24" t="s">
        <v>28</v>
      </c>
      <c r="H127" s="30" t="s">
        <v>173</v>
      </c>
      <c r="I127" s="232">
        <f t="shared" ca="1" si="3"/>
        <v>24</v>
      </c>
      <c r="J127" s="232">
        <f t="shared" si="4"/>
        <v>4</v>
      </c>
      <c r="K127" s="233" t="str">
        <f t="shared" si="5"/>
        <v>On Time</v>
      </c>
    </row>
    <row r="128" spans="1:11">
      <c r="A128" s="24" t="s">
        <v>715</v>
      </c>
      <c r="B128" s="24" t="s">
        <v>127</v>
      </c>
      <c r="C128" s="24" t="s">
        <v>54</v>
      </c>
      <c r="D128" s="30">
        <v>46132</v>
      </c>
      <c r="E128" s="30">
        <v>46138</v>
      </c>
      <c r="F128" s="24" t="s">
        <v>200</v>
      </c>
      <c r="G128" s="24" t="s">
        <v>76</v>
      </c>
      <c r="H128" s="30" t="s">
        <v>131</v>
      </c>
      <c r="I128" s="232">
        <f t="shared" ca="1" si="3"/>
        <v>44</v>
      </c>
      <c r="J128" s="232">
        <f t="shared" si="4"/>
        <v>6</v>
      </c>
      <c r="K128" s="233" t="str">
        <f t="shared" si="5"/>
        <v>Delayed</v>
      </c>
    </row>
    <row r="129" spans="1:11">
      <c r="A129" s="24" t="s">
        <v>719</v>
      </c>
      <c r="B129" s="24" t="s">
        <v>251</v>
      </c>
      <c r="C129" s="24" t="s">
        <v>92</v>
      </c>
      <c r="D129" s="30">
        <v>45873</v>
      </c>
      <c r="E129" s="30">
        <v>45874</v>
      </c>
      <c r="F129" s="24" t="s">
        <v>254</v>
      </c>
      <c r="G129" s="24" t="s">
        <v>28</v>
      </c>
      <c r="H129" s="30" t="s">
        <v>255</v>
      </c>
      <c r="I129" s="232">
        <f t="shared" ca="1" si="3"/>
        <v>45</v>
      </c>
      <c r="J129" s="232">
        <f t="shared" si="4"/>
        <v>1</v>
      </c>
      <c r="K129" s="233" t="str">
        <f t="shared" si="5"/>
        <v>On Time</v>
      </c>
    </row>
    <row r="130" spans="1:11">
      <c r="A130" s="24" t="s">
        <v>723</v>
      </c>
      <c r="B130" s="24" t="s">
        <v>100</v>
      </c>
      <c r="C130" s="24" t="s">
        <v>24</v>
      </c>
      <c r="D130" s="30">
        <v>45882</v>
      </c>
      <c r="E130" s="30">
        <v>45887</v>
      </c>
      <c r="F130" s="24" t="s">
        <v>103</v>
      </c>
      <c r="G130" s="24" t="s">
        <v>28</v>
      </c>
      <c r="H130" s="30" t="s">
        <v>104</v>
      </c>
      <c r="I130" s="232">
        <f t="shared" ca="1" si="3"/>
        <v>31</v>
      </c>
      <c r="J130" s="232">
        <f t="shared" si="4"/>
        <v>5</v>
      </c>
      <c r="K130" s="233" t="str">
        <f t="shared" si="5"/>
        <v>On Time</v>
      </c>
    </row>
    <row r="131" spans="1:11">
      <c r="A131" s="24" t="s">
        <v>727</v>
      </c>
      <c r="B131" s="24" t="s">
        <v>251</v>
      </c>
      <c r="C131" s="24" t="s">
        <v>92</v>
      </c>
      <c r="D131" s="30">
        <v>45824</v>
      </c>
      <c r="E131" s="30">
        <v>45832</v>
      </c>
      <c r="F131" s="24" t="s">
        <v>254</v>
      </c>
      <c r="G131" s="24" t="s">
        <v>28</v>
      </c>
      <c r="H131" s="30" t="s">
        <v>255</v>
      </c>
      <c r="I131" s="232">
        <f t="shared" ref="I131:I194" ca="1" si="6">DATEDIF(H131, TODAY(), "Y")</f>
        <v>45</v>
      </c>
      <c r="J131" s="232">
        <f t="shared" ref="J131:J194" si="7">IFERROR(IF(OR(E131="", D131="", LOWER(TRIM(E131))="pending", LOWER(TRIM(D131))="pending"), "Pending", E131 - D131), "Pending")</f>
        <v>8</v>
      </c>
      <c r="K131" s="233" t="str">
        <f t="shared" ref="K131:K194" si="8">IFERROR(IF(OR(E131="", D131="","Pending","Pending"), "Pending", IF((E131 - D131) &lt;= 5, "On Time", "Delayed")), "Pending")</f>
        <v>Delayed</v>
      </c>
    </row>
    <row r="132" spans="1:11">
      <c r="A132" s="24" t="s">
        <v>730</v>
      </c>
      <c r="B132" s="24" t="s">
        <v>168</v>
      </c>
      <c r="C132" s="24" t="s">
        <v>72</v>
      </c>
      <c r="D132" s="30">
        <v>46139</v>
      </c>
      <c r="E132" s="30">
        <v>46142</v>
      </c>
      <c r="F132" s="24" t="s">
        <v>361</v>
      </c>
      <c r="G132" s="24" t="s">
        <v>28</v>
      </c>
      <c r="H132" s="30" t="s">
        <v>173</v>
      </c>
      <c r="I132" s="232">
        <f t="shared" ca="1" si="6"/>
        <v>24</v>
      </c>
      <c r="J132" s="232">
        <f t="shared" si="7"/>
        <v>3</v>
      </c>
      <c r="K132" s="233" t="str">
        <f t="shared" si="8"/>
        <v>On Time</v>
      </c>
    </row>
    <row r="133" spans="1:11">
      <c r="A133" s="24" t="s">
        <v>735</v>
      </c>
      <c r="B133" s="24" t="s">
        <v>100</v>
      </c>
      <c r="C133" s="24" t="s">
        <v>222</v>
      </c>
      <c r="D133" s="30">
        <v>46070</v>
      </c>
      <c r="E133" s="30">
        <v>46075</v>
      </c>
      <c r="F133" s="24" t="s">
        <v>103</v>
      </c>
      <c r="G133" s="24" t="s">
        <v>28</v>
      </c>
      <c r="H133" s="30" t="s">
        <v>104</v>
      </c>
      <c r="I133" s="232">
        <f t="shared" ca="1" si="6"/>
        <v>31</v>
      </c>
      <c r="J133" s="232">
        <f t="shared" si="7"/>
        <v>5</v>
      </c>
      <c r="K133" s="233" t="str">
        <f t="shared" si="8"/>
        <v>On Time</v>
      </c>
    </row>
    <row r="134" spans="1:11">
      <c r="A134" s="24" t="s">
        <v>739</v>
      </c>
      <c r="B134" s="24" t="s">
        <v>71</v>
      </c>
      <c r="C134" s="24" t="s">
        <v>40</v>
      </c>
      <c r="D134" s="30">
        <v>46116</v>
      </c>
      <c r="E134" s="30">
        <v>46122</v>
      </c>
      <c r="F134" s="24" t="s">
        <v>217</v>
      </c>
      <c r="G134" s="24" t="s">
        <v>76</v>
      </c>
      <c r="H134" s="30" t="s">
        <v>77</v>
      </c>
      <c r="I134" s="232">
        <f t="shared" ca="1" si="6"/>
        <v>50</v>
      </c>
      <c r="J134" s="232">
        <f t="shared" si="7"/>
        <v>6</v>
      </c>
      <c r="K134" s="233" t="str">
        <f t="shared" si="8"/>
        <v>Delayed</v>
      </c>
    </row>
    <row r="135" spans="1:11">
      <c r="A135" s="24" t="s">
        <v>743</v>
      </c>
      <c r="B135" s="24" t="s">
        <v>71</v>
      </c>
      <c r="C135" s="24" t="s">
        <v>24</v>
      </c>
      <c r="D135" s="30">
        <v>45756</v>
      </c>
      <c r="E135" s="30">
        <v>45765</v>
      </c>
      <c r="F135" s="24" t="s">
        <v>217</v>
      </c>
      <c r="G135" s="24" t="s">
        <v>76</v>
      </c>
      <c r="H135" s="30" t="s">
        <v>77</v>
      </c>
      <c r="I135" s="232">
        <f t="shared" ca="1" si="6"/>
        <v>50</v>
      </c>
      <c r="J135" s="232">
        <f t="shared" si="7"/>
        <v>9</v>
      </c>
      <c r="K135" s="233" t="str">
        <f t="shared" si="8"/>
        <v>Delayed</v>
      </c>
    </row>
    <row r="136" spans="1:11">
      <c r="A136" s="24" t="s">
        <v>746</v>
      </c>
      <c r="B136" s="24" t="s">
        <v>53</v>
      </c>
      <c r="C136" s="24" t="s">
        <v>92</v>
      </c>
      <c r="D136" s="30">
        <v>45823</v>
      </c>
      <c r="E136" s="30">
        <v>45835</v>
      </c>
      <c r="F136" s="24" t="s">
        <v>163</v>
      </c>
      <c r="G136" s="24" t="s">
        <v>28</v>
      </c>
      <c r="H136" s="30" t="s">
        <v>58</v>
      </c>
      <c r="I136" s="232">
        <f t="shared" ca="1" si="6"/>
        <v>31</v>
      </c>
      <c r="J136" s="232">
        <f t="shared" si="7"/>
        <v>12</v>
      </c>
      <c r="K136" s="233" t="str">
        <f t="shared" si="8"/>
        <v>Delayed</v>
      </c>
    </row>
    <row r="137" spans="1:11">
      <c r="A137" s="24" t="s">
        <v>749</v>
      </c>
      <c r="B137" s="24" t="s">
        <v>71</v>
      </c>
      <c r="C137" s="24" t="s">
        <v>169</v>
      </c>
      <c r="D137" s="30">
        <v>45816</v>
      </c>
      <c r="E137" s="30">
        <v>45818</v>
      </c>
      <c r="F137" s="24" t="s">
        <v>217</v>
      </c>
      <c r="G137" s="24" t="s">
        <v>76</v>
      </c>
      <c r="H137" s="30" t="s">
        <v>77</v>
      </c>
      <c r="I137" s="232">
        <f t="shared" ca="1" si="6"/>
        <v>50</v>
      </c>
      <c r="J137" s="232">
        <f t="shared" si="7"/>
        <v>2</v>
      </c>
      <c r="K137" s="233" t="str">
        <f t="shared" si="8"/>
        <v>On Time</v>
      </c>
    </row>
    <row r="138" spans="1:11">
      <c r="A138" s="24" t="s">
        <v>754</v>
      </c>
      <c r="B138" s="24" t="s">
        <v>23</v>
      </c>
      <c r="C138" s="24" t="s">
        <v>92</v>
      </c>
      <c r="D138" s="30">
        <v>45863</v>
      </c>
      <c r="E138" s="30">
        <v>45870</v>
      </c>
      <c r="F138" s="24" t="s">
        <v>27</v>
      </c>
      <c r="G138" s="24" t="s">
        <v>28</v>
      </c>
      <c r="H138" s="30" t="s">
        <v>29</v>
      </c>
      <c r="I138" s="232">
        <f t="shared" ca="1" si="6"/>
        <v>49</v>
      </c>
      <c r="J138" s="232">
        <f t="shared" si="7"/>
        <v>7</v>
      </c>
      <c r="K138" s="233" t="str">
        <f t="shared" si="8"/>
        <v>Delayed</v>
      </c>
    </row>
    <row r="139" spans="1:11">
      <c r="A139" s="24" t="s">
        <v>759</v>
      </c>
      <c r="B139" s="24" t="s">
        <v>327</v>
      </c>
      <c r="C139" s="24" t="s">
        <v>259</v>
      </c>
      <c r="D139" s="30">
        <v>45673</v>
      </c>
      <c r="E139" s="30">
        <v>45678</v>
      </c>
      <c r="F139" s="24" t="s">
        <v>394</v>
      </c>
      <c r="G139" s="24" t="s">
        <v>76</v>
      </c>
      <c r="H139" s="30" t="s">
        <v>331</v>
      </c>
      <c r="I139" s="232">
        <f t="shared" ca="1" si="6"/>
        <v>34</v>
      </c>
      <c r="J139" s="232">
        <f t="shared" si="7"/>
        <v>5</v>
      </c>
      <c r="K139" s="233" t="str">
        <f t="shared" si="8"/>
        <v>On Time</v>
      </c>
    </row>
    <row r="140" spans="1:11">
      <c r="A140" s="24" t="s">
        <v>764</v>
      </c>
      <c r="B140" s="24" t="s">
        <v>221</v>
      </c>
      <c r="C140" s="24" t="s">
        <v>259</v>
      </c>
      <c r="D140" s="30">
        <v>45692</v>
      </c>
      <c r="E140" s="30">
        <v>45693</v>
      </c>
      <c r="F140" s="24" t="s">
        <v>225</v>
      </c>
      <c r="G140" s="24" t="s">
        <v>76</v>
      </c>
      <c r="H140" s="30" t="s">
        <v>226</v>
      </c>
      <c r="I140" s="232">
        <f t="shared" ca="1" si="6"/>
        <v>34</v>
      </c>
      <c r="J140" s="232">
        <f t="shared" si="7"/>
        <v>1</v>
      </c>
      <c r="K140" s="233" t="str">
        <f t="shared" si="8"/>
        <v>On Time</v>
      </c>
    </row>
    <row r="141" spans="1:11">
      <c r="A141" s="24" t="s">
        <v>769</v>
      </c>
      <c r="B141" s="24" t="s">
        <v>83</v>
      </c>
      <c r="C141" s="24" t="s">
        <v>54</v>
      </c>
      <c r="D141" s="30">
        <v>45679</v>
      </c>
      <c r="E141" s="30">
        <v>45687</v>
      </c>
      <c r="F141" s="24" t="s">
        <v>180</v>
      </c>
      <c r="G141" s="24" t="s">
        <v>76</v>
      </c>
      <c r="H141" s="30" t="s">
        <v>87</v>
      </c>
      <c r="I141" s="232">
        <f t="shared" ca="1" si="6"/>
        <v>38</v>
      </c>
      <c r="J141" s="232">
        <f t="shared" si="7"/>
        <v>8</v>
      </c>
      <c r="K141" s="233" t="str">
        <f t="shared" si="8"/>
        <v>Delayed</v>
      </c>
    </row>
    <row r="142" spans="1:11">
      <c r="A142" s="24" t="s">
        <v>774</v>
      </c>
      <c r="B142" s="24" t="s">
        <v>53</v>
      </c>
      <c r="C142" s="24" t="s">
        <v>92</v>
      </c>
      <c r="D142" s="30">
        <v>45758</v>
      </c>
      <c r="E142" s="30">
        <v>45765</v>
      </c>
      <c r="F142" s="24" t="s">
        <v>163</v>
      </c>
      <c r="G142" s="24" t="s">
        <v>28</v>
      </c>
      <c r="H142" s="30" t="s">
        <v>58</v>
      </c>
      <c r="I142" s="232">
        <f t="shared" ca="1" si="6"/>
        <v>31</v>
      </c>
      <c r="J142" s="232">
        <f t="shared" si="7"/>
        <v>7</v>
      </c>
      <c r="K142" s="233" t="str">
        <f t="shared" si="8"/>
        <v>Delayed</v>
      </c>
    </row>
    <row r="143" spans="1:11">
      <c r="A143" s="24" t="s">
        <v>778</v>
      </c>
      <c r="B143" s="24" t="s">
        <v>83</v>
      </c>
      <c r="C143" s="24" t="s">
        <v>24</v>
      </c>
      <c r="D143" s="30">
        <v>45842</v>
      </c>
      <c r="E143" s="30">
        <v>45852</v>
      </c>
      <c r="F143" s="24" t="s">
        <v>180</v>
      </c>
      <c r="G143" s="24" t="s">
        <v>76</v>
      </c>
      <c r="H143" s="30" t="s">
        <v>87</v>
      </c>
      <c r="I143" s="232">
        <f t="shared" ca="1" si="6"/>
        <v>38</v>
      </c>
      <c r="J143" s="232">
        <f t="shared" si="7"/>
        <v>10</v>
      </c>
      <c r="K143" s="233" t="str">
        <f t="shared" si="8"/>
        <v>Delayed</v>
      </c>
    </row>
    <row r="144" spans="1:11">
      <c r="A144" s="24" t="s">
        <v>782</v>
      </c>
      <c r="B144" s="24" t="s">
        <v>83</v>
      </c>
      <c r="C144" s="24" t="s">
        <v>72</v>
      </c>
      <c r="D144" s="30">
        <v>45679</v>
      </c>
      <c r="E144" s="30">
        <v>45686</v>
      </c>
      <c r="F144" s="24" t="s">
        <v>180</v>
      </c>
      <c r="G144" s="24" t="s">
        <v>76</v>
      </c>
      <c r="H144" s="30" t="s">
        <v>87</v>
      </c>
      <c r="I144" s="232">
        <f t="shared" ca="1" si="6"/>
        <v>38</v>
      </c>
      <c r="J144" s="232">
        <f t="shared" si="7"/>
        <v>7</v>
      </c>
      <c r="K144" s="233" t="str">
        <f t="shared" si="8"/>
        <v>Delayed</v>
      </c>
    </row>
    <row r="145" spans="1:11">
      <c r="A145" s="24" t="s">
        <v>786</v>
      </c>
      <c r="B145" s="24" t="s">
        <v>221</v>
      </c>
      <c r="C145" s="24" t="s">
        <v>118</v>
      </c>
      <c r="D145" s="30">
        <v>46008</v>
      </c>
      <c r="E145" s="30">
        <v>46009</v>
      </c>
      <c r="F145" s="24" t="s">
        <v>225</v>
      </c>
      <c r="G145" s="24" t="s">
        <v>76</v>
      </c>
      <c r="H145" s="30" t="s">
        <v>226</v>
      </c>
      <c r="I145" s="232">
        <f t="shared" ca="1" si="6"/>
        <v>34</v>
      </c>
      <c r="J145" s="232">
        <f t="shared" si="7"/>
        <v>1</v>
      </c>
      <c r="K145" s="233" t="str">
        <f t="shared" si="8"/>
        <v>On Time</v>
      </c>
    </row>
    <row r="146" spans="1:11">
      <c r="A146" s="24" t="s">
        <v>791</v>
      </c>
      <c r="B146" s="24" t="s">
        <v>53</v>
      </c>
      <c r="C146" s="24" t="s">
        <v>24</v>
      </c>
      <c r="D146" s="30">
        <v>45940</v>
      </c>
      <c r="E146" s="30">
        <v>45951</v>
      </c>
      <c r="F146" s="24" t="s">
        <v>163</v>
      </c>
      <c r="G146" s="24" t="s">
        <v>28</v>
      </c>
      <c r="H146" s="30" t="s">
        <v>58</v>
      </c>
      <c r="I146" s="232">
        <f t="shared" ca="1" si="6"/>
        <v>31</v>
      </c>
      <c r="J146" s="232">
        <f t="shared" si="7"/>
        <v>11</v>
      </c>
      <c r="K146" s="233" t="str">
        <f t="shared" si="8"/>
        <v>Delayed</v>
      </c>
    </row>
    <row r="147" spans="1:11">
      <c r="A147" s="24" t="s">
        <v>796</v>
      </c>
      <c r="B147" s="24" t="s">
        <v>71</v>
      </c>
      <c r="C147" s="24" t="s">
        <v>118</v>
      </c>
      <c r="D147" s="30">
        <v>46088</v>
      </c>
      <c r="E147" s="30">
        <v>46091</v>
      </c>
      <c r="F147" s="24" t="s">
        <v>217</v>
      </c>
      <c r="G147" s="24" t="s">
        <v>76</v>
      </c>
      <c r="H147" s="30" t="s">
        <v>77</v>
      </c>
      <c r="I147" s="232">
        <f t="shared" ca="1" si="6"/>
        <v>50</v>
      </c>
      <c r="J147" s="232">
        <f t="shared" si="7"/>
        <v>3</v>
      </c>
      <c r="K147" s="233" t="str">
        <f t="shared" si="8"/>
        <v>On Time</v>
      </c>
    </row>
    <row r="148" spans="1:11">
      <c r="A148" s="24" t="s">
        <v>801</v>
      </c>
      <c r="B148" s="24" t="s">
        <v>127</v>
      </c>
      <c r="C148" s="24" t="s">
        <v>54</v>
      </c>
      <c r="D148" s="30">
        <v>45885</v>
      </c>
      <c r="E148" s="30">
        <v>45892</v>
      </c>
      <c r="F148" s="24" t="s">
        <v>200</v>
      </c>
      <c r="G148" s="24" t="s">
        <v>76</v>
      </c>
      <c r="H148" s="30" t="s">
        <v>131</v>
      </c>
      <c r="I148" s="232">
        <f t="shared" ca="1" si="6"/>
        <v>44</v>
      </c>
      <c r="J148" s="232">
        <f t="shared" si="7"/>
        <v>7</v>
      </c>
      <c r="K148" s="233" t="str">
        <f t="shared" si="8"/>
        <v>Delayed</v>
      </c>
    </row>
    <row r="149" spans="1:11">
      <c r="A149" s="24" t="s">
        <v>804</v>
      </c>
      <c r="B149" s="24" t="s">
        <v>251</v>
      </c>
      <c r="C149" s="24" t="s">
        <v>169</v>
      </c>
      <c r="D149" s="30">
        <v>46014</v>
      </c>
      <c r="E149" s="30">
        <v>46025</v>
      </c>
      <c r="F149" s="24" t="s">
        <v>254</v>
      </c>
      <c r="G149" s="24" t="s">
        <v>28</v>
      </c>
      <c r="H149" s="30" t="s">
        <v>255</v>
      </c>
      <c r="I149" s="232">
        <f t="shared" ca="1" si="6"/>
        <v>45</v>
      </c>
      <c r="J149" s="232">
        <f t="shared" si="7"/>
        <v>11</v>
      </c>
      <c r="K149" s="233" t="str">
        <f t="shared" si="8"/>
        <v>Delayed</v>
      </c>
    </row>
    <row r="150" spans="1:11">
      <c r="A150" s="24" t="s">
        <v>355</v>
      </c>
      <c r="B150" s="24" t="s">
        <v>100</v>
      </c>
      <c r="C150" s="24" t="s">
        <v>184</v>
      </c>
      <c r="D150" s="30">
        <v>45908</v>
      </c>
      <c r="E150" s="30">
        <v>45919</v>
      </c>
      <c r="F150" s="24" t="s">
        <v>103</v>
      </c>
      <c r="G150" s="24" t="s">
        <v>28</v>
      </c>
      <c r="H150" s="30" t="s">
        <v>104</v>
      </c>
      <c r="I150" s="232">
        <f t="shared" ca="1" si="6"/>
        <v>31</v>
      </c>
      <c r="J150" s="232">
        <f t="shared" si="7"/>
        <v>11</v>
      </c>
      <c r="K150" s="233" t="str">
        <f t="shared" si="8"/>
        <v>Delayed</v>
      </c>
    </row>
    <row r="151" spans="1:11">
      <c r="A151" s="24" t="s">
        <v>809</v>
      </c>
      <c r="B151" s="24" t="s">
        <v>127</v>
      </c>
      <c r="C151" s="24" t="s">
        <v>184</v>
      </c>
      <c r="D151" s="30">
        <v>45845</v>
      </c>
      <c r="E151" s="30">
        <v>45851</v>
      </c>
      <c r="F151" s="24" t="s">
        <v>200</v>
      </c>
      <c r="G151" s="24" t="s">
        <v>76</v>
      </c>
      <c r="H151" s="30" t="s">
        <v>131</v>
      </c>
      <c r="I151" s="232">
        <f t="shared" ca="1" si="6"/>
        <v>44</v>
      </c>
      <c r="J151" s="232">
        <f t="shared" si="7"/>
        <v>6</v>
      </c>
      <c r="K151" s="233" t="str">
        <f t="shared" si="8"/>
        <v>Delayed</v>
      </c>
    </row>
    <row r="152" spans="1:11">
      <c r="A152" s="24" t="s">
        <v>812</v>
      </c>
      <c r="B152" s="24" t="s">
        <v>53</v>
      </c>
      <c r="C152" s="24" t="s">
        <v>92</v>
      </c>
      <c r="D152" s="30">
        <v>46145</v>
      </c>
      <c r="E152" s="30">
        <v>46157</v>
      </c>
      <c r="F152" s="24" t="s">
        <v>163</v>
      </c>
      <c r="G152" s="24" t="s">
        <v>28</v>
      </c>
      <c r="H152" s="30" t="s">
        <v>58</v>
      </c>
      <c r="I152" s="232">
        <f t="shared" ca="1" si="6"/>
        <v>31</v>
      </c>
      <c r="J152" s="232">
        <f t="shared" si="7"/>
        <v>12</v>
      </c>
      <c r="K152" s="233" t="str">
        <f t="shared" si="8"/>
        <v>Delayed</v>
      </c>
    </row>
    <row r="153" spans="1:11">
      <c r="A153" s="24" t="s">
        <v>815</v>
      </c>
      <c r="B153" s="24" t="s">
        <v>23</v>
      </c>
      <c r="C153" s="24" t="s">
        <v>222</v>
      </c>
      <c r="D153" s="30">
        <v>45990</v>
      </c>
      <c r="E153" s="30">
        <v>45998</v>
      </c>
      <c r="F153" s="24" t="s">
        <v>27</v>
      </c>
      <c r="G153" s="24" t="s">
        <v>28</v>
      </c>
      <c r="H153" s="30" t="s">
        <v>29</v>
      </c>
      <c r="I153" s="232">
        <f t="shared" ca="1" si="6"/>
        <v>49</v>
      </c>
      <c r="J153" s="232">
        <f t="shared" si="7"/>
        <v>8</v>
      </c>
      <c r="K153" s="233" t="str">
        <f t="shared" si="8"/>
        <v>Delayed</v>
      </c>
    </row>
    <row r="154" spans="1:11">
      <c r="A154" s="24" t="s">
        <v>820</v>
      </c>
      <c r="B154" s="24" t="s">
        <v>100</v>
      </c>
      <c r="C154" s="24" t="s">
        <v>24</v>
      </c>
      <c r="D154" s="30">
        <v>45852</v>
      </c>
      <c r="E154" s="30">
        <v>45857</v>
      </c>
      <c r="F154" s="24" t="s">
        <v>103</v>
      </c>
      <c r="G154" s="24" t="s">
        <v>28</v>
      </c>
      <c r="H154" s="30" t="s">
        <v>104</v>
      </c>
      <c r="I154" s="232">
        <f t="shared" ca="1" si="6"/>
        <v>31</v>
      </c>
      <c r="J154" s="232">
        <f t="shared" si="7"/>
        <v>5</v>
      </c>
      <c r="K154" s="233" t="str">
        <f t="shared" si="8"/>
        <v>On Time</v>
      </c>
    </row>
    <row r="155" spans="1:11">
      <c r="A155" s="24" t="s">
        <v>824</v>
      </c>
      <c r="B155" s="24" t="s">
        <v>221</v>
      </c>
      <c r="C155" s="24" t="s">
        <v>40</v>
      </c>
      <c r="D155" s="30">
        <v>45729</v>
      </c>
      <c r="E155" s="30">
        <v>45739</v>
      </c>
      <c r="F155" s="24" t="s">
        <v>225</v>
      </c>
      <c r="G155" s="24" t="s">
        <v>76</v>
      </c>
      <c r="H155" s="30" t="s">
        <v>226</v>
      </c>
      <c r="I155" s="232">
        <f t="shared" ca="1" si="6"/>
        <v>34</v>
      </c>
      <c r="J155" s="232">
        <f t="shared" si="7"/>
        <v>10</v>
      </c>
      <c r="K155" s="233" t="str">
        <f t="shared" si="8"/>
        <v>Delayed</v>
      </c>
    </row>
    <row r="156" spans="1:11">
      <c r="A156" s="24" t="s">
        <v>828</v>
      </c>
      <c r="B156" s="24" t="s">
        <v>23</v>
      </c>
      <c r="C156" s="24" t="s">
        <v>118</v>
      </c>
      <c r="D156" s="30">
        <v>45860</v>
      </c>
      <c r="E156" s="30">
        <v>45861</v>
      </c>
      <c r="F156" s="24" t="s">
        <v>27</v>
      </c>
      <c r="G156" s="24" t="s">
        <v>28</v>
      </c>
      <c r="H156" s="30" t="s">
        <v>29</v>
      </c>
      <c r="I156" s="232">
        <f t="shared" ca="1" si="6"/>
        <v>49</v>
      </c>
      <c r="J156" s="232">
        <f t="shared" si="7"/>
        <v>1</v>
      </c>
      <c r="K156" s="233" t="str">
        <f t="shared" si="8"/>
        <v>On Time</v>
      </c>
    </row>
    <row r="157" spans="1:11">
      <c r="A157" s="24" t="s">
        <v>833</v>
      </c>
      <c r="B157" s="24" t="s">
        <v>53</v>
      </c>
      <c r="C157" s="24" t="s">
        <v>72</v>
      </c>
      <c r="D157" s="30">
        <v>45859</v>
      </c>
      <c r="E157" s="30">
        <v>45862</v>
      </c>
      <c r="F157" s="24" t="s">
        <v>163</v>
      </c>
      <c r="G157" s="24" t="s">
        <v>28</v>
      </c>
      <c r="H157" s="30" t="s">
        <v>58</v>
      </c>
      <c r="I157" s="232">
        <f t="shared" ca="1" si="6"/>
        <v>31</v>
      </c>
      <c r="J157" s="232">
        <f t="shared" si="7"/>
        <v>3</v>
      </c>
      <c r="K157" s="233" t="str">
        <f t="shared" si="8"/>
        <v>On Time</v>
      </c>
    </row>
    <row r="158" spans="1:11">
      <c r="A158" s="24" t="s">
        <v>838</v>
      </c>
      <c r="B158" s="24" t="s">
        <v>221</v>
      </c>
      <c r="C158" s="24" t="s">
        <v>72</v>
      </c>
      <c r="D158" s="30">
        <v>45857</v>
      </c>
      <c r="E158" s="30">
        <v>45867</v>
      </c>
      <c r="F158" s="24" t="s">
        <v>225</v>
      </c>
      <c r="G158" s="24" t="s">
        <v>76</v>
      </c>
      <c r="H158" s="30" t="s">
        <v>226</v>
      </c>
      <c r="I158" s="232">
        <f t="shared" ca="1" si="6"/>
        <v>34</v>
      </c>
      <c r="J158" s="232">
        <f t="shared" si="7"/>
        <v>10</v>
      </c>
      <c r="K158" s="233" t="str">
        <f t="shared" si="8"/>
        <v>Delayed</v>
      </c>
    </row>
    <row r="159" spans="1:11">
      <c r="A159" s="24" t="s">
        <v>842</v>
      </c>
      <c r="B159" s="24" t="s">
        <v>327</v>
      </c>
      <c r="C159" s="24" t="s">
        <v>118</v>
      </c>
      <c r="D159" s="30">
        <v>45757</v>
      </c>
      <c r="E159" s="30">
        <v>45759</v>
      </c>
      <c r="F159" s="24" t="s">
        <v>394</v>
      </c>
      <c r="G159" s="24" t="s">
        <v>76</v>
      </c>
      <c r="H159" s="30" t="s">
        <v>331</v>
      </c>
      <c r="I159" s="232">
        <f t="shared" ca="1" si="6"/>
        <v>34</v>
      </c>
      <c r="J159" s="232">
        <f t="shared" si="7"/>
        <v>2</v>
      </c>
      <c r="K159" s="233" t="str">
        <f t="shared" si="8"/>
        <v>On Time</v>
      </c>
    </row>
    <row r="160" spans="1:11">
      <c r="A160" s="24" t="s">
        <v>845</v>
      </c>
      <c r="B160" s="24" t="s">
        <v>71</v>
      </c>
      <c r="C160" s="24" t="s">
        <v>92</v>
      </c>
      <c r="D160" s="30">
        <v>46155</v>
      </c>
      <c r="E160" s="30">
        <v>46165</v>
      </c>
      <c r="F160" s="24" t="s">
        <v>217</v>
      </c>
      <c r="G160" s="24" t="s">
        <v>76</v>
      </c>
      <c r="H160" s="30" t="s">
        <v>77</v>
      </c>
      <c r="I160" s="232">
        <f t="shared" ca="1" si="6"/>
        <v>50</v>
      </c>
      <c r="J160" s="232">
        <f t="shared" si="7"/>
        <v>10</v>
      </c>
      <c r="K160" s="233" t="str">
        <f t="shared" si="8"/>
        <v>Delayed</v>
      </c>
    </row>
    <row r="161" spans="1:11">
      <c r="A161" s="24" t="s">
        <v>849</v>
      </c>
      <c r="B161" s="24" t="s">
        <v>221</v>
      </c>
      <c r="C161" s="24" t="s">
        <v>54</v>
      </c>
      <c r="D161" s="30">
        <v>46094</v>
      </c>
      <c r="E161" s="30">
        <v>46097</v>
      </c>
      <c r="F161" s="24" t="s">
        <v>225</v>
      </c>
      <c r="G161" s="24" t="s">
        <v>76</v>
      </c>
      <c r="H161" s="30" t="s">
        <v>226</v>
      </c>
      <c r="I161" s="232">
        <f t="shared" ca="1" si="6"/>
        <v>34</v>
      </c>
      <c r="J161" s="232">
        <f t="shared" si="7"/>
        <v>3</v>
      </c>
      <c r="K161" s="233" t="str">
        <f t="shared" si="8"/>
        <v>On Time</v>
      </c>
    </row>
    <row r="162" spans="1:11">
      <c r="A162" s="24" t="s">
        <v>852</v>
      </c>
      <c r="B162" s="24" t="s">
        <v>327</v>
      </c>
      <c r="C162" s="24" t="s">
        <v>184</v>
      </c>
      <c r="D162" s="30">
        <v>45835</v>
      </c>
      <c r="E162" s="30">
        <v>45839</v>
      </c>
      <c r="F162" s="24" t="s">
        <v>394</v>
      </c>
      <c r="G162" s="24" t="s">
        <v>76</v>
      </c>
      <c r="H162" s="30" t="s">
        <v>331</v>
      </c>
      <c r="I162" s="232">
        <f t="shared" ca="1" si="6"/>
        <v>34</v>
      </c>
      <c r="J162" s="232">
        <f t="shared" si="7"/>
        <v>4</v>
      </c>
      <c r="K162" s="233" t="str">
        <f t="shared" si="8"/>
        <v>On Time</v>
      </c>
    </row>
    <row r="163" spans="1:11">
      <c r="A163" s="24" t="s">
        <v>856</v>
      </c>
      <c r="B163" s="24" t="s">
        <v>168</v>
      </c>
      <c r="C163" s="24" t="s">
        <v>72</v>
      </c>
      <c r="D163" s="30">
        <v>45980</v>
      </c>
      <c r="E163" s="30">
        <v>45990</v>
      </c>
      <c r="F163" s="24" t="s">
        <v>361</v>
      </c>
      <c r="G163" s="24" t="s">
        <v>28</v>
      </c>
      <c r="H163" s="30" t="s">
        <v>173</v>
      </c>
      <c r="I163" s="232">
        <f t="shared" ca="1" si="6"/>
        <v>24</v>
      </c>
      <c r="J163" s="232">
        <f t="shared" si="7"/>
        <v>10</v>
      </c>
      <c r="K163" s="233" t="str">
        <f t="shared" si="8"/>
        <v>Delayed</v>
      </c>
    </row>
    <row r="164" spans="1:11">
      <c r="A164" s="24" t="s">
        <v>859</v>
      </c>
      <c r="B164" s="24" t="s">
        <v>168</v>
      </c>
      <c r="C164" s="24" t="s">
        <v>72</v>
      </c>
      <c r="D164" s="30">
        <v>45915</v>
      </c>
      <c r="E164" s="30">
        <v>45917</v>
      </c>
      <c r="F164" s="24" t="s">
        <v>361</v>
      </c>
      <c r="G164" s="24" t="s">
        <v>28</v>
      </c>
      <c r="H164" s="30" t="s">
        <v>173</v>
      </c>
      <c r="I164" s="232">
        <f t="shared" ca="1" si="6"/>
        <v>24</v>
      </c>
      <c r="J164" s="232">
        <f t="shared" si="7"/>
        <v>2</v>
      </c>
      <c r="K164" s="233" t="str">
        <f t="shared" si="8"/>
        <v>On Time</v>
      </c>
    </row>
    <row r="165" spans="1:11">
      <c r="A165" s="24" t="s">
        <v>863</v>
      </c>
      <c r="B165" s="24" t="s">
        <v>327</v>
      </c>
      <c r="C165" s="24" t="s">
        <v>118</v>
      </c>
      <c r="D165" s="30">
        <v>45965</v>
      </c>
      <c r="E165" s="30">
        <v>45974</v>
      </c>
      <c r="F165" s="24" t="s">
        <v>394</v>
      </c>
      <c r="G165" s="24" t="s">
        <v>76</v>
      </c>
      <c r="H165" s="30" t="s">
        <v>331</v>
      </c>
      <c r="I165" s="232">
        <f t="shared" ca="1" si="6"/>
        <v>34</v>
      </c>
      <c r="J165" s="232">
        <f t="shared" si="7"/>
        <v>9</v>
      </c>
      <c r="K165" s="233" t="str">
        <f t="shared" si="8"/>
        <v>Delayed</v>
      </c>
    </row>
    <row r="166" spans="1:11">
      <c r="A166" s="24" t="s">
        <v>868</v>
      </c>
      <c r="B166" s="24" t="s">
        <v>168</v>
      </c>
      <c r="C166" s="24" t="s">
        <v>24</v>
      </c>
      <c r="D166" s="30">
        <v>45660</v>
      </c>
      <c r="E166" s="30">
        <v>45664</v>
      </c>
      <c r="F166" s="24" t="s">
        <v>361</v>
      </c>
      <c r="G166" s="24" t="s">
        <v>28</v>
      </c>
      <c r="H166" s="30" t="s">
        <v>173</v>
      </c>
      <c r="I166" s="232">
        <f t="shared" ca="1" si="6"/>
        <v>24</v>
      </c>
      <c r="J166" s="232">
        <f t="shared" si="7"/>
        <v>4</v>
      </c>
      <c r="K166" s="233" t="str">
        <f t="shared" si="8"/>
        <v>On Time</v>
      </c>
    </row>
    <row r="167" spans="1:11">
      <c r="A167" s="24" t="s">
        <v>871</v>
      </c>
      <c r="B167" s="24" t="s">
        <v>168</v>
      </c>
      <c r="C167" s="24" t="s">
        <v>92</v>
      </c>
      <c r="D167" s="30">
        <v>45827</v>
      </c>
      <c r="E167" s="30">
        <v>45835</v>
      </c>
      <c r="F167" s="24" t="s">
        <v>361</v>
      </c>
      <c r="G167" s="24" t="s">
        <v>28</v>
      </c>
      <c r="H167" s="30" t="s">
        <v>173</v>
      </c>
      <c r="I167" s="232">
        <f t="shared" ca="1" si="6"/>
        <v>24</v>
      </c>
      <c r="J167" s="232">
        <f t="shared" si="7"/>
        <v>8</v>
      </c>
      <c r="K167" s="233" t="str">
        <f t="shared" si="8"/>
        <v>Delayed</v>
      </c>
    </row>
    <row r="168" spans="1:11">
      <c r="A168" s="24" t="s">
        <v>875</v>
      </c>
      <c r="B168" s="24" t="s">
        <v>127</v>
      </c>
      <c r="C168" s="24" t="s">
        <v>92</v>
      </c>
      <c r="D168" s="30">
        <v>45742</v>
      </c>
      <c r="E168" s="30">
        <v>45753</v>
      </c>
      <c r="F168" s="24" t="s">
        <v>200</v>
      </c>
      <c r="G168" s="24" t="s">
        <v>76</v>
      </c>
      <c r="H168" s="30" t="s">
        <v>131</v>
      </c>
      <c r="I168" s="232">
        <f t="shared" ca="1" si="6"/>
        <v>44</v>
      </c>
      <c r="J168" s="232">
        <f t="shared" si="7"/>
        <v>11</v>
      </c>
      <c r="K168" s="233" t="str">
        <f t="shared" si="8"/>
        <v>Delayed</v>
      </c>
    </row>
    <row r="169" spans="1:11">
      <c r="A169" s="24" t="s">
        <v>880</v>
      </c>
      <c r="B169" s="24" t="s">
        <v>327</v>
      </c>
      <c r="C169" s="24" t="s">
        <v>54</v>
      </c>
      <c r="D169" s="30">
        <v>45844</v>
      </c>
      <c r="E169" s="30">
        <v>45848</v>
      </c>
      <c r="F169" s="24" t="s">
        <v>394</v>
      </c>
      <c r="G169" s="24" t="s">
        <v>76</v>
      </c>
      <c r="H169" s="30" t="s">
        <v>331</v>
      </c>
      <c r="I169" s="232">
        <f t="shared" ca="1" si="6"/>
        <v>34</v>
      </c>
      <c r="J169" s="232">
        <f t="shared" si="7"/>
        <v>4</v>
      </c>
      <c r="K169" s="233" t="str">
        <f t="shared" si="8"/>
        <v>On Time</v>
      </c>
    </row>
    <row r="170" spans="1:11">
      <c r="A170" s="24" t="s">
        <v>884</v>
      </c>
      <c r="B170" s="24" t="s">
        <v>53</v>
      </c>
      <c r="C170" s="24" t="s">
        <v>72</v>
      </c>
      <c r="D170" s="30">
        <v>46040</v>
      </c>
      <c r="E170" s="30">
        <v>46048</v>
      </c>
      <c r="F170" s="24" t="s">
        <v>163</v>
      </c>
      <c r="G170" s="24" t="s">
        <v>28</v>
      </c>
      <c r="H170" s="30" t="s">
        <v>58</v>
      </c>
      <c r="I170" s="232">
        <f t="shared" ca="1" si="6"/>
        <v>31</v>
      </c>
      <c r="J170" s="232">
        <f t="shared" si="7"/>
        <v>8</v>
      </c>
      <c r="K170" s="233" t="str">
        <f t="shared" si="8"/>
        <v>Delayed</v>
      </c>
    </row>
    <row r="171" spans="1:11">
      <c r="A171" s="24" t="s">
        <v>887</v>
      </c>
      <c r="B171" s="24" t="s">
        <v>251</v>
      </c>
      <c r="C171" s="24" t="s">
        <v>169</v>
      </c>
      <c r="D171" s="30">
        <v>45919</v>
      </c>
      <c r="E171" s="30">
        <v>45920</v>
      </c>
      <c r="F171" s="24" t="s">
        <v>254</v>
      </c>
      <c r="G171" s="24" t="s">
        <v>28</v>
      </c>
      <c r="H171" s="30" t="s">
        <v>255</v>
      </c>
      <c r="I171" s="232">
        <f t="shared" ca="1" si="6"/>
        <v>45</v>
      </c>
      <c r="J171" s="232">
        <f t="shared" si="7"/>
        <v>1</v>
      </c>
      <c r="K171" s="233" t="str">
        <f t="shared" si="8"/>
        <v>On Time</v>
      </c>
    </row>
    <row r="172" spans="1:11">
      <c r="A172" s="24" t="s">
        <v>890</v>
      </c>
      <c r="B172" s="24" t="s">
        <v>127</v>
      </c>
      <c r="C172" s="24" t="s">
        <v>54</v>
      </c>
      <c r="D172" s="30">
        <v>46113</v>
      </c>
      <c r="E172" s="30">
        <v>46119</v>
      </c>
      <c r="F172" s="24" t="s">
        <v>200</v>
      </c>
      <c r="G172" s="24" t="s">
        <v>76</v>
      </c>
      <c r="H172" s="30" t="s">
        <v>131</v>
      </c>
      <c r="I172" s="232">
        <f t="shared" ca="1" si="6"/>
        <v>44</v>
      </c>
      <c r="J172" s="232">
        <f t="shared" si="7"/>
        <v>6</v>
      </c>
      <c r="K172" s="233" t="str">
        <f t="shared" si="8"/>
        <v>Delayed</v>
      </c>
    </row>
    <row r="173" spans="1:11">
      <c r="A173" s="24" t="s">
        <v>895</v>
      </c>
      <c r="B173" s="24" t="s">
        <v>221</v>
      </c>
      <c r="C173" s="24" t="s">
        <v>72</v>
      </c>
      <c r="D173" s="30">
        <v>45958</v>
      </c>
      <c r="E173" s="30">
        <v>45959</v>
      </c>
      <c r="F173" s="24" t="s">
        <v>225</v>
      </c>
      <c r="G173" s="24" t="s">
        <v>76</v>
      </c>
      <c r="H173" s="30" t="s">
        <v>226</v>
      </c>
      <c r="I173" s="232">
        <f t="shared" ca="1" si="6"/>
        <v>34</v>
      </c>
      <c r="J173" s="232">
        <f t="shared" si="7"/>
        <v>1</v>
      </c>
      <c r="K173" s="233" t="str">
        <f t="shared" si="8"/>
        <v>On Time</v>
      </c>
    </row>
    <row r="174" spans="1:11">
      <c r="A174" s="24" t="s">
        <v>899</v>
      </c>
      <c r="B174" s="24" t="s">
        <v>23</v>
      </c>
      <c r="C174" s="24" t="s">
        <v>92</v>
      </c>
      <c r="D174" s="30">
        <v>45694</v>
      </c>
      <c r="E174" s="30">
        <v>45705</v>
      </c>
      <c r="F174" s="24" t="s">
        <v>27</v>
      </c>
      <c r="G174" s="24" t="s">
        <v>28</v>
      </c>
      <c r="H174" s="30" t="s">
        <v>29</v>
      </c>
      <c r="I174" s="232">
        <f t="shared" ca="1" si="6"/>
        <v>49</v>
      </c>
      <c r="J174" s="232">
        <f t="shared" si="7"/>
        <v>11</v>
      </c>
      <c r="K174" s="233" t="str">
        <f t="shared" si="8"/>
        <v>Delayed</v>
      </c>
    </row>
    <row r="175" spans="1:11">
      <c r="A175" s="24" t="s">
        <v>904</v>
      </c>
      <c r="B175" s="24" t="s">
        <v>221</v>
      </c>
      <c r="C175" s="24" t="s">
        <v>259</v>
      </c>
      <c r="D175" s="30">
        <v>45774</v>
      </c>
      <c r="E175" s="30">
        <v>45776</v>
      </c>
      <c r="F175" s="24" t="s">
        <v>225</v>
      </c>
      <c r="G175" s="24" t="s">
        <v>76</v>
      </c>
      <c r="H175" s="30" t="s">
        <v>226</v>
      </c>
      <c r="I175" s="232">
        <f t="shared" ca="1" si="6"/>
        <v>34</v>
      </c>
      <c r="J175" s="232">
        <f t="shared" si="7"/>
        <v>2</v>
      </c>
      <c r="K175" s="233" t="str">
        <f t="shared" si="8"/>
        <v>On Time</v>
      </c>
    </row>
    <row r="176" spans="1:11">
      <c r="A176" s="24" t="s">
        <v>909</v>
      </c>
      <c r="B176" s="24" t="s">
        <v>251</v>
      </c>
      <c r="C176" s="24" t="s">
        <v>259</v>
      </c>
      <c r="D176" s="30">
        <v>45730</v>
      </c>
      <c r="E176" s="30">
        <v>45741</v>
      </c>
      <c r="F176" s="24" t="s">
        <v>254</v>
      </c>
      <c r="G176" s="24" t="s">
        <v>28</v>
      </c>
      <c r="H176" s="30" t="s">
        <v>255</v>
      </c>
      <c r="I176" s="232">
        <f t="shared" ca="1" si="6"/>
        <v>45</v>
      </c>
      <c r="J176" s="232">
        <f t="shared" si="7"/>
        <v>11</v>
      </c>
      <c r="K176" s="233" t="str">
        <f t="shared" si="8"/>
        <v>Delayed</v>
      </c>
    </row>
    <row r="177" spans="1:11">
      <c r="A177" s="24" t="s">
        <v>913</v>
      </c>
      <c r="B177" s="24" t="s">
        <v>23</v>
      </c>
      <c r="C177" s="24" t="s">
        <v>222</v>
      </c>
      <c r="D177" s="30">
        <v>45842</v>
      </c>
      <c r="E177" s="30">
        <v>45854</v>
      </c>
      <c r="F177" s="24" t="s">
        <v>27</v>
      </c>
      <c r="G177" s="24" t="s">
        <v>28</v>
      </c>
      <c r="H177" s="30" t="s">
        <v>29</v>
      </c>
      <c r="I177" s="232">
        <f t="shared" ca="1" si="6"/>
        <v>49</v>
      </c>
      <c r="J177" s="232">
        <f t="shared" si="7"/>
        <v>12</v>
      </c>
      <c r="K177" s="233" t="str">
        <f t="shared" si="8"/>
        <v>Delayed</v>
      </c>
    </row>
    <row r="178" spans="1:11">
      <c r="A178" s="24" t="s">
        <v>917</v>
      </c>
      <c r="B178" s="24" t="s">
        <v>251</v>
      </c>
      <c r="C178" s="24" t="s">
        <v>222</v>
      </c>
      <c r="D178" s="30">
        <v>45993</v>
      </c>
      <c r="E178" s="30">
        <v>45994</v>
      </c>
      <c r="F178" s="24" t="s">
        <v>254</v>
      </c>
      <c r="G178" s="24" t="s">
        <v>28</v>
      </c>
      <c r="H178" s="30" t="s">
        <v>255</v>
      </c>
      <c r="I178" s="232">
        <f t="shared" ca="1" si="6"/>
        <v>45</v>
      </c>
      <c r="J178" s="232">
        <f t="shared" si="7"/>
        <v>1</v>
      </c>
      <c r="K178" s="233" t="str">
        <f t="shared" si="8"/>
        <v>On Time</v>
      </c>
    </row>
    <row r="179" spans="1:11">
      <c r="A179" s="24" t="s">
        <v>922</v>
      </c>
      <c r="B179" s="24" t="s">
        <v>168</v>
      </c>
      <c r="C179" s="24" t="s">
        <v>118</v>
      </c>
      <c r="D179" s="30">
        <v>46067</v>
      </c>
      <c r="E179" s="30">
        <v>46074</v>
      </c>
      <c r="F179" s="24" t="s">
        <v>361</v>
      </c>
      <c r="G179" s="24" t="s">
        <v>28</v>
      </c>
      <c r="H179" s="30" t="s">
        <v>173</v>
      </c>
      <c r="I179" s="232">
        <f t="shared" ca="1" si="6"/>
        <v>24</v>
      </c>
      <c r="J179" s="232">
        <f t="shared" si="7"/>
        <v>7</v>
      </c>
      <c r="K179" s="233" t="str">
        <f t="shared" si="8"/>
        <v>Delayed</v>
      </c>
    </row>
    <row r="180" spans="1:11">
      <c r="A180" s="24" t="s">
        <v>926</v>
      </c>
      <c r="B180" s="24" t="s">
        <v>221</v>
      </c>
      <c r="C180" s="24" t="s">
        <v>259</v>
      </c>
      <c r="D180" s="30">
        <v>45970</v>
      </c>
      <c r="E180" s="30">
        <v>45974</v>
      </c>
      <c r="F180" s="24" t="s">
        <v>225</v>
      </c>
      <c r="G180" s="24" t="s">
        <v>76</v>
      </c>
      <c r="H180" s="30" t="s">
        <v>226</v>
      </c>
      <c r="I180" s="232">
        <f t="shared" ca="1" si="6"/>
        <v>34</v>
      </c>
      <c r="J180" s="232">
        <f t="shared" si="7"/>
        <v>4</v>
      </c>
      <c r="K180" s="233" t="str">
        <f t="shared" si="8"/>
        <v>On Time</v>
      </c>
    </row>
    <row r="181" spans="1:11">
      <c r="A181" s="24" t="s">
        <v>931</v>
      </c>
      <c r="B181" s="24" t="s">
        <v>23</v>
      </c>
      <c r="C181" s="24" t="s">
        <v>184</v>
      </c>
      <c r="D181" s="30">
        <v>45695</v>
      </c>
      <c r="E181" s="30">
        <v>45707</v>
      </c>
      <c r="F181" s="24" t="s">
        <v>27</v>
      </c>
      <c r="G181" s="24" t="s">
        <v>28</v>
      </c>
      <c r="H181" s="30" t="s">
        <v>29</v>
      </c>
      <c r="I181" s="232">
        <f t="shared" ca="1" si="6"/>
        <v>49</v>
      </c>
      <c r="J181" s="232">
        <f t="shared" si="7"/>
        <v>12</v>
      </c>
      <c r="K181" s="233" t="str">
        <f t="shared" si="8"/>
        <v>Delayed</v>
      </c>
    </row>
    <row r="182" spans="1:11">
      <c r="A182" s="24" t="s">
        <v>935</v>
      </c>
      <c r="B182" s="24" t="s">
        <v>100</v>
      </c>
      <c r="C182" s="24" t="s">
        <v>169</v>
      </c>
      <c r="D182" s="30">
        <v>45803</v>
      </c>
      <c r="E182" s="30">
        <v>45807</v>
      </c>
      <c r="F182" s="24" t="s">
        <v>103</v>
      </c>
      <c r="G182" s="24" t="s">
        <v>28</v>
      </c>
      <c r="H182" s="30" t="s">
        <v>104</v>
      </c>
      <c r="I182" s="232">
        <f t="shared" ca="1" si="6"/>
        <v>31</v>
      </c>
      <c r="J182" s="232">
        <f t="shared" si="7"/>
        <v>4</v>
      </c>
      <c r="K182" s="233" t="str">
        <f t="shared" si="8"/>
        <v>On Time</v>
      </c>
    </row>
    <row r="183" spans="1:11">
      <c r="A183" s="24" t="s">
        <v>939</v>
      </c>
      <c r="B183" s="24" t="s">
        <v>251</v>
      </c>
      <c r="C183" s="24" t="s">
        <v>118</v>
      </c>
      <c r="D183" s="30">
        <v>45934</v>
      </c>
      <c r="E183" s="30">
        <v>45936</v>
      </c>
      <c r="F183" s="24" t="s">
        <v>254</v>
      </c>
      <c r="G183" s="24" t="s">
        <v>28</v>
      </c>
      <c r="H183" s="30" t="s">
        <v>255</v>
      </c>
      <c r="I183" s="232">
        <f t="shared" ca="1" si="6"/>
        <v>45</v>
      </c>
      <c r="J183" s="232">
        <f t="shared" si="7"/>
        <v>2</v>
      </c>
      <c r="K183" s="233" t="str">
        <f t="shared" si="8"/>
        <v>On Time</v>
      </c>
    </row>
    <row r="184" spans="1:11">
      <c r="A184" s="24" t="s">
        <v>943</v>
      </c>
      <c r="B184" s="24" t="s">
        <v>100</v>
      </c>
      <c r="C184" s="24" t="s">
        <v>259</v>
      </c>
      <c r="D184" s="30">
        <v>45792</v>
      </c>
      <c r="E184" s="30">
        <v>45803</v>
      </c>
      <c r="F184" s="24" t="s">
        <v>103</v>
      </c>
      <c r="G184" s="24" t="s">
        <v>28</v>
      </c>
      <c r="H184" s="30" t="s">
        <v>104</v>
      </c>
      <c r="I184" s="232">
        <f t="shared" ca="1" si="6"/>
        <v>31</v>
      </c>
      <c r="J184" s="232">
        <f t="shared" si="7"/>
        <v>11</v>
      </c>
      <c r="K184" s="233" t="str">
        <f t="shared" si="8"/>
        <v>Delayed</v>
      </c>
    </row>
    <row r="185" spans="1:11">
      <c r="A185" s="24" t="s">
        <v>947</v>
      </c>
      <c r="B185" s="24" t="s">
        <v>71</v>
      </c>
      <c r="C185" s="24" t="s">
        <v>24</v>
      </c>
      <c r="D185" s="30">
        <v>45822</v>
      </c>
      <c r="E185" s="30">
        <v>45831</v>
      </c>
      <c r="F185" s="24" t="s">
        <v>217</v>
      </c>
      <c r="G185" s="24" t="s">
        <v>76</v>
      </c>
      <c r="H185" s="30" t="s">
        <v>77</v>
      </c>
      <c r="I185" s="232">
        <f t="shared" ca="1" si="6"/>
        <v>50</v>
      </c>
      <c r="J185" s="232">
        <f t="shared" si="7"/>
        <v>9</v>
      </c>
      <c r="K185" s="233" t="str">
        <f t="shared" si="8"/>
        <v>Delayed</v>
      </c>
    </row>
    <row r="186" spans="1:11">
      <c r="A186" s="24" t="s">
        <v>952</v>
      </c>
      <c r="B186" s="24" t="s">
        <v>100</v>
      </c>
      <c r="C186" s="24" t="s">
        <v>169</v>
      </c>
      <c r="D186" s="30">
        <v>45769</v>
      </c>
      <c r="E186" s="30">
        <v>45781</v>
      </c>
      <c r="F186" s="24" t="s">
        <v>103</v>
      </c>
      <c r="G186" s="24" t="s">
        <v>28</v>
      </c>
      <c r="H186" s="30" t="s">
        <v>104</v>
      </c>
      <c r="I186" s="232">
        <f t="shared" ca="1" si="6"/>
        <v>31</v>
      </c>
      <c r="J186" s="232">
        <f t="shared" si="7"/>
        <v>12</v>
      </c>
      <c r="K186" s="233" t="str">
        <f t="shared" si="8"/>
        <v>Delayed</v>
      </c>
    </row>
    <row r="187" spans="1:11">
      <c r="A187" s="24" t="s">
        <v>956</v>
      </c>
      <c r="B187" s="24" t="s">
        <v>251</v>
      </c>
      <c r="C187" s="24" t="s">
        <v>24</v>
      </c>
      <c r="D187" s="30">
        <v>45679</v>
      </c>
      <c r="E187" s="30">
        <v>45681</v>
      </c>
      <c r="F187" s="24" t="s">
        <v>254</v>
      </c>
      <c r="G187" s="24" t="s">
        <v>28</v>
      </c>
      <c r="H187" s="30" t="s">
        <v>255</v>
      </c>
      <c r="I187" s="232">
        <f t="shared" ca="1" si="6"/>
        <v>45</v>
      </c>
      <c r="J187" s="232">
        <f t="shared" si="7"/>
        <v>2</v>
      </c>
      <c r="K187" s="233" t="str">
        <f t="shared" si="8"/>
        <v>On Time</v>
      </c>
    </row>
    <row r="188" spans="1:11">
      <c r="A188" s="24" t="s">
        <v>960</v>
      </c>
      <c r="B188" s="24" t="s">
        <v>127</v>
      </c>
      <c r="C188" s="24" t="s">
        <v>118</v>
      </c>
      <c r="D188" s="30">
        <v>46007</v>
      </c>
      <c r="E188" s="30">
        <v>46017</v>
      </c>
      <c r="F188" s="24" t="s">
        <v>200</v>
      </c>
      <c r="G188" s="24" t="s">
        <v>76</v>
      </c>
      <c r="H188" s="30" t="s">
        <v>131</v>
      </c>
      <c r="I188" s="232">
        <f t="shared" ca="1" si="6"/>
        <v>44</v>
      </c>
      <c r="J188" s="232">
        <f t="shared" si="7"/>
        <v>10</v>
      </c>
      <c r="K188" s="233" t="str">
        <f t="shared" si="8"/>
        <v>Delayed</v>
      </c>
    </row>
    <row r="189" spans="1:11">
      <c r="A189" s="24" t="s">
        <v>964</v>
      </c>
      <c r="B189" s="24" t="s">
        <v>221</v>
      </c>
      <c r="C189" s="24" t="s">
        <v>92</v>
      </c>
      <c r="D189" s="30">
        <v>45832</v>
      </c>
      <c r="E189" s="30">
        <v>45836</v>
      </c>
      <c r="F189" s="24" t="s">
        <v>225</v>
      </c>
      <c r="G189" s="24" t="s">
        <v>76</v>
      </c>
      <c r="H189" s="30" t="s">
        <v>226</v>
      </c>
      <c r="I189" s="232">
        <f t="shared" ca="1" si="6"/>
        <v>34</v>
      </c>
      <c r="J189" s="232">
        <f t="shared" si="7"/>
        <v>4</v>
      </c>
      <c r="K189" s="233" t="str">
        <f t="shared" si="8"/>
        <v>On Time</v>
      </c>
    </row>
    <row r="190" spans="1:11">
      <c r="A190" s="24" t="s">
        <v>968</v>
      </c>
      <c r="B190" s="24" t="s">
        <v>327</v>
      </c>
      <c r="C190" s="24" t="s">
        <v>40</v>
      </c>
      <c r="D190" s="30">
        <v>46154</v>
      </c>
      <c r="E190" s="30">
        <v>46164</v>
      </c>
      <c r="F190" s="24" t="s">
        <v>394</v>
      </c>
      <c r="G190" s="24" t="s">
        <v>76</v>
      </c>
      <c r="H190" s="30" t="s">
        <v>331</v>
      </c>
      <c r="I190" s="232">
        <f t="shared" ca="1" si="6"/>
        <v>34</v>
      </c>
      <c r="J190" s="232">
        <f t="shared" si="7"/>
        <v>10</v>
      </c>
      <c r="K190" s="233" t="str">
        <f t="shared" si="8"/>
        <v>Delayed</v>
      </c>
    </row>
    <row r="191" spans="1:11">
      <c r="A191" s="24" t="s">
        <v>973</v>
      </c>
      <c r="B191" s="24" t="s">
        <v>327</v>
      </c>
      <c r="C191" s="24" t="s">
        <v>222</v>
      </c>
      <c r="D191" s="30">
        <v>46067</v>
      </c>
      <c r="E191" s="30">
        <v>46069</v>
      </c>
      <c r="F191" s="24" t="s">
        <v>394</v>
      </c>
      <c r="G191" s="24" t="s">
        <v>76</v>
      </c>
      <c r="H191" s="30" t="s">
        <v>331</v>
      </c>
      <c r="I191" s="232">
        <f t="shared" ca="1" si="6"/>
        <v>34</v>
      </c>
      <c r="J191" s="232">
        <f t="shared" si="7"/>
        <v>2</v>
      </c>
      <c r="K191" s="233" t="str">
        <f t="shared" si="8"/>
        <v>On Time</v>
      </c>
    </row>
    <row r="192" spans="1:11">
      <c r="A192" s="24" t="s">
        <v>976</v>
      </c>
      <c r="B192" s="24" t="s">
        <v>221</v>
      </c>
      <c r="C192" s="24" t="s">
        <v>24</v>
      </c>
      <c r="D192" s="30">
        <v>46155</v>
      </c>
      <c r="E192" s="30">
        <v>46162</v>
      </c>
      <c r="F192" s="24" t="s">
        <v>225</v>
      </c>
      <c r="G192" s="24" t="s">
        <v>76</v>
      </c>
      <c r="H192" s="30" t="s">
        <v>226</v>
      </c>
      <c r="I192" s="232">
        <f t="shared" ca="1" si="6"/>
        <v>34</v>
      </c>
      <c r="J192" s="232">
        <f t="shared" si="7"/>
        <v>7</v>
      </c>
      <c r="K192" s="233" t="str">
        <f t="shared" si="8"/>
        <v>Delayed</v>
      </c>
    </row>
    <row r="193" spans="1:11">
      <c r="A193" s="24" t="s">
        <v>979</v>
      </c>
      <c r="B193" s="24" t="s">
        <v>327</v>
      </c>
      <c r="C193" s="24" t="s">
        <v>40</v>
      </c>
      <c r="D193" s="30">
        <v>45977</v>
      </c>
      <c r="E193" s="30">
        <v>45981</v>
      </c>
      <c r="F193" s="24" t="s">
        <v>394</v>
      </c>
      <c r="G193" s="24" t="s">
        <v>76</v>
      </c>
      <c r="H193" s="30" t="s">
        <v>331</v>
      </c>
      <c r="I193" s="232">
        <f t="shared" ca="1" si="6"/>
        <v>34</v>
      </c>
      <c r="J193" s="232">
        <f t="shared" si="7"/>
        <v>4</v>
      </c>
      <c r="K193" s="233" t="str">
        <f t="shared" si="8"/>
        <v>On Time</v>
      </c>
    </row>
    <row r="194" spans="1:11">
      <c r="A194" s="24" t="s">
        <v>983</v>
      </c>
      <c r="B194" s="24" t="s">
        <v>168</v>
      </c>
      <c r="C194" s="24" t="s">
        <v>24</v>
      </c>
      <c r="D194" s="30">
        <v>45953</v>
      </c>
      <c r="E194" s="30">
        <v>45965</v>
      </c>
      <c r="F194" s="24" t="s">
        <v>361</v>
      </c>
      <c r="G194" s="24" t="s">
        <v>28</v>
      </c>
      <c r="H194" s="30" t="s">
        <v>173</v>
      </c>
      <c r="I194" s="232">
        <f t="shared" ca="1" si="6"/>
        <v>24</v>
      </c>
      <c r="J194" s="232">
        <f t="shared" si="7"/>
        <v>12</v>
      </c>
      <c r="K194" s="233" t="str">
        <f t="shared" si="8"/>
        <v>Delayed</v>
      </c>
    </row>
    <row r="195" spans="1:11">
      <c r="A195" s="24" t="s">
        <v>986</v>
      </c>
      <c r="B195" s="24" t="s">
        <v>251</v>
      </c>
      <c r="C195" s="24" t="s">
        <v>24</v>
      </c>
      <c r="D195" s="30">
        <v>45704</v>
      </c>
      <c r="E195" s="30">
        <v>45706</v>
      </c>
      <c r="F195" s="24" t="s">
        <v>254</v>
      </c>
      <c r="G195" s="24" t="s">
        <v>28</v>
      </c>
      <c r="H195" s="30" t="s">
        <v>255</v>
      </c>
      <c r="I195" s="232">
        <f t="shared" ref="I195:I258" ca="1" si="9">DATEDIF(H195, TODAY(), "Y")</f>
        <v>45</v>
      </c>
      <c r="J195" s="232">
        <f t="shared" ref="J195:J258" si="10">IFERROR(IF(OR(E195="", D195="", LOWER(TRIM(E195))="pending", LOWER(TRIM(D195))="pending"), "Pending", E195 - D195), "Pending")</f>
        <v>2</v>
      </c>
      <c r="K195" s="233" t="str">
        <f t="shared" ref="K195:K258" si="11">IFERROR(IF(OR(E195="", D195="","Pending","Pending"), "Pending", IF((E195 - D195) &lt;= 5, "On Time", "Delayed")), "Pending")</f>
        <v>On Time</v>
      </c>
    </row>
    <row r="196" spans="1:11">
      <c r="A196" s="24" t="s">
        <v>991</v>
      </c>
      <c r="B196" s="24" t="s">
        <v>251</v>
      </c>
      <c r="C196" s="24" t="s">
        <v>24</v>
      </c>
      <c r="D196" s="30">
        <v>46002</v>
      </c>
      <c r="E196" s="30">
        <v>46005</v>
      </c>
      <c r="F196" s="24" t="s">
        <v>254</v>
      </c>
      <c r="G196" s="24" t="s">
        <v>28</v>
      </c>
      <c r="H196" s="30" t="s">
        <v>255</v>
      </c>
      <c r="I196" s="232">
        <f t="shared" ca="1" si="9"/>
        <v>45</v>
      </c>
      <c r="J196" s="232">
        <f t="shared" si="10"/>
        <v>3</v>
      </c>
      <c r="K196" s="233" t="str">
        <f t="shared" si="11"/>
        <v>On Time</v>
      </c>
    </row>
    <row r="197" spans="1:11">
      <c r="A197" s="24" t="s">
        <v>994</v>
      </c>
      <c r="B197" s="24" t="s">
        <v>83</v>
      </c>
      <c r="C197" s="24" t="s">
        <v>222</v>
      </c>
      <c r="D197" s="30">
        <v>45775</v>
      </c>
      <c r="E197" s="30">
        <v>45786</v>
      </c>
      <c r="F197" s="24" t="s">
        <v>180</v>
      </c>
      <c r="G197" s="24" t="s">
        <v>76</v>
      </c>
      <c r="H197" s="30" t="s">
        <v>87</v>
      </c>
      <c r="I197" s="232">
        <f t="shared" ca="1" si="9"/>
        <v>38</v>
      </c>
      <c r="J197" s="232">
        <f t="shared" si="10"/>
        <v>11</v>
      </c>
      <c r="K197" s="233" t="str">
        <f t="shared" si="11"/>
        <v>Delayed</v>
      </c>
    </row>
    <row r="198" spans="1:11">
      <c r="A198" s="24" t="s">
        <v>997</v>
      </c>
      <c r="B198" s="24" t="s">
        <v>221</v>
      </c>
      <c r="C198" s="24" t="s">
        <v>169</v>
      </c>
      <c r="D198" s="30">
        <v>46033</v>
      </c>
      <c r="E198" s="30">
        <v>46036</v>
      </c>
      <c r="F198" s="24" t="s">
        <v>225</v>
      </c>
      <c r="G198" s="24" t="s">
        <v>76</v>
      </c>
      <c r="H198" s="30" t="s">
        <v>226</v>
      </c>
      <c r="I198" s="232">
        <f t="shared" ca="1" si="9"/>
        <v>34</v>
      </c>
      <c r="J198" s="232">
        <f t="shared" si="10"/>
        <v>3</v>
      </c>
      <c r="K198" s="233" t="str">
        <f t="shared" si="11"/>
        <v>On Time</v>
      </c>
    </row>
    <row r="199" spans="1:11">
      <c r="A199" s="24" t="s">
        <v>1001</v>
      </c>
      <c r="B199" s="24" t="s">
        <v>100</v>
      </c>
      <c r="C199" s="24" t="s">
        <v>118</v>
      </c>
      <c r="D199" s="30">
        <v>45717</v>
      </c>
      <c r="E199" s="30">
        <v>45722</v>
      </c>
      <c r="F199" s="24" t="s">
        <v>103</v>
      </c>
      <c r="G199" s="24" t="s">
        <v>28</v>
      </c>
      <c r="H199" s="30" t="s">
        <v>104</v>
      </c>
      <c r="I199" s="232">
        <f t="shared" ca="1" si="9"/>
        <v>31</v>
      </c>
      <c r="J199" s="232">
        <f t="shared" si="10"/>
        <v>5</v>
      </c>
      <c r="K199" s="233" t="str">
        <f t="shared" si="11"/>
        <v>On Time</v>
      </c>
    </row>
    <row r="200" spans="1:11">
      <c r="A200" s="24" t="s">
        <v>1004</v>
      </c>
      <c r="B200" s="24" t="s">
        <v>221</v>
      </c>
      <c r="C200" s="24" t="s">
        <v>92</v>
      </c>
      <c r="D200" s="30">
        <v>46127</v>
      </c>
      <c r="E200" s="30">
        <v>46139</v>
      </c>
      <c r="F200" s="24" t="s">
        <v>225</v>
      </c>
      <c r="G200" s="24" t="s">
        <v>76</v>
      </c>
      <c r="H200" s="30" t="s">
        <v>226</v>
      </c>
      <c r="I200" s="232">
        <f t="shared" ca="1" si="9"/>
        <v>34</v>
      </c>
      <c r="J200" s="232">
        <f t="shared" si="10"/>
        <v>12</v>
      </c>
      <c r="K200" s="233" t="str">
        <f t="shared" si="11"/>
        <v>Delayed</v>
      </c>
    </row>
    <row r="201" spans="1:11">
      <c r="A201" s="24" t="s">
        <v>1009</v>
      </c>
      <c r="B201" s="24" t="s">
        <v>100</v>
      </c>
      <c r="C201" s="24" t="s">
        <v>54</v>
      </c>
      <c r="D201" s="30">
        <v>45708</v>
      </c>
      <c r="E201" s="30">
        <v>45717</v>
      </c>
      <c r="F201" s="24" t="s">
        <v>103</v>
      </c>
      <c r="G201" s="24" t="s">
        <v>28</v>
      </c>
      <c r="H201" s="30" t="s">
        <v>104</v>
      </c>
      <c r="I201" s="232">
        <f t="shared" ca="1" si="9"/>
        <v>31</v>
      </c>
      <c r="J201" s="232">
        <f t="shared" si="10"/>
        <v>9</v>
      </c>
      <c r="K201" s="233" t="str">
        <f t="shared" si="11"/>
        <v>Delayed</v>
      </c>
    </row>
    <row r="202" spans="1:11">
      <c r="A202" s="24" t="s">
        <v>1013</v>
      </c>
      <c r="B202" s="24" t="s">
        <v>221</v>
      </c>
      <c r="C202" s="24" t="s">
        <v>72</v>
      </c>
      <c r="D202" s="30">
        <v>45694</v>
      </c>
      <c r="E202" s="30">
        <v>45697</v>
      </c>
      <c r="F202" s="24" t="s">
        <v>225</v>
      </c>
      <c r="G202" s="24" t="s">
        <v>76</v>
      </c>
      <c r="H202" s="30" t="s">
        <v>226</v>
      </c>
      <c r="I202" s="232">
        <f t="shared" ca="1" si="9"/>
        <v>34</v>
      </c>
      <c r="J202" s="232">
        <f t="shared" si="10"/>
        <v>3</v>
      </c>
      <c r="K202" s="233" t="str">
        <f t="shared" si="11"/>
        <v>On Time</v>
      </c>
    </row>
    <row r="203" spans="1:11">
      <c r="A203" s="24" t="s">
        <v>1016</v>
      </c>
      <c r="B203" s="24" t="s">
        <v>71</v>
      </c>
      <c r="C203" s="24" t="s">
        <v>259</v>
      </c>
      <c r="D203" s="30">
        <v>45801</v>
      </c>
      <c r="E203" s="30">
        <v>45804</v>
      </c>
      <c r="F203" s="24" t="s">
        <v>217</v>
      </c>
      <c r="G203" s="24" t="s">
        <v>76</v>
      </c>
      <c r="H203" s="30" t="s">
        <v>77</v>
      </c>
      <c r="I203" s="232">
        <f t="shared" ca="1" si="9"/>
        <v>50</v>
      </c>
      <c r="J203" s="232">
        <f t="shared" si="10"/>
        <v>3</v>
      </c>
      <c r="K203" s="233" t="str">
        <f t="shared" si="11"/>
        <v>On Time</v>
      </c>
    </row>
    <row r="204" spans="1:11">
      <c r="A204" s="24" t="s">
        <v>1021</v>
      </c>
      <c r="B204" s="24" t="s">
        <v>53</v>
      </c>
      <c r="C204" s="24" t="s">
        <v>169</v>
      </c>
      <c r="D204" s="30">
        <v>46028</v>
      </c>
      <c r="E204" s="30">
        <v>46034</v>
      </c>
      <c r="F204" s="24" t="s">
        <v>163</v>
      </c>
      <c r="G204" s="24" t="s">
        <v>28</v>
      </c>
      <c r="H204" s="30" t="s">
        <v>58</v>
      </c>
      <c r="I204" s="232">
        <f t="shared" ca="1" si="9"/>
        <v>31</v>
      </c>
      <c r="J204" s="232">
        <f t="shared" si="10"/>
        <v>6</v>
      </c>
      <c r="K204" s="233" t="str">
        <f t="shared" si="11"/>
        <v>Delayed</v>
      </c>
    </row>
    <row r="205" spans="1:11">
      <c r="A205" s="24" t="s">
        <v>1024</v>
      </c>
      <c r="B205" s="24" t="s">
        <v>127</v>
      </c>
      <c r="C205" s="24" t="s">
        <v>92</v>
      </c>
      <c r="D205" s="30">
        <v>46089</v>
      </c>
      <c r="E205" s="30">
        <v>46090</v>
      </c>
      <c r="F205" s="24" t="s">
        <v>200</v>
      </c>
      <c r="G205" s="24" t="s">
        <v>76</v>
      </c>
      <c r="H205" s="30" t="s">
        <v>131</v>
      </c>
      <c r="I205" s="232">
        <f t="shared" ca="1" si="9"/>
        <v>44</v>
      </c>
      <c r="J205" s="232">
        <f t="shared" si="10"/>
        <v>1</v>
      </c>
      <c r="K205" s="233" t="str">
        <f t="shared" si="11"/>
        <v>On Time</v>
      </c>
    </row>
    <row r="206" spans="1:11">
      <c r="A206" s="24" t="s">
        <v>1027</v>
      </c>
      <c r="B206" s="24" t="s">
        <v>168</v>
      </c>
      <c r="C206" s="24" t="s">
        <v>259</v>
      </c>
      <c r="D206" s="30">
        <v>45935</v>
      </c>
      <c r="E206" s="30">
        <v>45939</v>
      </c>
      <c r="F206" s="24" t="s">
        <v>361</v>
      </c>
      <c r="G206" s="24" t="s">
        <v>28</v>
      </c>
      <c r="H206" s="30" t="s">
        <v>173</v>
      </c>
      <c r="I206" s="232">
        <f t="shared" ca="1" si="9"/>
        <v>24</v>
      </c>
      <c r="J206" s="232">
        <f t="shared" si="10"/>
        <v>4</v>
      </c>
      <c r="K206" s="233" t="str">
        <f t="shared" si="11"/>
        <v>On Time</v>
      </c>
    </row>
    <row r="207" spans="1:11">
      <c r="A207" s="24" t="s">
        <v>1030</v>
      </c>
      <c r="B207" s="24" t="s">
        <v>327</v>
      </c>
      <c r="C207" s="24" t="s">
        <v>24</v>
      </c>
      <c r="D207" s="30">
        <v>45722</v>
      </c>
      <c r="E207" s="30">
        <v>45728</v>
      </c>
      <c r="F207" s="24" t="s">
        <v>394</v>
      </c>
      <c r="G207" s="24" t="s">
        <v>76</v>
      </c>
      <c r="H207" s="30" t="s">
        <v>331</v>
      </c>
      <c r="I207" s="232">
        <f t="shared" ca="1" si="9"/>
        <v>34</v>
      </c>
      <c r="J207" s="232">
        <f t="shared" si="10"/>
        <v>6</v>
      </c>
      <c r="K207" s="233" t="str">
        <f t="shared" si="11"/>
        <v>Delayed</v>
      </c>
    </row>
    <row r="208" spans="1:11">
      <c r="A208" s="24" t="s">
        <v>1034</v>
      </c>
      <c r="B208" s="24" t="s">
        <v>221</v>
      </c>
      <c r="C208" s="24" t="s">
        <v>184</v>
      </c>
      <c r="D208" s="30">
        <v>46118</v>
      </c>
      <c r="E208" s="30">
        <v>46127</v>
      </c>
      <c r="F208" s="24" t="s">
        <v>225</v>
      </c>
      <c r="G208" s="24" t="s">
        <v>76</v>
      </c>
      <c r="H208" s="30" t="s">
        <v>226</v>
      </c>
      <c r="I208" s="232">
        <f t="shared" ca="1" si="9"/>
        <v>34</v>
      </c>
      <c r="J208" s="232">
        <f t="shared" si="10"/>
        <v>9</v>
      </c>
      <c r="K208" s="233" t="str">
        <f t="shared" si="11"/>
        <v>Delayed</v>
      </c>
    </row>
    <row r="209" spans="1:11">
      <c r="A209" s="24" t="s">
        <v>1038</v>
      </c>
      <c r="B209" s="24" t="s">
        <v>327</v>
      </c>
      <c r="C209" s="24" t="s">
        <v>54</v>
      </c>
      <c r="D209" s="30">
        <v>46039</v>
      </c>
      <c r="E209" s="30">
        <v>46042</v>
      </c>
      <c r="F209" s="24" t="s">
        <v>394</v>
      </c>
      <c r="G209" s="24" t="s">
        <v>76</v>
      </c>
      <c r="H209" s="30" t="s">
        <v>331</v>
      </c>
      <c r="I209" s="232">
        <f t="shared" ca="1" si="9"/>
        <v>34</v>
      </c>
      <c r="J209" s="232">
        <f t="shared" si="10"/>
        <v>3</v>
      </c>
      <c r="K209" s="233" t="str">
        <f t="shared" si="11"/>
        <v>On Time</v>
      </c>
    </row>
    <row r="210" spans="1:11">
      <c r="A210" s="24" t="s">
        <v>1043</v>
      </c>
      <c r="B210" s="24" t="s">
        <v>23</v>
      </c>
      <c r="C210" s="24" t="s">
        <v>40</v>
      </c>
      <c r="D210" s="30">
        <v>45976</v>
      </c>
      <c r="E210" s="30">
        <v>45985</v>
      </c>
      <c r="F210" s="24" t="s">
        <v>27</v>
      </c>
      <c r="G210" s="24" t="s">
        <v>28</v>
      </c>
      <c r="H210" s="30" t="s">
        <v>29</v>
      </c>
      <c r="I210" s="232">
        <f t="shared" ca="1" si="9"/>
        <v>49</v>
      </c>
      <c r="J210" s="232">
        <f t="shared" si="10"/>
        <v>9</v>
      </c>
      <c r="K210" s="233" t="str">
        <f t="shared" si="11"/>
        <v>Delayed</v>
      </c>
    </row>
    <row r="211" spans="1:11">
      <c r="A211" s="24" t="s">
        <v>1047</v>
      </c>
      <c r="B211" s="24" t="s">
        <v>251</v>
      </c>
      <c r="C211" s="24" t="s">
        <v>40</v>
      </c>
      <c r="D211" s="30">
        <v>45921</v>
      </c>
      <c r="E211" s="30">
        <v>45923</v>
      </c>
      <c r="F211" s="24" t="s">
        <v>254</v>
      </c>
      <c r="G211" s="24" t="s">
        <v>28</v>
      </c>
      <c r="H211" s="30" t="s">
        <v>255</v>
      </c>
      <c r="I211" s="232">
        <f t="shared" ca="1" si="9"/>
        <v>45</v>
      </c>
      <c r="J211" s="232">
        <f t="shared" si="10"/>
        <v>2</v>
      </c>
      <c r="K211" s="233" t="str">
        <f t="shared" si="11"/>
        <v>On Time</v>
      </c>
    </row>
    <row r="212" spans="1:11">
      <c r="A212" s="24" t="s">
        <v>1051</v>
      </c>
      <c r="B212" s="24" t="s">
        <v>327</v>
      </c>
      <c r="C212" s="24" t="s">
        <v>92</v>
      </c>
      <c r="D212" s="30">
        <v>46009</v>
      </c>
      <c r="E212" s="30">
        <v>46018</v>
      </c>
      <c r="F212" s="24" t="s">
        <v>394</v>
      </c>
      <c r="G212" s="24" t="s">
        <v>76</v>
      </c>
      <c r="H212" s="30" t="s">
        <v>331</v>
      </c>
      <c r="I212" s="232">
        <f t="shared" ca="1" si="9"/>
        <v>34</v>
      </c>
      <c r="J212" s="232">
        <f t="shared" si="10"/>
        <v>9</v>
      </c>
      <c r="K212" s="233" t="str">
        <f t="shared" si="11"/>
        <v>Delayed</v>
      </c>
    </row>
    <row r="213" spans="1:11">
      <c r="A213" s="24" t="s">
        <v>1055</v>
      </c>
      <c r="B213" s="24" t="s">
        <v>251</v>
      </c>
      <c r="C213" s="24" t="s">
        <v>259</v>
      </c>
      <c r="D213" s="30">
        <v>45694</v>
      </c>
      <c r="E213" s="30">
        <v>45704</v>
      </c>
      <c r="F213" s="24" t="s">
        <v>254</v>
      </c>
      <c r="G213" s="24" t="s">
        <v>28</v>
      </c>
      <c r="H213" s="30" t="s">
        <v>255</v>
      </c>
      <c r="I213" s="232">
        <f t="shared" ca="1" si="9"/>
        <v>45</v>
      </c>
      <c r="J213" s="232">
        <f t="shared" si="10"/>
        <v>10</v>
      </c>
      <c r="K213" s="233" t="str">
        <f t="shared" si="11"/>
        <v>Delayed</v>
      </c>
    </row>
    <row r="214" spans="1:11">
      <c r="A214" s="24" t="s">
        <v>1058</v>
      </c>
      <c r="B214" s="24" t="s">
        <v>23</v>
      </c>
      <c r="C214" s="24" t="s">
        <v>118</v>
      </c>
      <c r="D214" s="30">
        <v>45810</v>
      </c>
      <c r="E214" s="30">
        <v>45816</v>
      </c>
      <c r="F214" s="24" t="s">
        <v>27</v>
      </c>
      <c r="G214" s="24" t="s">
        <v>28</v>
      </c>
      <c r="H214" s="30" t="s">
        <v>29</v>
      </c>
      <c r="I214" s="232">
        <f t="shared" ca="1" si="9"/>
        <v>49</v>
      </c>
      <c r="J214" s="232">
        <f t="shared" si="10"/>
        <v>6</v>
      </c>
      <c r="K214" s="233" t="str">
        <f t="shared" si="11"/>
        <v>Delayed</v>
      </c>
    </row>
    <row r="215" spans="1:11">
      <c r="A215" s="24" t="s">
        <v>1060</v>
      </c>
      <c r="B215" s="24" t="s">
        <v>53</v>
      </c>
      <c r="C215" s="24" t="s">
        <v>259</v>
      </c>
      <c r="D215" s="30">
        <v>46134</v>
      </c>
      <c r="E215" s="30">
        <v>46146</v>
      </c>
      <c r="F215" s="24" t="s">
        <v>163</v>
      </c>
      <c r="G215" s="24" t="s">
        <v>28</v>
      </c>
      <c r="H215" s="30" t="s">
        <v>58</v>
      </c>
      <c r="I215" s="232">
        <f t="shared" ca="1" si="9"/>
        <v>31</v>
      </c>
      <c r="J215" s="232">
        <f t="shared" si="10"/>
        <v>12</v>
      </c>
      <c r="K215" s="233" t="str">
        <f t="shared" si="11"/>
        <v>Delayed</v>
      </c>
    </row>
    <row r="216" spans="1:11">
      <c r="A216" s="24" t="s">
        <v>1064</v>
      </c>
      <c r="B216" s="24" t="s">
        <v>100</v>
      </c>
      <c r="C216" s="24" t="s">
        <v>40</v>
      </c>
      <c r="D216" s="30">
        <v>46087</v>
      </c>
      <c r="E216" s="30">
        <v>46097</v>
      </c>
      <c r="F216" s="24" t="s">
        <v>103</v>
      </c>
      <c r="G216" s="24" t="s">
        <v>28</v>
      </c>
      <c r="H216" s="30" t="s">
        <v>104</v>
      </c>
      <c r="I216" s="232">
        <f t="shared" ca="1" si="9"/>
        <v>31</v>
      </c>
      <c r="J216" s="232">
        <f t="shared" si="10"/>
        <v>10</v>
      </c>
      <c r="K216" s="233" t="str">
        <f t="shared" si="11"/>
        <v>Delayed</v>
      </c>
    </row>
    <row r="217" spans="1:11">
      <c r="A217" s="24" t="s">
        <v>1068</v>
      </c>
      <c r="B217" s="24" t="s">
        <v>23</v>
      </c>
      <c r="C217" s="24" t="s">
        <v>72</v>
      </c>
      <c r="D217" s="30">
        <v>45716</v>
      </c>
      <c r="E217" s="30">
        <v>45728</v>
      </c>
      <c r="F217" s="24" t="s">
        <v>27</v>
      </c>
      <c r="G217" s="24" t="s">
        <v>28</v>
      </c>
      <c r="H217" s="30" t="s">
        <v>29</v>
      </c>
      <c r="I217" s="232">
        <f t="shared" ca="1" si="9"/>
        <v>49</v>
      </c>
      <c r="J217" s="232">
        <f t="shared" si="10"/>
        <v>12</v>
      </c>
      <c r="K217" s="233" t="str">
        <f t="shared" si="11"/>
        <v>Delayed</v>
      </c>
    </row>
    <row r="218" spans="1:11">
      <c r="A218" s="24" t="s">
        <v>1072</v>
      </c>
      <c r="B218" s="24" t="s">
        <v>221</v>
      </c>
      <c r="C218" s="24" t="s">
        <v>169</v>
      </c>
      <c r="D218" s="30">
        <v>45961</v>
      </c>
      <c r="E218" s="30">
        <v>45968</v>
      </c>
      <c r="F218" s="24" t="s">
        <v>225</v>
      </c>
      <c r="G218" s="24" t="s">
        <v>76</v>
      </c>
      <c r="H218" s="30" t="s">
        <v>226</v>
      </c>
      <c r="I218" s="232">
        <f t="shared" ca="1" si="9"/>
        <v>34</v>
      </c>
      <c r="J218" s="232">
        <f t="shared" si="10"/>
        <v>7</v>
      </c>
      <c r="K218" s="233" t="str">
        <f t="shared" si="11"/>
        <v>Delayed</v>
      </c>
    </row>
    <row r="219" spans="1:11">
      <c r="A219" s="24" t="s">
        <v>1076</v>
      </c>
      <c r="B219" s="24" t="s">
        <v>83</v>
      </c>
      <c r="C219" s="24" t="s">
        <v>184</v>
      </c>
      <c r="D219" s="30">
        <v>46052</v>
      </c>
      <c r="E219" s="30">
        <v>46061</v>
      </c>
      <c r="F219" s="24" t="s">
        <v>180</v>
      </c>
      <c r="G219" s="24" t="s">
        <v>76</v>
      </c>
      <c r="H219" s="30" t="s">
        <v>87</v>
      </c>
      <c r="I219" s="232">
        <f t="shared" ca="1" si="9"/>
        <v>38</v>
      </c>
      <c r="J219" s="232">
        <f t="shared" si="10"/>
        <v>9</v>
      </c>
      <c r="K219" s="233" t="str">
        <f t="shared" si="11"/>
        <v>Delayed</v>
      </c>
    </row>
    <row r="220" spans="1:11">
      <c r="A220" s="24" t="s">
        <v>1080</v>
      </c>
      <c r="B220" s="24" t="s">
        <v>53</v>
      </c>
      <c r="C220" s="24" t="s">
        <v>222</v>
      </c>
      <c r="D220" s="30">
        <v>46141</v>
      </c>
      <c r="E220" s="30">
        <v>46145</v>
      </c>
      <c r="F220" s="24" t="s">
        <v>163</v>
      </c>
      <c r="G220" s="24" t="s">
        <v>28</v>
      </c>
      <c r="H220" s="30" t="s">
        <v>58</v>
      </c>
      <c r="I220" s="232">
        <f t="shared" ca="1" si="9"/>
        <v>31</v>
      </c>
      <c r="J220" s="232">
        <f t="shared" si="10"/>
        <v>4</v>
      </c>
      <c r="K220" s="233" t="str">
        <f t="shared" si="11"/>
        <v>On Time</v>
      </c>
    </row>
    <row r="221" spans="1:11">
      <c r="A221" s="24" t="s">
        <v>1084</v>
      </c>
      <c r="B221" s="24" t="s">
        <v>100</v>
      </c>
      <c r="C221" s="24" t="s">
        <v>169</v>
      </c>
      <c r="D221" s="30">
        <v>45795</v>
      </c>
      <c r="E221" s="30">
        <v>45797</v>
      </c>
      <c r="F221" s="24" t="s">
        <v>103</v>
      </c>
      <c r="G221" s="24" t="s">
        <v>28</v>
      </c>
      <c r="H221" s="30" t="s">
        <v>104</v>
      </c>
      <c r="I221" s="232">
        <f t="shared" ca="1" si="9"/>
        <v>31</v>
      </c>
      <c r="J221" s="232">
        <f t="shared" si="10"/>
        <v>2</v>
      </c>
      <c r="K221" s="233" t="str">
        <f t="shared" si="11"/>
        <v>On Time</v>
      </c>
    </row>
    <row r="222" spans="1:11">
      <c r="A222" s="24" t="s">
        <v>1089</v>
      </c>
      <c r="B222" s="24" t="s">
        <v>251</v>
      </c>
      <c r="C222" s="24" t="s">
        <v>92</v>
      </c>
      <c r="D222" s="30">
        <v>46107</v>
      </c>
      <c r="E222" s="30">
        <v>46109</v>
      </c>
      <c r="F222" s="24" t="s">
        <v>254</v>
      </c>
      <c r="G222" s="24" t="s">
        <v>28</v>
      </c>
      <c r="H222" s="30" t="s">
        <v>255</v>
      </c>
      <c r="I222" s="232">
        <f t="shared" ca="1" si="9"/>
        <v>45</v>
      </c>
      <c r="J222" s="232">
        <f t="shared" si="10"/>
        <v>2</v>
      </c>
      <c r="K222" s="233" t="str">
        <f t="shared" si="11"/>
        <v>On Time</v>
      </c>
    </row>
    <row r="223" spans="1:11">
      <c r="A223" s="24" t="s">
        <v>1093</v>
      </c>
      <c r="B223" s="24" t="s">
        <v>53</v>
      </c>
      <c r="C223" s="24" t="s">
        <v>40</v>
      </c>
      <c r="D223" s="30">
        <v>46041</v>
      </c>
      <c r="E223" s="30">
        <v>46049</v>
      </c>
      <c r="F223" s="24" t="s">
        <v>163</v>
      </c>
      <c r="G223" s="24" t="s">
        <v>28</v>
      </c>
      <c r="H223" s="30" t="s">
        <v>58</v>
      </c>
      <c r="I223" s="232">
        <f t="shared" ca="1" si="9"/>
        <v>31</v>
      </c>
      <c r="J223" s="232">
        <f t="shared" si="10"/>
        <v>8</v>
      </c>
      <c r="K223" s="233" t="str">
        <f t="shared" si="11"/>
        <v>Delayed</v>
      </c>
    </row>
    <row r="224" spans="1:11">
      <c r="A224" s="24" t="s">
        <v>1097</v>
      </c>
      <c r="B224" s="24" t="s">
        <v>327</v>
      </c>
      <c r="C224" s="24" t="s">
        <v>259</v>
      </c>
      <c r="D224" s="30">
        <v>46144</v>
      </c>
      <c r="E224" s="30">
        <v>46152</v>
      </c>
      <c r="F224" s="24" t="s">
        <v>394</v>
      </c>
      <c r="G224" s="24" t="s">
        <v>76</v>
      </c>
      <c r="H224" s="30" t="s">
        <v>331</v>
      </c>
      <c r="I224" s="232">
        <f t="shared" ca="1" si="9"/>
        <v>34</v>
      </c>
      <c r="J224" s="232">
        <f t="shared" si="10"/>
        <v>8</v>
      </c>
      <c r="K224" s="233" t="str">
        <f t="shared" si="11"/>
        <v>Delayed</v>
      </c>
    </row>
    <row r="225" spans="1:11">
      <c r="A225" s="24" t="s">
        <v>1101</v>
      </c>
      <c r="B225" s="24" t="s">
        <v>23</v>
      </c>
      <c r="C225" s="24" t="s">
        <v>54</v>
      </c>
      <c r="D225" s="30">
        <v>45961</v>
      </c>
      <c r="E225" s="30">
        <v>45963</v>
      </c>
      <c r="F225" s="24" t="s">
        <v>27</v>
      </c>
      <c r="G225" s="24" t="s">
        <v>28</v>
      </c>
      <c r="H225" s="30" t="s">
        <v>29</v>
      </c>
      <c r="I225" s="232">
        <f t="shared" ca="1" si="9"/>
        <v>49</v>
      </c>
      <c r="J225" s="232">
        <f t="shared" si="10"/>
        <v>2</v>
      </c>
      <c r="K225" s="233" t="str">
        <f t="shared" si="11"/>
        <v>On Time</v>
      </c>
    </row>
    <row r="226" spans="1:11">
      <c r="A226" s="24" t="s">
        <v>1105</v>
      </c>
      <c r="B226" s="24" t="s">
        <v>83</v>
      </c>
      <c r="C226" s="24" t="s">
        <v>259</v>
      </c>
      <c r="D226" s="30">
        <v>45858</v>
      </c>
      <c r="E226" s="30">
        <v>45864</v>
      </c>
      <c r="F226" s="24" t="s">
        <v>180</v>
      </c>
      <c r="G226" s="24" t="s">
        <v>76</v>
      </c>
      <c r="H226" s="30" t="s">
        <v>87</v>
      </c>
      <c r="I226" s="232">
        <f t="shared" ca="1" si="9"/>
        <v>38</v>
      </c>
      <c r="J226" s="232">
        <f t="shared" si="10"/>
        <v>6</v>
      </c>
      <c r="K226" s="233" t="str">
        <f t="shared" si="11"/>
        <v>Delayed</v>
      </c>
    </row>
    <row r="227" spans="1:11">
      <c r="A227" s="24" t="s">
        <v>1109</v>
      </c>
      <c r="B227" s="24" t="s">
        <v>100</v>
      </c>
      <c r="C227" s="24" t="s">
        <v>222</v>
      </c>
      <c r="D227" s="30">
        <v>45707</v>
      </c>
      <c r="E227" s="30">
        <v>45712</v>
      </c>
      <c r="F227" s="24" t="s">
        <v>103</v>
      </c>
      <c r="G227" s="24" t="s">
        <v>28</v>
      </c>
      <c r="H227" s="30" t="s">
        <v>104</v>
      </c>
      <c r="I227" s="232">
        <f t="shared" ca="1" si="9"/>
        <v>31</v>
      </c>
      <c r="J227" s="232">
        <f t="shared" si="10"/>
        <v>5</v>
      </c>
      <c r="K227" s="233" t="str">
        <f t="shared" si="11"/>
        <v>On Time</v>
      </c>
    </row>
    <row r="228" spans="1:11">
      <c r="A228" s="24" t="s">
        <v>1113</v>
      </c>
      <c r="B228" s="24" t="s">
        <v>168</v>
      </c>
      <c r="C228" s="24" t="s">
        <v>40</v>
      </c>
      <c r="D228" s="30">
        <v>45767</v>
      </c>
      <c r="E228" s="30">
        <v>45778</v>
      </c>
      <c r="F228" s="24" t="s">
        <v>361</v>
      </c>
      <c r="G228" s="24" t="s">
        <v>28</v>
      </c>
      <c r="H228" s="30" t="s">
        <v>173</v>
      </c>
      <c r="I228" s="232">
        <f t="shared" ca="1" si="9"/>
        <v>24</v>
      </c>
      <c r="J228" s="232">
        <f t="shared" si="10"/>
        <v>11</v>
      </c>
      <c r="K228" s="233" t="str">
        <f t="shared" si="11"/>
        <v>Delayed</v>
      </c>
    </row>
    <row r="229" spans="1:11">
      <c r="A229" s="24" t="s">
        <v>1118</v>
      </c>
      <c r="B229" s="24" t="s">
        <v>71</v>
      </c>
      <c r="C229" s="24" t="s">
        <v>92</v>
      </c>
      <c r="D229" s="30">
        <v>45813</v>
      </c>
      <c r="E229" s="30">
        <v>45821</v>
      </c>
      <c r="F229" s="24" t="s">
        <v>217</v>
      </c>
      <c r="G229" s="24" t="s">
        <v>76</v>
      </c>
      <c r="H229" s="30" t="s">
        <v>77</v>
      </c>
      <c r="I229" s="232">
        <f t="shared" ca="1" si="9"/>
        <v>50</v>
      </c>
      <c r="J229" s="232">
        <f t="shared" si="10"/>
        <v>8</v>
      </c>
      <c r="K229" s="233" t="str">
        <f t="shared" si="11"/>
        <v>Delayed</v>
      </c>
    </row>
    <row r="230" spans="1:11">
      <c r="A230" s="24" t="s">
        <v>1123</v>
      </c>
      <c r="B230" s="24" t="s">
        <v>100</v>
      </c>
      <c r="C230" s="24" t="s">
        <v>184</v>
      </c>
      <c r="D230" s="30">
        <v>45797</v>
      </c>
      <c r="E230" s="30">
        <v>45800</v>
      </c>
      <c r="F230" s="24" t="s">
        <v>103</v>
      </c>
      <c r="G230" s="24" t="s">
        <v>28</v>
      </c>
      <c r="H230" s="30" t="s">
        <v>104</v>
      </c>
      <c r="I230" s="232">
        <f t="shared" ca="1" si="9"/>
        <v>31</v>
      </c>
      <c r="J230" s="232">
        <f t="shared" si="10"/>
        <v>3</v>
      </c>
      <c r="K230" s="233" t="str">
        <f t="shared" si="11"/>
        <v>On Time</v>
      </c>
    </row>
    <row r="231" spans="1:11">
      <c r="A231" s="24" t="s">
        <v>1127</v>
      </c>
      <c r="B231" s="24" t="s">
        <v>71</v>
      </c>
      <c r="C231" s="24" t="s">
        <v>92</v>
      </c>
      <c r="D231" s="30">
        <v>46046</v>
      </c>
      <c r="E231" s="30">
        <v>46053</v>
      </c>
      <c r="F231" s="24" t="s">
        <v>217</v>
      </c>
      <c r="G231" s="24" t="s">
        <v>76</v>
      </c>
      <c r="H231" s="30" t="s">
        <v>77</v>
      </c>
      <c r="I231" s="232">
        <f t="shared" ca="1" si="9"/>
        <v>50</v>
      </c>
      <c r="J231" s="232">
        <f t="shared" si="10"/>
        <v>7</v>
      </c>
      <c r="K231" s="233" t="str">
        <f t="shared" si="11"/>
        <v>Delayed</v>
      </c>
    </row>
    <row r="232" spans="1:11">
      <c r="A232" s="24" t="s">
        <v>1131</v>
      </c>
      <c r="B232" s="24" t="s">
        <v>100</v>
      </c>
      <c r="C232" s="24" t="s">
        <v>184</v>
      </c>
      <c r="D232" s="30">
        <v>45810</v>
      </c>
      <c r="E232" s="30">
        <v>45812</v>
      </c>
      <c r="F232" s="24" t="s">
        <v>103</v>
      </c>
      <c r="G232" s="24" t="s">
        <v>28</v>
      </c>
      <c r="H232" s="30" t="s">
        <v>104</v>
      </c>
      <c r="I232" s="232">
        <f t="shared" ca="1" si="9"/>
        <v>31</v>
      </c>
      <c r="J232" s="232">
        <f t="shared" si="10"/>
        <v>2</v>
      </c>
      <c r="K232" s="233" t="str">
        <f t="shared" si="11"/>
        <v>On Time</v>
      </c>
    </row>
    <row r="233" spans="1:11">
      <c r="A233" s="24" t="s">
        <v>1134</v>
      </c>
      <c r="B233" s="24" t="s">
        <v>100</v>
      </c>
      <c r="C233" s="24" t="s">
        <v>92</v>
      </c>
      <c r="D233" s="30">
        <v>45819</v>
      </c>
      <c r="E233" s="30">
        <v>45827</v>
      </c>
      <c r="F233" s="24" t="s">
        <v>103</v>
      </c>
      <c r="G233" s="24" t="s">
        <v>28</v>
      </c>
      <c r="H233" s="30" t="s">
        <v>104</v>
      </c>
      <c r="I233" s="232">
        <f t="shared" ca="1" si="9"/>
        <v>31</v>
      </c>
      <c r="J233" s="232">
        <f t="shared" si="10"/>
        <v>8</v>
      </c>
      <c r="K233" s="233" t="str">
        <f t="shared" si="11"/>
        <v>Delayed</v>
      </c>
    </row>
    <row r="234" spans="1:11">
      <c r="A234" s="24" t="s">
        <v>1137</v>
      </c>
      <c r="B234" s="24" t="s">
        <v>251</v>
      </c>
      <c r="C234" s="24" t="s">
        <v>222</v>
      </c>
      <c r="D234" s="30">
        <v>46038</v>
      </c>
      <c r="E234" s="30">
        <v>46046</v>
      </c>
      <c r="F234" s="24" t="s">
        <v>254</v>
      </c>
      <c r="G234" s="24" t="s">
        <v>28</v>
      </c>
      <c r="H234" s="30" t="s">
        <v>255</v>
      </c>
      <c r="I234" s="232">
        <f t="shared" ca="1" si="9"/>
        <v>45</v>
      </c>
      <c r="J234" s="232">
        <f t="shared" si="10"/>
        <v>8</v>
      </c>
      <c r="K234" s="233" t="str">
        <f t="shared" si="11"/>
        <v>Delayed</v>
      </c>
    </row>
    <row r="235" spans="1:11">
      <c r="A235" s="24" t="s">
        <v>1140</v>
      </c>
      <c r="B235" s="24" t="s">
        <v>23</v>
      </c>
      <c r="C235" s="24" t="s">
        <v>24</v>
      </c>
      <c r="D235" s="30">
        <v>46073</v>
      </c>
      <c r="E235" s="30">
        <v>46085</v>
      </c>
      <c r="F235" s="24" t="s">
        <v>27</v>
      </c>
      <c r="G235" s="24" t="s">
        <v>28</v>
      </c>
      <c r="H235" s="30" t="s">
        <v>29</v>
      </c>
      <c r="I235" s="232">
        <f t="shared" ca="1" si="9"/>
        <v>49</v>
      </c>
      <c r="J235" s="232">
        <f t="shared" si="10"/>
        <v>12</v>
      </c>
      <c r="K235" s="233" t="str">
        <f t="shared" si="11"/>
        <v>Delayed</v>
      </c>
    </row>
    <row r="236" spans="1:11">
      <c r="A236" s="24" t="s">
        <v>1145</v>
      </c>
      <c r="B236" s="24" t="s">
        <v>71</v>
      </c>
      <c r="C236" s="24" t="s">
        <v>222</v>
      </c>
      <c r="D236" s="30">
        <v>46070</v>
      </c>
      <c r="E236" s="30">
        <v>46078</v>
      </c>
      <c r="F236" s="24" t="s">
        <v>217</v>
      </c>
      <c r="G236" s="24" t="s">
        <v>76</v>
      </c>
      <c r="H236" s="30" t="s">
        <v>77</v>
      </c>
      <c r="I236" s="232">
        <f t="shared" ca="1" si="9"/>
        <v>50</v>
      </c>
      <c r="J236" s="232">
        <f t="shared" si="10"/>
        <v>8</v>
      </c>
      <c r="K236" s="233" t="str">
        <f t="shared" si="11"/>
        <v>Delayed</v>
      </c>
    </row>
    <row r="237" spans="1:11">
      <c r="A237" s="24" t="s">
        <v>1148</v>
      </c>
      <c r="B237" s="24" t="s">
        <v>127</v>
      </c>
      <c r="C237" s="24" t="s">
        <v>40</v>
      </c>
      <c r="D237" s="30">
        <v>45847</v>
      </c>
      <c r="E237" s="30">
        <v>45852</v>
      </c>
      <c r="F237" s="24" t="s">
        <v>200</v>
      </c>
      <c r="G237" s="24" t="s">
        <v>76</v>
      </c>
      <c r="H237" s="30" t="s">
        <v>131</v>
      </c>
      <c r="I237" s="232">
        <f t="shared" ca="1" si="9"/>
        <v>44</v>
      </c>
      <c r="J237" s="232">
        <f t="shared" si="10"/>
        <v>5</v>
      </c>
      <c r="K237" s="233" t="str">
        <f t="shared" si="11"/>
        <v>On Time</v>
      </c>
    </row>
    <row r="238" spans="1:11">
      <c r="A238" s="24" t="s">
        <v>1152</v>
      </c>
      <c r="B238" s="24" t="s">
        <v>127</v>
      </c>
      <c r="C238" s="24" t="s">
        <v>92</v>
      </c>
      <c r="D238" s="30">
        <v>45696</v>
      </c>
      <c r="E238" s="30">
        <v>45704</v>
      </c>
      <c r="F238" s="24" t="s">
        <v>200</v>
      </c>
      <c r="G238" s="24" t="s">
        <v>76</v>
      </c>
      <c r="H238" s="30" t="s">
        <v>131</v>
      </c>
      <c r="I238" s="232">
        <f t="shared" ca="1" si="9"/>
        <v>44</v>
      </c>
      <c r="J238" s="232">
        <f t="shared" si="10"/>
        <v>8</v>
      </c>
      <c r="K238" s="233" t="str">
        <f t="shared" si="11"/>
        <v>Delayed</v>
      </c>
    </row>
    <row r="239" spans="1:11">
      <c r="A239" s="24" t="s">
        <v>1156</v>
      </c>
      <c r="B239" s="24" t="s">
        <v>221</v>
      </c>
      <c r="C239" s="24" t="s">
        <v>259</v>
      </c>
      <c r="D239" s="30">
        <v>45713</v>
      </c>
      <c r="E239" s="30">
        <v>45720</v>
      </c>
      <c r="F239" s="24" t="s">
        <v>225</v>
      </c>
      <c r="G239" s="24" t="s">
        <v>76</v>
      </c>
      <c r="H239" s="30" t="s">
        <v>226</v>
      </c>
      <c r="I239" s="232">
        <f t="shared" ca="1" si="9"/>
        <v>34</v>
      </c>
      <c r="J239" s="232">
        <f t="shared" si="10"/>
        <v>7</v>
      </c>
      <c r="K239" s="233" t="str">
        <f t="shared" si="11"/>
        <v>Delayed</v>
      </c>
    </row>
    <row r="240" spans="1:11">
      <c r="A240" s="24" t="s">
        <v>1160</v>
      </c>
      <c r="B240" s="24" t="s">
        <v>53</v>
      </c>
      <c r="C240" s="24" t="s">
        <v>259</v>
      </c>
      <c r="D240" s="30">
        <v>46049</v>
      </c>
      <c r="E240" s="30">
        <v>46059</v>
      </c>
      <c r="F240" s="24" t="s">
        <v>163</v>
      </c>
      <c r="G240" s="24" t="s">
        <v>28</v>
      </c>
      <c r="H240" s="30" t="s">
        <v>58</v>
      </c>
      <c r="I240" s="232">
        <f t="shared" ca="1" si="9"/>
        <v>31</v>
      </c>
      <c r="J240" s="232">
        <f t="shared" si="10"/>
        <v>10</v>
      </c>
      <c r="K240" s="233" t="str">
        <f t="shared" si="11"/>
        <v>Delayed</v>
      </c>
    </row>
    <row r="241" spans="1:11">
      <c r="A241" s="24" t="s">
        <v>1164</v>
      </c>
      <c r="B241" s="24" t="s">
        <v>53</v>
      </c>
      <c r="C241" s="24" t="s">
        <v>259</v>
      </c>
      <c r="D241" s="30">
        <v>46030</v>
      </c>
      <c r="E241" s="30">
        <v>46039</v>
      </c>
      <c r="F241" s="24" t="s">
        <v>163</v>
      </c>
      <c r="G241" s="24" t="s">
        <v>28</v>
      </c>
      <c r="H241" s="30" t="s">
        <v>58</v>
      </c>
      <c r="I241" s="232">
        <f t="shared" ca="1" si="9"/>
        <v>31</v>
      </c>
      <c r="J241" s="232">
        <f t="shared" si="10"/>
        <v>9</v>
      </c>
      <c r="K241" s="233" t="str">
        <f t="shared" si="11"/>
        <v>Delayed</v>
      </c>
    </row>
    <row r="242" spans="1:11">
      <c r="A242" s="24" t="s">
        <v>1168</v>
      </c>
      <c r="B242" s="24" t="s">
        <v>168</v>
      </c>
      <c r="C242" s="24" t="s">
        <v>169</v>
      </c>
      <c r="D242" s="30">
        <v>45741</v>
      </c>
      <c r="E242" s="30">
        <v>45743</v>
      </c>
      <c r="F242" s="24" t="s">
        <v>361</v>
      </c>
      <c r="G242" s="24" t="s">
        <v>28</v>
      </c>
      <c r="H242" s="30" t="s">
        <v>173</v>
      </c>
      <c r="I242" s="232">
        <f t="shared" ca="1" si="9"/>
        <v>24</v>
      </c>
      <c r="J242" s="232">
        <f t="shared" si="10"/>
        <v>2</v>
      </c>
      <c r="K242" s="233" t="str">
        <f t="shared" si="11"/>
        <v>On Time</v>
      </c>
    </row>
    <row r="243" spans="1:11">
      <c r="A243" s="24" t="s">
        <v>1171</v>
      </c>
      <c r="B243" s="24" t="s">
        <v>168</v>
      </c>
      <c r="C243" s="24" t="s">
        <v>222</v>
      </c>
      <c r="D243" s="30">
        <v>45901</v>
      </c>
      <c r="E243" s="30">
        <v>45912</v>
      </c>
      <c r="F243" s="24" t="s">
        <v>361</v>
      </c>
      <c r="G243" s="24" t="s">
        <v>28</v>
      </c>
      <c r="H243" s="30" t="s">
        <v>173</v>
      </c>
      <c r="I243" s="232">
        <f t="shared" ca="1" si="9"/>
        <v>24</v>
      </c>
      <c r="J243" s="232">
        <f t="shared" si="10"/>
        <v>11</v>
      </c>
      <c r="K243" s="233" t="str">
        <f t="shared" si="11"/>
        <v>Delayed</v>
      </c>
    </row>
    <row r="244" spans="1:11">
      <c r="A244" s="24" t="s">
        <v>1175</v>
      </c>
      <c r="B244" s="24" t="s">
        <v>83</v>
      </c>
      <c r="C244" s="24" t="s">
        <v>118</v>
      </c>
      <c r="D244" s="30">
        <v>46031</v>
      </c>
      <c r="E244" s="30">
        <v>46035</v>
      </c>
      <c r="F244" s="24" t="s">
        <v>180</v>
      </c>
      <c r="G244" s="24" t="s">
        <v>76</v>
      </c>
      <c r="H244" s="30" t="s">
        <v>87</v>
      </c>
      <c r="I244" s="232">
        <f t="shared" ca="1" si="9"/>
        <v>38</v>
      </c>
      <c r="J244" s="232">
        <f t="shared" si="10"/>
        <v>4</v>
      </c>
      <c r="K244" s="233" t="str">
        <f t="shared" si="11"/>
        <v>On Time</v>
      </c>
    </row>
    <row r="245" spans="1:11">
      <c r="A245" s="24" t="s">
        <v>1179</v>
      </c>
      <c r="B245" s="24" t="s">
        <v>53</v>
      </c>
      <c r="C245" s="24" t="s">
        <v>72</v>
      </c>
      <c r="D245" s="30">
        <v>46158</v>
      </c>
      <c r="E245" s="30">
        <v>46161</v>
      </c>
      <c r="F245" s="24" t="s">
        <v>163</v>
      </c>
      <c r="G245" s="24" t="s">
        <v>28</v>
      </c>
      <c r="H245" s="30" t="s">
        <v>58</v>
      </c>
      <c r="I245" s="232">
        <f t="shared" ca="1" si="9"/>
        <v>31</v>
      </c>
      <c r="J245" s="232">
        <f t="shared" si="10"/>
        <v>3</v>
      </c>
      <c r="K245" s="233" t="str">
        <f t="shared" si="11"/>
        <v>On Time</v>
      </c>
    </row>
    <row r="246" spans="1:11">
      <c r="A246" s="24" t="s">
        <v>1184</v>
      </c>
      <c r="B246" s="24" t="s">
        <v>23</v>
      </c>
      <c r="C246" s="24" t="s">
        <v>259</v>
      </c>
      <c r="D246" s="30">
        <v>45943</v>
      </c>
      <c r="E246" s="30">
        <v>45944</v>
      </c>
      <c r="F246" s="24" t="s">
        <v>27</v>
      </c>
      <c r="G246" s="24" t="s">
        <v>28</v>
      </c>
      <c r="H246" s="30" t="s">
        <v>29</v>
      </c>
      <c r="I246" s="232">
        <f t="shared" ca="1" si="9"/>
        <v>49</v>
      </c>
      <c r="J246" s="232">
        <f t="shared" si="10"/>
        <v>1</v>
      </c>
      <c r="K246" s="233" t="str">
        <f t="shared" si="11"/>
        <v>On Time</v>
      </c>
    </row>
    <row r="247" spans="1:11">
      <c r="A247" s="24" t="s">
        <v>1187</v>
      </c>
      <c r="B247" s="24" t="s">
        <v>327</v>
      </c>
      <c r="C247" s="24" t="s">
        <v>184</v>
      </c>
      <c r="D247" s="30">
        <v>45802</v>
      </c>
      <c r="E247" s="30">
        <v>45809</v>
      </c>
      <c r="F247" s="24" t="s">
        <v>394</v>
      </c>
      <c r="G247" s="24" t="s">
        <v>76</v>
      </c>
      <c r="H247" s="30" t="s">
        <v>331</v>
      </c>
      <c r="I247" s="232">
        <f t="shared" ca="1" si="9"/>
        <v>34</v>
      </c>
      <c r="J247" s="232">
        <f t="shared" si="10"/>
        <v>7</v>
      </c>
      <c r="K247" s="233" t="str">
        <f t="shared" si="11"/>
        <v>Delayed</v>
      </c>
    </row>
    <row r="248" spans="1:11">
      <c r="A248" s="24" t="s">
        <v>1191</v>
      </c>
      <c r="B248" s="24" t="s">
        <v>127</v>
      </c>
      <c r="C248" s="24" t="s">
        <v>118</v>
      </c>
      <c r="D248" s="30">
        <v>46025</v>
      </c>
      <c r="E248" s="30">
        <v>46026</v>
      </c>
      <c r="F248" s="24" t="s">
        <v>200</v>
      </c>
      <c r="G248" s="24" t="s">
        <v>76</v>
      </c>
      <c r="H248" s="30" t="s">
        <v>131</v>
      </c>
      <c r="I248" s="232">
        <f t="shared" ca="1" si="9"/>
        <v>44</v>
      </c>
      <c r="J248" s="232">
        <f t="shared" si="10"/>
        <v>1</v>
      </c>
      <c r="K248" s="233" t="str">
        <f t="shared" si="11"/>
        <v>On Time</v>
      </c>
    </row>
    <row r="249" spans="1:11">
      <c r="A249" s="24" t="s">
        <v>1194</v>
      </c>
      <c r="B249" s="24" t="s">
        <v>71</v>
      </c>
      <c r="C249" s="24" t="s">
        <v>24</v>
      </c>
      <c r="D249" s="30">
        <v>46013</v>
      </c>
      <c r="E249" s="30">
        <v>46024</v>
      </c>
      <c r="F249" s="24" t="s">
        <v>217</v>
      </c>
      <c r="G249" s="24" t="s">
        <v>76</v>
      </c>
      <c r="H249" s="30" t="s">
        <v>77</v>
      </c>
      <c r="I249" s="232">
        <f t="shared" ca="1" si="9"/>
        <v>50</v>
      </c>
      <c r="J249" s="232">
        <f t="shared" si="10"/>
        <v>11</v>
      </c>
      <c r="K249" s="233" t="str">
        <f t="shared" si="11"/>
        <v>Delayed</v>
      </c>
    </row>
    <row r="250" spans="1:11">
      <c r="A250" s="24" t="s">
        <v>1197</v>
      </c>
      <c r="B250" s="24" t="s">
        <v>71</v>
      </c>
      <c r="C250" s="24" t="s">
        <v>24</v>
      </c>
      <c r="D250" s="30">
        <v>46019</v>
      </c>
      <c r="E250" s="30">
        <v>46027</v>
      </c>
      <c r="F250" s="24" t="s">
        <v>217</v>
      </c>
      <c r="G250" s="24" t="s">
        <v>76</v>
      </c>
      <c r="H250" s="30" t="s">
        <v>77</v>
      </c>
      <c r="I250" s="232">
        <f t="shared" ca="1" si="9"/>
        <v>50</v>
      </c>
      <c r="J250" s="232">
        <f t="shared" si="10"/>
        <v>8</v>
      </c>
      <c r="K250" s="233" t="str">
        <f t="shared" si="11"/>
        <v>Delayed</v>
      </c>
    </row>
    <row r="251" spans="1:11">
      <c r="A251" s="24" t="s">
        <v>1203</v>
      </c>
      <c r="B251" s="24" t="s">
        <v>327</v>
      </c>
      <c r="C251" s="24" t="s">
        <v>169</v>
      </c>
      <c r="D251" s="30">
        <v>45792</v>
      </c>
      <c r="E251" s="30">
        <v>45794</v>
      </c>
      <c r="F251" s="24" t="s">
        <v>394</v>
      </c>
      <c r="G251" s="24" t="s">
        <v>76</v>
      </c>
      <c r="H251" s="30" t="s">
        <v>331</v>
      </c>
      <c r="I251" s="232">
        <f t="shared" ca="1" si="9"/>
        <v>34</v>
      </c>
      <c r="J251" s="232">
        <f t="shared" si="10"/>
        <v>2</v>
      </c>
      <c r="K251" s="233" t="str">
        <f t="shared" si="11"/>
        <v>On Time</v>
      </c>
    </row>
    <row r="252" spans="1:11">
      <c r="A252" s="24" t="s">
        <v>1207</v>
      </c>
      <c r="B252" s="24" t="s">
        <v>221</v>
      </c>
      <c r="C252" s="24" t="s">
        <v>24</v>
      </c>
      <c r="D252" s="30">
        <v>46070</v>
      </c>
      <c r="E252" s="30">
        <v>46078</v>
      </c>
      <c r="F252" s="24" t="s">
        <v>225</v>
      </c>
      <c r="G252" s="24" t="s">
        <v>76</v>
      </c>
      <c r="H252" s="30" t="s">
        <v>226</v>
      </c>
      <c r="I252" s="232">
        <f t="shared" ca="1" si="9"/>
        <v>34</v>
      </c>
      <c r="J252" s="232">
        <f t="shared" si="10"/>
        <v>8</v>
      </c>
      <c r="K252" s="233" t="str">
        <f t="shared" si="11"/>
        <v>Delayed</v>
      </c>
    </row>
    <row r="253" spans="1:11">
      <c r="A253" s="24" t="s">
        <v>1210</v>
      </c>
      <c r="B253" s="24" t="s">
        <v>23</v>
      </c>
      <c r="C253" s="24" t="s">
        <v>169</v>
      </c>
      <c r="D253" s="30">
        <v>45739</v>
      </c>
      <c r="E253" s="30">
        <v>45742</v>
      </c>
      <c r="F253" s="24" t="s">
        <v>27</v>
      </c>
      <c r="G253" s="24" t="s">
        <v>28</v>
      </c>
      <c r="H253" s="30" t="s">
        <v>29</v>
      </c>
      <c r="I253" s="232">
        <f t="shared" ca="1" si="9"/>
        <v>49</v>
      </c>
      <c r="J253" s="232">
        <f t="shared" si="10"/>
        <v>3</v>
      </c>
      <c r="K253" s="233" t="str">
        <f t="shared" si="11"/>
        <v>On Time</v>
      </c>
    </row>
    <row r="254" spans="1:11">
      <c r="A254" s="24" t="s">
        <v>1213</v>
      </c>
      <c r="B254" s="24" t="s">
        <v>327</v>
      </c>
      <c r="C254" s="24" t="s">
        <v>72</v>
      </c>
      <c r="D254" s="30">
        <v>46006</v>
      </c>
      <c r="E254" s="30">
        <v>46007</v>
      </c>
      <c r="F254" s="24" t="s">
        <v>394</v>
      </c>
      <c r="G254" s="24" t="s">
        <v>76</v>
      </c>
      <c r="H254" s="30" t="s">
        <v>331</v>
      </c>
      <c r="I254" s="232">
        <f t="shared" ca="1" si="9"/>
        <v>34</v>
      </c>
      <c r="J254" s="232">
        <f t="shared" si="10"/>
        <v>1</v>
      </c>
      <c r="K254" s="233" t="str">
        <f t="shared" si="11"/>
        <v>On Time</v>
      </c>
    </row>
    <row r="255" spans="1:11">
      <c r="A255" s="24" t="s">
        <v>1217</v>
      </c>
      <c r="B255" s="24" t="s">
        <v>127</v>
      </c>
      <c r="C255" s="24" t="s">
        <v>40</v>
      </c>
      <c r="D255" s="30">
        <v>45721</v>
      </c>
      <c r="E255" s="30">
        <v>45731</v>
      </c>
      <c r="F255" s="24" t="s">
        <v>200</v>
      </c>
      <c r="G255" s="24" t="s">
        <v>76</v>
      </c>
      <c r="H255" s="30" t="s">
        <v>131</v>
      </c>
      <c r="I255" s="232">
        <f t="shared" ca="1" si="9"/>
        <v>44</v>
      </c>
      <c r="J255" s="232">
        <f t="shared" si="10"/>
        <v>10</v>
      </c>
      <c r="K255" s="233" t="str">
        <f t="shared" si="11"/>
        <v>Delayed</v>
      </c>
    </row>
    <row r="256" spans="1:11">
      <c r="A256" s="24" t="s">
        <v>1220</v>
      </c>
      <c r="B256" s="24" t="s">
        <v>221</v>
      </c>
      <c r="C256" s="24" t="s">
        <v>40</v>
      </c>
      <c r="D256" s="30">
        <v>45919</v>
      </c>
      <c r="E256" s="30">
        <v>45931</v>
      </c>
      <c r="F256" s="24" t="s">
        <v>225</v>
      </c>
      <c r="G256" s="24" t="s">
        <v>76</v>
      </c>
      <c r="H256" s="30" t="s">
        <v>226</v>
      </c>
      <c r="I256" s="232">
        <f t="shared" ca="1" si="9"/>
        <v>34</v>
      </c>
      <c r="J256" s="232">
        <f t="shared" si="10"/>
        <v>12</v>
      </c>
      <c r="K256" s="233" t="str">
        <f t="shared" si="11"/>
        <v>Delayed</v>
      </c>
    </row>
    <row r="257" spans="1:11">
      <c r="A257" s="24" t="s">
        <v>1224</v>
      </c>
      <c r="B257" s="24" t="s">
        <v>221</v>
      </c>
      <c r="C257" s="24" t="s">
        <v>40</v>
      </c>
      <c r="D257" s="30">
        <v>45964</v>
      </c>
      <c r="E257" s="30">
        <v>45970</v>
      </c>
      <c r="F257" s="24" t="s">
        <v>225</v>
      </c>
      <c r="G257" s="24" t="s">
        <v>76</v>
      </c>
      <c r="H257" s="30" t="s">
        <v>226</v>
      </c>
      <c r="I257" s="232">
        <f t="shared" ca="1" si="9"/>
        <v>34</v>
      </c>
      <c r="J257" s="232">
        <f t="shared" si="10"/>
        <v>6</v>
      </c>
      <c r="K257" s="233" t="str">
        <f t="shared" si="11"/>
        <v>Delayed</v>
      </c>
    </row>
    <row r="258" spans="1:11">
      <c r="A258" s="24" t="s">
        <v>1228</v>
      </c>
      <c r="B258" s="24" t="s">
        <v>127</v>
      </c>
      <c r="C258" s="24" t="s">
        <v>40</v>
      </c>
      <c r="D258" s="30">
        <v>45824</v>
      </c>
      <c r="E258" s="30">
        <v>45826</v>
      </c>
      <c r="F258" s="24" t="s">
        <v>200</v>
      </c>
      <c r="G258" s="24" t="s">
        <v>76</v>
      </c>
      <c r="H258" s="30" t="s">
        <v>131</v>
      </c>
      <c r="I258" s="232">
        <f t="shared" ca="1" si="9"/>
        <v>44</v>
      </c>
      <c r="J258" s="232">
        <f t="shared" si="10"/>
        <v>2</v>
      </c>
      <c r="K258" s="233" t="str">
        <f t="shared" si="11"/>
        <v>On Time</v>
      </c>
    </row>
    <row r="259" spans="1:11">
      <c r="A259" s="24" t="s">
        <v>1231</v>
      </c>
      <c r="B259" s="24" t="s">
        <v>23</v>
      </c>
      <c r="C259" s="24" t="s">
        <v>92</v>
      </c>
      <c r="D259" s="30">
        <v>45812</v>
      </c>
      <c r="E259" s="30">
        <v>45819</v>
      </c>
      <c r="F259" s="24" t="s">
        <v>27</v>
      </c>
      <c r="G259" s="24" t="s">
        <v>28</v>
      </c>
      <c r="H259" s="30" t="s">
        <v>29</v>
      </c>
      <c r="I259" s="232">
        <f t="shared" ref="I259:I322" ca="1" si="12">DATEDIF(H259, TODAY(), "Y")</f>
        <v>49</v>
      </c>
      <c r="J259" s="232">
        <f t="shared" ref="J259:J322" si="13">IFERROR(IF(OR(E259="", D259="", LOWER(TRIM(E259))="pending", LOWER(TRIM(D259))="pending"), "Pending", E259 - D259), "Pending")</f>
        <v>7</v>
      </c>
      <c r="K259" s="233" t="str">
        <f t="shared" ref="K259:K322" si="14">IFERROR(IF(OR(E259="", D259="","Pending","Pending"), "Pending", IF((E259 - D259) &lt;= 5, "On Time", "Delayed")), "Pending")</f>
        <v>Delayed</v>
      </c>
    </row>
    <row r="260" spans="1:11">
      <c r="A260" s="24" t="s">
        <v>1234</v>
      </c>
      <c r="B260" s="24" t="s">
        <v>23</v>
      </c>
      <c r="C260" s="24" t="s">
        <v>24</v>
      </c>
      <c r="D260" s="30">
        <v>45695</v>
      </c>
      <c r="E260" s="30">
        <v>45700</v>
      </c>
      <c r="F260" s="24" t="s">
        <v>27</v>
      </c>
      <c r="G260" s="24" t="s">
        <v>28</v>
      </c>
      <c r="H260" s="30" t="s">
        <v>29</v>
      </c>
      <c r="I260" s="232">
        <f t="shared" ca="1" si="12"/>
        <v>49</v>
      </c>
      <c r="J260" s="232">
        <f t="shared" si="13"/>
        <v>5</v>
      </c>
      <c r="K260" s="233" t="str">
        <f t="shared" si="14"/>
        <v>On Time</v>
      </c>
    </row>
    <row r="261" spans="1:11">
      <c r="A261" s="24" t="s">
        <v>1237</v>
      </c>
      <c r="B261" s="24" t="s">
        <v>83</v>
      </c>
      <c r="C261" s="24" t="s">
        <v>184</v>
      </c>
      <c r="D261" s="30">
        <v>46151</v>
      </c>
      <c r="E261" s="30">
        <v>46155</v>
      </c>
      <c r="F261" s="24" t="s">
        <v>180</v>
      </c>
      <c r="G261" s="24" t="s">
        <v>76</v>
      </c>
      <c r="H261" s="30" t="s">
        <v>87</v>
      </c>
      <c r="I261" s="232">
        <f t="shared" ca="1" si="12"/>
        <v>38</v>
      </c>
      <c r="J261" s="232">
        <f t="shared" si="13"/>
        <v>4</v>
      </c>
      <c r="K261" s="233" t="str">
        <f t="shared" si="14"/>
        <v>On Time</v>
      </c>
    </row>
    <row r="262" spans="1:11">
      <c r="A262" s="24" t="s">
        <v>1241</v>
      </c>
      <c r="B262" s="24" t="s">
        <v>23</v>
      </c>
      <c r="C262" s="24" t="s">
        <v>222</v>
      </c>
      <c r="D262" s="30">
        <v>45858</v>
      </c>
      <c r="E262" s="30">
        <v>45868</v>
      </c>
      <c r="F262" s="24" t="s">
        <v>27</v>
      </c>
      <c r="G262" s="24" t="s">
        <v>28</v>
      </c>
      <c r="H262" s="30" t="s">
        <v>29</v>
      </c>
      <c r="I262" s="232">
        <f t="shared" ca="1" si="12"/>
        <v>49</v>
      </c>
      <c r="J262" s="232">
        <f t="shared" si="13"/>
        <v>10</v>
      </c>
      <c r="K262" s="233" t="str">
        <f t="shared" si="14"/>
        <v>Delayed</v>
      </c>
    </row>
    <row r="263" spans="1:11">
      <c r="A263" s="24" t="s">
        <v>1245</v>
      </c>
      <c r="B263" s="24" t="s">
        <v>327</v>
      </c>
      <c r="C263" s="24" t="s">
        <v>40</v>
      </c>
      <c r="D263" s="30">
        <v>45716</v>
      </c>
      <c r="E263" s="30">
        <v>45723</v>
      </c>
      <c r="F263" s="24" t="s">
        <v>394</v>
      </c>
      <c r="G263" s="24" t="s">
        <v>76</v>
      </c>
      <c r="H263" s="30" t="s">
        <v>331</v>
      </c>
      <c r="I263" s="232">
        <f t="shared" ca="1" si="12"/>
        <v>34</v>
      </c>
      <c r="J263" s="232">
        <f t="shared" si="13"/>
        <v>7</v>
      </c>
      <c r="K263" s="233" t="str">
        <f t="shared" si="14"/>
        <v>Delayed</v>
      </c>
    </row>
    <row r="264" spans="1:11">
      <c r="A264" s="24" t="s">
        <v>1248</v>
      </c>
      <c r="B264" s="24" t="s">
        <v>251</v>
      </c>
      <c r="C264" s="24" t="s">
        <v>24</v>
      </c>
      <c r="D264" s="30">
        <v>45846</v>
      </c>
      <c r="E264" s="30">
        <v>45851</v>
      </c>
      <c r="F264" s="24" t="s">
        <v>254</v>
      </c>
      <c r="G264" s="24" t="s">
        <v>28</v>
      </c>
      <c r="H264" s="30" t="s">
        <v>255</v>
      </c>
      <c r="I264" s="232">
        <f t="shared" ca="1" si="12"/>
        <v>45</v>
      </c>
      <c r="J264" s="232">
        <f t="shared" si="13"/>
        <v>5</v>
      </c>
      <c r="K264" s="233" t="str">
        <f t="shared" si="14"/>
        <v>On Time</v>
      </c>
    </row>
    <row r="265" spans="1:11">
      <c r="A265" s="24" t="s">
        <v>1252</v>
      </c>
      <c r="B265" s="24" t="s">
        <v>23</v>
      </c>
      <c r="C265" s="24" t="s">
        <v>54</v>
      </c>
      <c r="D265" s="30">
        <v>46003</v>
      </c>
      <c r="E265" s="30">
        <v>46010</v>
      </c>
      <c r="F265" s="24" t="s">
        <v>27</v>
      </c>
      <c r="G265" s="24" t="s">
        <v>28</v>
      </c>
      <c r="H265" s="30" t="s">
        <v>29</v>
      </c>
      <c r="I265" s="232">
        <f t="shared" ca="1" si="12"/>
        <v>49</v>
      </c>
      <c r="J265" s="232">
        <f t="shared" si="13"/>
        <v>7</v>
      </c>
      <c r="K265" s="233" t="str">
        <f t="shared" si="14"/>
        <v>Delayed</v>
      </c>
    </row>
    <row r="266" spans="1:11">
      <c r="A266" s="24" t="s">
        <v>1256</v>
      </c>
      <c r="B266" s="24" t="s">
        <v>71</v>
      </c>
      <c r="C266" s="24" t="s">
        <v>169</v>
      </c>
      <c r="D266" s="30">
        <v>46026</v>
      </c>
      <c r="E266" s="30">
        <v>46036</v>
      </c>
      <c r="F266" s="24" t="s">
        <v>217</v>
      </c>
      <c r="G266" s="24" t="s">
        <v>76</v>
      </c>
      <c r="H266" s="30" t="s">
        <v>77</v>
      </c>
      <c r="I266" s="232">
        <f t="shared" ca="1" si="12"/>
        <v>50</v>
      </c>
      <c r="J266" s="232">
        <f t="shared" si="13"/>
        <v>10</v>
      </c>
      <c r="K266" s="233" t="str">
        <f t="shared" si="14"/>
        <v>Delayed</v>
      </c>
    </row>
    <row r="267" spans="1:11">
      <c r="A267" s="24" t="s">
        <v>1259</v>
      </c>
      <c r="B267" s="24" t="s">
        <v>23</v>
      </c>
      <c r="C267" s="24" t="s">
        <v>222</v>
      </c>
      <c r="D267" s="30">
        <v>45889</v>
      </c>
      <c r="E267" s="30">
        <v>45894</v>
      </c>
      <c r="F267" s="24" t="s">
        <v>27</v>
      </c>
      <c r="G267" s="24" t="s">
        <v>28</v>
      </c>
      <c r="H267" s="30" t="s">
        <v>29</v>
      </c>
      <c r="I267" s="232">
        <f t="shared" ca="1" si="12"/>
        <v>49</v>
      </c>
      <c r="J267" s="232">
        <f t="shared" si="13"/>
        <v>5</v>
      </c>
      <c r="K267" s="233" t="str">
        <f t="shared" si="14"/>
        <v>On Time</v>
      </c>
    </row>
    <row r="268" spans="1:11">
      <c r="A268" s="24" t="s">
        <v>1262</v>
      </c>
      <c r="B268" s="24" t="s">
        <v>53</v>
      </c>
      <c r="C268" s="24" t="s">
        <v>118</v>
      </c>
      <c r="D268" s="30">
        <v>45780</v>
      </c>
      <c r="E268" s="30">
        <v>45788</v>
      </c>
      <c r="F268" s="24" t="s">
        <v>163</v>
      </c>
      <c r="G268" s="24" t="s">
        <v>28</v>
      </c>
      <c r="H268" s="30" t="s">
        <v>58</v>
      </c>
      <c r="I268" s="232">
        <f t="shared" ca="1" si="12"/>
        <v>31</v>
      </c>
      <c r="J268" s="232">
        <f t="shared" si="13"/>
        <v>8</v>
      </c>
      <c r="K268" s="233" t="str">
        <f t="shared" si="14"/>
        <v>Delayed</v>
      </c>
    </row>
    <row r="269" spans="1:11">
      <c r="A269" s="24" t="s">
        <v>1266</v>
      </c>
      <c r="B269" s="24" t="s">
        <v>127</v>
      </c>
      <c r="C269" s="24" t="s">
        <v>169</v>
      </c>
      <c r="D269" s="30">
        <v>45666</v>
      </c>
      <c r="E269" s="30">
        <v>45669</v>
      </c>
      <c r="F269" s="24" t="s">
        <v>200</v>
      </c>
      <c r="G269" s="24" t="s">
        <v>76</v>
      </c>
      <c r="H269" s="30" t="s">
        <v>131</v>
      </c>
      <c r="I269" s="232">
        <f t="shared" ca="1" si="12"/>
        <v>44</v>
      </c>
      <c r="J269" s="232">
        <f t="shared" si="13"/>
        <v>3</v>
      </c>
      <c r="K269" s="233" t="str">
        <f t="shared" si="14"/>
        <v>On Time</v>
      </c>
    </row>
    <row r="270" spans="1:11">
      <c r="A270" s="24" t="s">
        <v>1271</v>
      </c>
      <c r="B270" s="24" t="s">
        <v>251</v>
      </c>
      <c r="C270" s="24" t="s">
        <v>54</v>
      </c>
      <c r="D270" s="30">
        <v>45901</v>
      </c>
      <c r="E270" s="30">
        <v>45910</v>
      </c>
      <c r="F270" s="24" t="s">
        <v>254</v>
      </c>
      <c r="G270" s="24" t="s">
        <v>28</v>
      </c>
      <c r="H270" s="30" t="s">
        <v>255</v>
      </c>
      <c r="I270" s="232">
        <f t="shared" ca="1" si="12"/>
        <v>45</v>
      </c>
      <c r="J270" s="232">
        <f t="shared" si="13"/>
        <v>9</v>
      </c>
      <c r="K270" s="233" t="str">
        <f t="shared" si="14"/>
        <v>Delayed</v>
      </c>
    </row>
    <row r="271" spans="1:11">
      <c r="A271" s="24" t="s">
        <v>1274</v>
      </c>
      <c r="B271" s="24" t="s">
        <v>71</v>
      </c>
      <c r="C271" s="24" t="s">
        <v>40</v>
      </c>
      <c r="D271" s="30">
        <v>46144</v>
      </c>
      <c r="E271" s="30">
        <v>46149</v>
      </c>
      <c r="F271" s="24" t="s">
        <v>217</v>
      </c>
      <c r="G271" s="24" t="s">
        <v>76</v>
      </c>
      <c r="H271" s="30" t="s">
        <v>77</v>
      </c>
      <c r="I271" s="232">
        <f t="shared" ca="1" si="12"/>
        <v>50</v>
      </c>
      <c r="J271" s="232">
        <f t="shared" si="13"/>
        <v>5</v>
      </c>
      <c r="K271" s="233" t="str">
        <f t="shared" si="14"/>
        <v>On Time</v>
      </c>
    </row>
    <row r="272" spans="1:11">
      <c r="A272" s="24" t="s">
        <v>1277</v>
      </c>
      <c r="B272" s="24" t="s">
        <v>127</v>
      </c>
      <c r="C272" s="24" t="s">
        <v>169</v>
      </c>
      <c r="D272" s="30">
        <v>45764</v>
      </c>
      <c r="E272" s="30">
        <v>45773</v>
      </c>
      <c r="F272" s="24" t="s">
        <v>200</v>
      </c>
      <c r="G272" s="24" t="s">
        <v>76</v>
      </c>
      <c r="H272" s="30" t="s">
        <v>131</v>
      </c>
      <c r="I272" s="232">
        <f t="shared" ca="1" si="12"/>
        <v>44</v>
      </c>
      <c r="J272" s="232">
        <f t="shared" si="13"/>
        <v>9</v>
      </c>
      <c r="K272" s="233" t="str">
        <f t="shared" si="14"/>
        <v>Delayed</v>
      </c>
    </row>
    <row r="273" spans="1:11">
      <c r="A273" s="24" t="s">
        <v>1281</v>
      </c>
      <c r="B273" s="24" t="s">
        <v>23</v>
      </c>
      <c r="C273" s="24" t="s">
        <v>222</v>
      </c>
      <c r="D273" s="30">
        <v>45878</v>
      </c>
      <c r="E273" s="30">
        <v>45887</v>
      </c>
      <c r="F273" s="24" t="s">
        <v>27</v>
      </c>
      <c r="G273" s="24" t="s">
        <v>28</v>
      </c>
      <c r="H273" s="30" t="s">
        <v>29</v>
      </c>
      <c r="I273" s="232">
        <f t="shared" ca="1" si="12"/>
        <v>49</v>
      </c>
      <c r="J273" s="232">
        <f t="shared" si="13"/>
        <v>9</v>
      </c>
      <c r="K273" s="233" t="str">
        <f t="shared" si="14"/>
        <v>Delayed</v>
      </c>
    </row>
    <row r="274" spans="1:11">
      <c r="A274" s="24" t="s">
        <v>1285</v>
      </c>
      <c r="B274" s="24" t="s">
        <v>83</v>
      </c>
      <c r="C274" s="24" t="s">
        <v>118</v>
      </c>
      <c r="D274" s="30">
        <v>46116</v>
      </c>
      <c r="E274" s="30">
        <v>46128</v>
      </c>
      <c r="F274" s="24" t="s">
        <v>180</v>
      </c>
      <c r="G274" s="24" t="s">
        <v>76</v>
      </c>
      <c r="H274" s="30" t="s">
        <v>87</v>
      </c>
      <c r="I274" s="232">
        <f t="shared" ca="1" si="12"/>
        <v>38</v>
      </c>
      <c r="J274" s="232">
        <f t="shared" si="13"/>
        <v>12</v>
      </c>
      <c r="K274" s="233" t="str">
        <f t="shared" si="14"/>
        <v>Delayed</v>
      </c>
    </row>
    <row r="275" spans="1:11">
      <c r="A275" s="24" t="s">
        <v>1289</v>
      </c>
      <c r="B275" s="24" t="s">
        <v>53</v>
      </c>
      <c r="C275" s="24" t="s">
        <v>222</v>
      </c>
      <c r="D275" s="30">
        <v>45830</v>
      </c>
      <c r="E275" s="30">
        <v>45836</v>
      </c>
      <c r="F275" s="24" t="s">
        <v>163</v>
      </c>
      <c r="G275" s="24" t="s">
        <v>28</v>
      </c>
      <c r="H275" s="30" t="s">
        <v>58</v>
      </c>
      <c r="I275" s="232">
        <f t="shared" ca="1" si="12"/>
        <v>31</v>
      </c>
      <c r="J275" s="232">
        <f t="shared" si="13"/>
        <v>6</v>
      </c>
      <c r="K275" s="233" t="str">
        <f t="shared" si="14"/>
        <v>Delayed</v>
      </c>
    </row>
    <row r="276" spans="1:11">
      <c r="A276" s="24" t="s">
        <v>1293</v>
      </c>
      <c r="B276" s="24" t="s">
        <v>221</v>
      </c>
      <c r="C276" s="24" t="s">
        <v>222</v>
      </c>
      <c r="D276" s="30">
        <v>45796</v>
      </c>
      <c r="E276" s="30">
        <v>45801</v>
      </c>
      <c r="F276" s="24" t="s">
        <v>225</v>
      </c>
      <c r="G276" s="24" t="s">
        <v>76</v>
      </c>
      <c r="H276" s="30" t="s">
        <v>226</v>
      </c>
      <c r="I276" s="232">
        <f t="shared" ca="1" si="12"/>
        <v>34</v>
      </c>
      <c r="J276" s="232">
        <f t="shared" si="13"/>
        <v>5</v>
      </c>
      <c r="K276" s="233" t="str">
        <f t="shared" si="14"/>
        <v>On Time</v>
      </c>
    </row>
    <row r="277" spans="1:11">
      <c r="A277" s="24" t="s">
        <v>1297</v>
      </c>
      <c r="B277" s="24" t="s">
        <v>100</v>
      </c>
      <c r="C277" s="24" t="s">
        <v>259</v>
      </c>
      <c r="D277" s="30">
        <v>45745</v>
      </c>
      <c r="E277" s="30">
        <v>45754</v>
      </c>
      <c r="F277" s="24" t="s">
        <v>103</v>
      </c>
      <c r="G277" s="24" t="s">
        <v>28</v>
      </c>
      <c r="H277" s="30" t="s">
        <v>104</v>
      </c>
      <c r="I277" s="232">
        <f t="shared" ca="1" si="12"/>
        <v>31</v>
      </c>
      <c r="J277" s="232">
        <f t="shared" si="13"/>
        <v>9</v>
      </c>
      <c r="K277" s="233" t="str">
        <f t="shared" si="14"/>
        <v>Delayed</v>
      </c>
    </row>
    <row r="278" spans="1:11">
      <c r="A278" s="24" t="s">
        <v>1301</v>
      </c>
      <c r="B278" s="24" t="s">
        <v>83</v>
      </c>
      <c r="C278" s="24" t="s">
        <v>184</v>
      </c>
      <c r="D278" s="30">
        <v>46071</v>
      </c>
      <c r="E278" s="30">
        <v>46075</v>
      </c>
      <c r="F278" s="24" t="s">
        <v>180</v>
      </c>
      <c r="G278" s="24" t="s">
        <v>76</v>
      </c>
      <c r="H278" s="30" t="s">
        <v>87</v>
      </c>
      <c r="I278" s="232">
        <f t="shared" ca="1" si="12"/>
        <v>38</v>
      </c>
      <c r="J278" s="232">
        <f t="shared" si="13"/>
        <v>4</v>
      </c>
      <c r="K278" s="233" t="str">
        <f t="shared" si="14"/>
        <v>On Time</v>
      </c>
    </row>
    <row r="279" spans="1:11">
      <c r="A279" s="24" t="s">
        <v>1305</v>
      </c>
      <c r="B279" s="24" t="s">
        <v>168</v>
      </c>
      <c r="C279" s="24" t="s">
        <v>24</v>
      </c>
      <c r="D279" s="30">
        <v>46043</v>
      </c>
      <c r="E279" s="30">
        <v>46051</v>
      </c>
      <c r="F279" s="24" t="s">
        <v>361</v>
      </c>
      <c r="G279" s="24" t="s">
        <v>28</v>
      </c>
      <c r="H279" s="30" t="s">
        <v>173</v>
      </c>
      <c r="I279" s="232">
        <f t="shared" ca="1" si="12"/>
        <v>24</v>
      </c>
      <c r="J279" s="232">
        <f t="shared" si="13"/>
        <v>8</v>
      </c>
      <c r="K279" s="233" t="str">
        <f t="shared" si="14"/>
        <v>Delayed</v>
      </c>
    </row>
    <row r="280" spans="1:11">
      <c r="A280" s="24" t="s">
        <v>1310</v>
      </c>
      <c r="B280" s="24" t="s">
        <v>100</v>
      </c>
      <c r="C280" s="24" t="s">
        <v>24</v>
      </c>
      <c r="D280" s="30">
        <v>45917</v>
      </c>
      <c r="E280" s="30">
        <v>45929</v>
      </c>
      <c r="F280" s="24" t="s">
        <v>103</v>
      </c>
      <c r="G280" s="24" t="s">
        <v>28</v>
      </c>
      <c r="H280" s="30" t="s">
        <v>104</v>
      </c>
      <c r="I280" s="232">
        <f t="shared" ca="1" si="12"/>
        <v>31</v>
      </c>
      <c r="J280" s="232">
        <f t="shared" si="13"/>
        <v>12</v>
      </c>
      <c r="K280" s="233" t="str">
        <f t="shared" si="14"/>
        <v>Delayed</v>
      </c>
    </row>
    <row r="281" spans="1:11">
      <c r="A281" s="24" t="s">
        <v>1314</v>
      </c>
      <c r="B281" s="24" t="s">
        <v>251</v>
      </c>
      <c r="C281" s="24" t="s">
        <v>92</v>
      </c>
      <c r="D281" s="30">
        <v>45827</v>
      </c>
      <c r="E281" s="30">
        <v>45838</v>
      </c>
      <c r="F281" s="24" t="s">
        <v>254</v>
      </c>
      <c r="G281" s="24" t="s">
        <v>28</v>
      </c>
      <c r="H281" s="30" t="s">
        <v>255</v>
      </c>
      <c r="I281" s="232">
        <f t="shared" ca="1" si="12"/>
        <v>45</v>
      </c>
      <c r="J281" s="232">
        <f t="shared" si="13"/>
        <v>11</v>
      </c>
      <c r="K281" s="233" t="str">
        <f t="shared" si="14"/>
        <v>Delayed</v>
      </c>
    </row>
    <row r="282" spans="1:11">
      <c r="A282" s="24" t="s">
        <v>1318</v>
      </c>
      <c r="B282" s="24" t="s">
        <v>71</v>
      </c>
      <c r="C282" s="24" t="s">
        <v>92</v>
      </c>
      <c r="D282" s="30">
        <v>45789</v>
      </c>
      <c r="E282" s="30">
        <v>45793</v>
      </c>
      <c r="F282" s="24" t="s">
        <v>217</v>
      </c>
      <c r="G282" s="24" t="s">
        <v>76</v>
      </c>
      <c r="H282" s="30" t="s">
        <v>77</v>
      </c>
      <c r="I282" s="232">
        <f t="shared" ca="1" si="12"/>
        <v>50</v>
      </c>
      <c r="J282" s="232">
        <f t="shared" si="13"/>
        <v>4</v>
      </c>
      <c r="K282" s="233" t="str">
        <f t="shared" si="14"/>
        <v>On Time</v>
      </c>
    </row>
    <row r="283" spans="1:11">
      <c r="A283" s="24" t="s">
        <v>1323</v>
      </c>
      <c r="B283" s="24" t="s">
        <v>251</v>
      </c>
      <c r="C283" s="24" t="s">
        <v>40</v>
      </c>
      <c r="D283" s="30">
        <v>45906</v>
      </c>
      <c r="E283" s="30">
        <v>45918</v>
      </c>
      <c r="F283" s="24" t="s">
        <v>254</v>
      </c>
      <c r="G283" s="24" t="s">
        <v>28</v>
      </c>
      <c r="H283" s="30" t="s">
        <v>255</v>
      </c>
      <c r="I283" s="232">
        <f t="shared" ca="1" si="12"/>
        <v>45</v>
      </c>
      <c r="J283" s="232">
        <f t="shared" si="13"/>
        <v>12</v>
      </c>
      <c r="K283" s="233" t="str">
        <f t="shared" si="14"/>
        <v>Delayed</v>
      </c>
    </row>
    <row r="284" spans="1:11">
      <c r="A284" s="24" t="s">
        <v>1327</v>
      </c>
      <c r="B284" s="24" t="s">
        <v>83</v>
      </c>
      <c r="C284" s="24" t="s">
        <v>184</v>
      </c>
      <c r="D284" s="30">
        <v>45770</v>
      </c>
      <c r="E284" s="30">
        <v>45776</v>
      </c>
      <c r="F284" s="24" t="s">
        <v>180</v>
      </c>
      <c r="G284" s="24" t="s">
        <v>76</v>
      </c>
      <c r="H284" s="30" t="s">
        <v>87</v>
      </c>
      <c r="I284" s="232">
        <f t="shared" ca="1" si="12"/>
        <v>38</v>
      </c>
      <c r="J284" s="232">
        <f t="shared" si="13"/>
        <v>6</v>
      </c>
      <c r="K284" s="233" t="str">
        <f t="shared" si="14"/>
        <v>Delayed</v>
      </c>
    </row>
    <row r="285" spans="1:11">
      <c r="A285" s="24" t="s">
        <v>1331</v>
      </c>
      <c r="B285" s="24" t="s">
        <v>71</v>
      </c>
      <c r="C285" s="24" t="s">
        <v>24</v>
      </c>
      <c r="D285" s="30">
        <v>46074</v>
      </c>
      <c r="E285" s="30">
        <v>46080</v>
      </c>
      <c r="F285" s="24" t="s">
        <v>217</v>
      </c>
      <c r="G285" s="24" t="s">
        <v>76</v>
      </c>
      <c r="H285" s="30" t="s">
        <v>77</v>
      </c>
      <c r="I285" s="232">
        <f t="shared" ca="1" si="12"/>
        <v>50</v>
      </c>
      <c r="J285" s="232">
        <f t="shared" si="13"/>
        <v>6</v>
      </c>
      <c r="K285" s="233" t="str">
        <f t="shared" si="14"/>
        <v>Delayed</v>
      </c>
    </row>
    <row r="286" spans="1:11">
      <c r="A286" s="24" t="s">
        <v>1335</v>
      </c>
      <c r="B286" s="24" t="s">
        <v>251</v>
      </c>
      <c r="C286" s="24" t="s">
        <v>259</v>
      </c>
      <c r="D286" s="30">
        <v>46019</v>
      </c>
      <c r="E286" s="30">
        <v>46023</v>
      </c>
      <c r="F286" s="24" t="s">
        <v>254</v>
      </c>
      <c r="G286" s="24" t="s">
        <v>28</v>
      </c>
      <c r="H286" s="30" t="s">
        <v>255</v>
      </c>
      <c r="I286" s="232">
        <f t="shared" ca="1" si="12"/>
        <v>45</v>
      </c>
      <c r="J286" s="232">
        <f t="shared" si="13"/>
        <v>4</v>
      </c>
      <c r="K286" s="233" t="str">
        <f t="shared" si="14"/>
        <v>On Time</v>
      </c>
    </row>
    <row r="287" spans="1:11">
      <c r="A287" s="24" t="s">
        <v>1338</v>
      </c>
      <c r="B287" s="24" t="s">
        <v>251</v>
      </c>
      <c r="C287" s="24" t="s">
        <v>72</v>
      </c>
      <c r="D287" s="30">
        <v>45922</v>
      </c>
      <c r="E287" s="30">
        <v>45930</v>
      </c>
      <c r="F287" s="24" t="s">
        <v>254</v>
      </c>
      <c r="G287" s="24" t="s">
        <v>28</v>
      </c>
      <c r="H287" s="30" t="s">
        <v>255</v>
      </c>
      <c r="I287" s="232">
        <f t="shared" ca="1" si="12"/>
        <v>45</v>
      </c>
      <c r="J287" s="232">
        <f t="shared" si="13"/>
        <v>8</v>
      </c>
      <c r="K287" s="233" t="str">
        <f t="shared" si="14"/>
        <v>Delayed</v>
      </c>
    </row>
    <row r="288" spans="1:11">
      <c r="A288" s="24" t="s">
        <v>1342</v>
      </c>
      <c r="B288" s="24" t="s">
        <v>168</v>
      </c>
      <c r="C288" s="24" t="s">
        <v>184</v>
      </c>
      <c r="D288" s="30">
        <v>46150</v>
      </c>
      <c r="E288" s="30">
        <v>46153</v>
      </c>
      <c r="F288" s="24" t="s">
        <v>361</v>
      </c>
      <c r="G288" s="24" t="s">
        <v>28</v>
      </c>
      <c r="H288" s="30" t="s">
        <v>173</v>
      </c>
      <c r="I288" s="232">
        <f t="shared" ca="1" si="12"/>
        <v>24</v>
      </c>
      <c r="J288" s="232">
        <f t="shared" si="13"/>
        <v>3</v>
      </c>
      <c r="K288" s="233" t="str">
        <f t="shared" si="14"/>
        <v>On Time</v>
      </c>
    </row>
    <row r="289" spans="1:11">
      <c r="A289" s="24" t="s">
        <v>1347</v>
      </c>
      <c r="B289" s="24" t="s">
        <v>100</v>
      </c>
      <c r="C289" s="24" t="s">
        <v>222</v>
      </c>
      <c r="D289" s="30">
        <v>45966</v>
      </c>
      <c r="E289" s="30">
        <v>45967</v>
      </c>
      <c r="F289" s="24" t="s">
        <v>103</v>
      </c>
      <c r="G289" s="24" t="s">
        <v>28</v>
      </c>
      <c r="H289" s="30" t="s">
        <v>104</v>
      </c>
      <c r="I289" s="232">
        <f t="shared" ca="1" si="12"/>
        <v>31</v>
      </c>
      <c r="J289" s="232">
        <f t="shared" si="13"/>
        <v>1</v>
      </c>
      <c r="K289" s="233" t="str">
        <f t="shared" si="14"/>
        <v>On Time</v>
      </c>
    </row>
    <row r="290" spans="1:11">
      <c r="A290" s="24" t="s">
        <v>1351</v>
      </c>
      <c r="B290" s="24" t="s">
        <v>71</v>
      </c>
      <c r="C290" s="24" t="s">
        <v>24</v>
      </c>
      <c r="D290" s="30">
        <v>45724</v>
      </c>
      <c r="E290" s="30">
        <v>45731</v>
      </c>
      <c r="F290" s="24" t="s">
        <v>217</v>
      </c>
      <c r="G290" s="24" t="s">
        <v>76</v>
      </c>
      <c r="H290" s="30" t="s">
        <v>77</v>
      </c>
      <c r="I290" s="232">
        <f t="shared" ca="1" si="12"/>
        <v>50</v>
      </c>
      <c r="J290" s="232">
        <f t="shared" si="13"/>
        <v>7</v>
      </c>
      <c r="K290" s="233" t="str">
        <f t="shared" si="14"/>
        <v>Delayed</v>
      </c>
    </row>
    <row r="291" spans="1:11">
      <c r="A291" s="24" t="s">
        <v>1354</v>
      </c>
      <c r="B291" s="24" t="s">
        <v>71</v>
      </c>
      <c r="C291" s="24" t="s">
        <v>118</v>
      </c>
      <c r="D291" s="30">
        <v>46062</v>
      </c>
      <c r="E291" s="30">
        <v>46074</v>
      </c>
      <c r="F291" s="24" t="s">
        <v>217</v>
      </c>
      <c r="G291" s="24" t="s">
        <v>76</v>
      </c>
      <c r="H291" s="30" t="s">
        <v>77</v>
      </c>
      <c r="I291" s="232">
        <f t="shared" ca="1" si="12"/>
        <v>50</v>
      </c>
      <c r="J291" s="232">
        <f t="shared" si="13"/>
        <v>12</v>
      </c>
      <c r="K291" s="233" t="str">
        <f t="shared" si="14"/>
        <v>Delayed</v>
      </c>
    </row>
    <row r="292" spans="1:11">
      <c r="A292" s="24" t="s">
        <v>1357</v>
      </c>
      <c r="B292" s="24" t="s">
        <v>127</v>
      </c>
      <c r="C292" s="24" t="s">
        <v>92</v>
      </c>
      <c r="D292" s="30">
        <v>45733</v>
      </c>
      <c r="E292" s="30">
        <v>45739</v>
      </c>
      <c r="F292" s="24" t="s">
        <v>200</v>
      </c>
      <c r="G292" s="24" t="s">
        <v>76</v>
      </c>
      <c r="H292" s="30" t="s">
        <v>131</v>
      </c>
      <c r="I292" s="232">
        <f t="shared" ca="1" si="12"/>
        <v>44</v>
      </c>
      <c r="J292" s="232">
        <f t="shared" si="13"/>
        <v>6</v>
      </c>
      <c r="K292" s="233" t="str">
        <f t="shared" si="14"/>
        <v>Delayed</v>
      </c>
    </row>
    <row r="293" spans="1:11">
      <c r="A293" s="24" t="s">
        <v>1359</v>
      </c>
      <c r="B293" s="24" t="s">
        <v>327</v>
      </c>
      <c r="C293" s="24" t="s">
        <v>72</v>
      </c>
      <c r="D293" s="30">
        <v>45743</v>
      </c>
      <c r="E293" s="30">
        <v>45748</v>
      </c>
      <c r="F293" s="24" t="s">
        <v>394</v>
      </c>
      <c r="G293" s="24" t="s">
        <v>76</v>
      </c>
      <c r="H293" s="30" t="s">
        <v>331</v>
      </c>
      <c r="I293" s="232">
        <f t="shared" ca="1" si="12"/>
        <v>34</v>
      </c>
      <c r="J293" s="232">
        <f t="shared" si="13"/>
        <v>5</v>
      </c>
      <c r="K293" s="233" t="str">
        <f t="shared" si="14"/>
        <v>On Time</v>
      </c>
    </row>
    <row r="294" spans="1:11">
      <c r="A294" s="24" t="s">
        <v>1363</v>
      </c>
      <c r="B294" s="24" t="s">
        <v>53</v>
      </c>
      <c r="C294" s="24" t="s">
        <v>72</v>
      </c>
      <c r="D294" s="30">
        <v>45728</v>
      </c>
      <c r="E294" s="30">
        <v>45730</v>
      </c>
      <c r="F294" s="24" t="s">
        <v>163</v>
      </c>
      <c r="G294" s="24" t="s">
        <v>28</v>
      </c>
      <c r="H294" s="30" t="s">
        <v>58</v>
      </c>
      <c r="I294" s="232">
        <f t="shared" ca="1" si="12"/>
        <v>31</v>
      </c>
      <c r="J294" s="232">
        <f t="shared" si="13"/>
        <v>2</v>
      </c>
      <c r="K294" s="233" t="str">
        <f t="shared" si="14"/>
        <v>On Time</v>
      </c>
    </row>
    <row r="295" spans="1:11">
      <c r="A295" s="24" t="s">
        <v>1367</v>
      </c>
      <c r="B295" s="24" t="s">
        <v>23</v>
      </c>
      <c r="C295" s="24" t="s">
        <v>72</v>
      </c>
      <c r="D295" s="30">
        <v>46066</v>
      </c>
      <c r="E295" s="30">
        <v>46077</v>
      </c>
      <c r="F295" s="24" t="s">
        <v>27</v>
      </c>
      <c r="G295" s="24" t="s">
        <v>28</v>
      </c>
      <c r="H295" s="30" t="s">
        <v>29</v>
      </c>
      <c r="I295" s="232">
        <f t="shared" ca="1" si="12"/>
        <v>49</v>
      </c>
      <c r="J295" s="232">
        <f t="shared" si="13"/>
        <v>11</v>
      </c>
      <c r="K295" s="233" t="str">
        <f t="shared" si="14"/>
        <v>Delayed</v>
      </c>
    </row>
    <row r="296" spans="1:11">
      <c r="A296" s="24" t="s">
        <v>1372</v>
      </c>
      <c r="B296" s="24" t="s">
        <v>168</v>
      </c>
      <c r="C296" s="24" t="s">
        <v>222</v>
      </c>
      <c r="D296" s="30">
        <v>45699</v>
      </c>
      <c r="E296" s="30">
        <v>45702</v>
      </c>
      <c r="F296" s="24" t="s">
        <v>361</v>
      </c>
      <c r="G296" s="24" t="s">
        <v>28</v>
      </c>
      <c r="H296" s="30" t="s">
        <v>173</v>
      </c>
      <c r="I296" s="232">
        <f t="shared" ca="1" si="12"/>
        <v>24</v>
      </c>
      <c r="J296" s="232">
        <f t="shared" si="13"/>
        <v>3</v>
      </c>
      <c r="K296" s="233" t="str">
        <f t="shared" si="14"/>
        <v>On Time</v>
      </c>
    </row>
    <row r="297" spans="1:11">
      <c r="A297" s="24" t="s">
        <v>1377</v>
      </c>
      <c r="B297" s="24" t="s">
        <v>100</v>
      </c>
      <c r="C297" s="24" t="s">
        <v>118</v>
      </c>
      <c r="D297" s="30">
        <v>45674</v>
      </c>
      <c r="E297" s="30">
        <v>45684</v>
      </c>
      <c r="F297" s="24" t="s">
        <v>103</v>
      </c>
      <c r="G297" s="24" t="s">
        <v>28</v>
      </c>
      <c r="H297" s="30" t="s">
        <v>104</v>
      </c>
      <c r="I297" s="232">
        <f t="shared" ca="1" si="12"/>
        <v>31</v>
      </c>
      <c r="J297" s="232">
        <f t="shared" si="13"/>
        <v>10</v>
      </c>
      <c r="K297" s="233" t="str">
        <f t="shared" si="14"/>
        <v>Delayed</v>
      </c>
    </row>
    <row r="298" spans="1:11">
      <c r="A298" s="24" t="s">
        <v>1382</v>
      </c>
      <c r="B298" s="24" t="s">
        <v>327</v>
      </c>
      <c r="C298" s="24" t="s">
        <v>24</v>
      </c>
      <c r="D298" s="30">
        <v>45748</v>
      </c>
      <c r="E298" s="30">
        <v>45759</v>
      </c>
      <c r="F298" s="24" t="s">
        <v>394</v>
      </c>
      <c r="G298" s="24" t="s">
        <v>76</v>
      </c>
      <c r="H298" s="30" t="s">
        <v>331</v>
      </c>
      <c r="I298" s="232">
        <f t="shared" ca="1" si="12"/>
        <v>34</v>
      </c>
      <c r="J298" s="232">
        <f t="shared" si="13"/>
        <v>11</v>
      </c>
      <c r="K298" s="233" t="str">
        <f t="shared" si="14"/>
        <v>Delayed</v>
      </c>
    </row>
    <row r="299" spans="1:11">
      <c r="A299" s="24" t="s">
        <v>1385</v>
      </c>
      <c r="B299" s="24" t="s">
        <v>127</v>
      </c>
      <c r="C299" s="24" t="s">
        <v>54</v>
      </c>
      <c r="D299" s="30">
        <v>45670</v>
      </c>
      <c r="E299" s="30">
        <v>45673</v>
      </c>
      <c r="F299" s="24" t="s">
        <v>200</v>
      </c>
      <c r="G299" s="24" t="s">
        <v>76</v>
      </c>
      <c r="H299" s="30" t="s">
        <v>131</v>
      </c>
      <c r="I299" s="232">
        <f t="shared" ca="1" si="12"/>
        <v>44</v>
      </c>
      <c r="J299" s="232">
        <f t="shared" si="13"/>
        <v>3</v>
      </c>
      <c r="K299" s="233" t="str">
        <f t="shared" si="14"/>
        <v>On Time</v>
      </c>
    </row>
    <row r="300" spans="1:11">
      <c r="A300" s="24" t="s">
        <v>1388</v>
      </c>
      <c r="B300" s="24" t="s">
        <v>83</v>
      </c>
      <c r="C300" s="24" t="s">
        <v>92</v>
      </c>
      <c r="D300" s="30">
        <v>45935</v>
      </c>
      <c r="E300" s="30">
        <v>45947</v>
      </c>
      <c r="F300" s="24" t="s">
        <v>180</v>
      </c>
      <c r="G300" s="24" t="s">
        <v>76</v>
      </c>
      <c r="H300" s="30" t="s">
        <v>87</v>
      </c>
      <c r="I300" s="232">
        <f t="shared" ca="1" si="12"/>
        <v>38</v>
      </c>
      <c r="J300" s="232">
        <f t="shared" si="13"/>
        <v>12</v>
      </c>
      <c r="K300" s="233" t="str">
        <f t="shared" si="14"/>
        <v>Delayed</v>
      </c>
    </row>
    <row r="301" spans="1:11">
      <c r="A301" s="24" t="s">
        <v>1392</v>
      </c>
      <c r="B301" s="24" t="s">
        <v>71</v>
      </c>
      <c r="C301" s="24" t="s">
        <v>259</v>
      </c>
      <c r="D301" s="30">
        <v>46078</v>
      </c>
      <c r="E301" s="30">
        <v>46089</v>
      </c>
      <c r="F301" s="24" t="s">
        <v>217</v>
      </c>
      <c r="G301" s="24" t="s">
        <v>76</v>
      </c>
      <c r="H301" s="30" t="s">
        <v>77</v>
      </c>
      <c r="I301" s="232">
        <f t="shared" ca="1" si="12"/>
        <v>50</v>
      </c>
      <c r="J301" s="232">
        <f t="shared" si="13"/>
        <v>11</v>
      </c>
      <c r="K301" s="233" t="str">
        <f t="shared" si="14"/>
        <v>Delayed</v>
      </c>
    </row>
    <row r="302" spans="1:11">
      <c r="A302" s="24" t="s">
        <v>1395</v>
      </c>
      <c r="B302" s="24" t="s">
        <v>327</v>
      </c>
      <c r="C302" s="24" t="s">
        <v>259</v>
      </c>
      <c r="D302" s="30">
        <v>45793</v>
      </c>
      <c r="E302" s="30">
        <v>45803</v>
      </c>
      <c r="F302" s="24" t="s">
        <v>394</v>
      </c>
      <c r="G302" s="24" t="s">
        <v>76</v>
      </c>
      <c r="H302" s="30" t="s">
        <v>331</v>
      </c>
      <c r="I302" s="232">
        <f t="shared" ca="1" si="12"/>
        <v>34</v>
      </c>
      <c r="J302" s="232">
        <f t="shared" si="13"/>
        <v>10</v>
      </c>
      <c r="K302" s="233" t="str">
        <f t="shared" si="14"/>
        <v>Delayed</v>
      </c>
    </row>
    <row r="303" spans="1:11">
      <c r="A303" s="24" t="s">
        <v>1398</v>
      </c>
      <c r="B303" s="24" t="s">
        <v>127</v>
      </c>
      <c r="C303" s="24" t="s">
        <v>54</v>
      </c>
      <c r="D303" s="30">
        <v>46024</v>
      </c>
      <c r="E303" s="30">
        <v>46027</v>
      </c>
      <c r="F303" s="24" t="s">
        <v>200</v>
      </c>
      <c r="G303" s="24" t="s">
        <v>76</v>
      </c>
      <c r="H303" s="30" t="s">
        <v>131</v>
      </c>
      <c r="I303" s="232">
        <f t="shared" ca="1" si="12"/>
        <v>44</v>
      </c>
      <c r="J303" s="232">
        <f t="shared" si="13"/>
        <v>3</v>
      </c>
      <c r="K303" s="233" t="str">
        <f t="shared" si="14"/>
        <v>On Time</v>
      </c>
    </row>
    <row r="304" spans="1:11">
      <c r="A304" s="24" t="s">
        <v>1401</v>
      </c>
      <c r="B304" s="24" t="s">
        <v>251</v>
      </c>
      <c r="C304" s="24" t="s">
        <v>54</v>
      </c>
      <c r="D304" s="30">
        <v>45861</v>
      </c>
      <c r="E304" s="30">
        <v>45865</v>
      </c>
      <c r="F304" s="24" t="s">
        <v>254</v>
      </c>
      <c r="G304" s="24" t="s">
        <v>28</v>
      </c>
      <c r="H304" s="30" t="s">
        <v>255</v>
      </c>
      <c r="I304" s="232">
        <f t="shared" ca="1" si="12"/>
        <v>45</v>
      </c>
      <c r="J304" s="232">
        <f t="shared" si="13"/>
        <v>4</v>
      </c>
      <c r="K304" s="233" t="str">
        <f t="shared" si="14"/>
        <v>On Time</v>
      </c>
    </row>
    <row r="305" spans="1:11">
      <c r="A305" s="24" t="s">
        <v>1404</v>
      </c>
      <c r="B305" s="24" t="s">
        <v>23</v>
      </c>
      <c r="C305" s="24" t="s">
        <v>92</v>
      </c>
      <c r="D305" s="30">
        <v>46135</v>
      </c>
      <c r="E305" s="30">
        <v>46138</v>
      </c>
      <c r="F305" s="24" t="s">
        <v>27</v>
      </c>
      <c r="G305" s="24" t="s">
        <v>28</v>
      </c>
      <c r="H305" s="30" t="s">
        <v>29</v>
      </c>
      <c r="I305" s="232">
        <f t="shared" ca="1" si="12"/>
        <v>49</v>
      </c>
      <c r="J305" s="232">
        <f t="shared" si="13"/>
        <v>3</v>
      </c>
      <c r="K305" s="233" t="str">
        <f t="shared" si="14"/>
        <v>On Time</v>
      </c>
    </row>
    <row r="306" spans="1:11">
      <c r="A306" s="24" t="s">
        <v>1408</v>
      </c>
      <c r="B306" s="24" t="s">
        <v>221</v>
      </c>
      <c r="C306" s="24" t="s">
        <v>72</v>
      </c>
      <c r="D306" s="30">
        <v>45718</v>
      </c>
      <c r="E306" s="30">
        <v>45722</v>
      </c>
      <c r="F306" s="24" t="s">
        <v>225</v>
      </c>
      <c r="G306" s="24" t="s">
        <v>76</v>
      </c>
      <c r="H306" s="30" t="s">
        <v>226</v>
      </c>
      <c r="I306" s="232">
        <f t="shared" ca="1" si="12"/>
        <v>34</v>
      </c>
      <c r="J306" s="232">
        <f t="shared" si="13"/>
        <v>4</v>
      </c>
      <c r="K306" s="233" t="str">
        <f t="shared" si="14"/>
        <v>On Time</v>
      </c>
    </row>
    <row r="307" spans="1:11">
      <c r="A307" s="24" t="s">
        <v>1412</v>
      </c>
      <c r="B307" s="24" t="s">
        <v>23</v>
      </c>
      <c r="C307" s="24" t="s">
        <v>24</v>
      </c>
      <c r="D307" s="30">
        <v>46062</v>
      </c>
      <c r="E307" s="30">
        <v>46070</v>
      </c>
      <c r="F307" s="24" t="s">
        <v>27</v>
      </c>
      <c r="G307" s="24" t="s">
        <v>28</v>
      </c>
      <c r="H307" s="30" t="s">
        <v>29</v>
      </c>
      <c r="I307" s="232">
        <f t="shared" ca="1" si="12"/>
        <v>49</v>
      </c>
      <c r="J307" s="232">
        <f t="shared" si="13"/>
        <v>8</v>
      </c>
      <c r="K307" s="233" t="str">
        <f t="shared" si="14"/>
        <v>Delayed</v>
      </c>
    </row>
    <row r="308" spans="1:11">
      <c r="A308" s="24" t="s">
        <v>1415</v>
      </c>
      <c r="B308" s="24" t="s">
        <v>251</v>
      </c>
      <c r="C308" s="24" t="s">
        <v>184</v>
      </c>
      <c r="D308" s="30">
        <v>45704</v>
      </c>
      <c r="E308" s="30">
        <v>45714</v>
      </c>
      <c r="F308" s="24" t="s">
        <v>254</v>
      </c>
      <c r="G308" s="24" t="s">
        <v>28</v>
      </c>
      <c r="H308" s="30" t="s">
        <v>255</v>
      </c>
      <c r="I308" s="232">
        <f t="shared" ca="1" si="12"/>
        <v>45</v>
      </c>
      <c r="J308" s="232">
        <f t="shared" si="13"/>
        <v>10</v>
      </c>
      <c r="K308" s="233" t="str">
        <f t="shared" si="14"/>
        <v>Delayed</v>
      </c>
    </row>
    <row r="309" spans="1:11">
      <c r="A309" s="24" t="s">
        <v>1417</v>
      </c>
      <c r="B309" s="24" t="s">
        <v>251</v>
      </c>
      <c r="C309" s="24" t="s">
        <v>169</v>
      </c>
      <c r="D309" s="30">
        <v>45897</v>
      </c>
      <c r="E309" s="30">
        <v>45908</v>
      </c>
      <c r="F309" s="24" t="s">
        <v>254</v>
      </c>
      <c r="G309" s="24" t="s">
        <v>28</v>
      </c>
      <c r="H309" s="30" t="s">
        <v>255</v>
      </c>
      <c r="I309" s="232">
        <f t="shared" ca="1" si="12"/>
        <v>45</v>
      </c>
      <c r="J309" s="232">
        <f t="shared" si="13"/>
        <v>11</v>
      </c>
      <c r="K309" s="233" t="str">
        <f t="shared" si="14"/>
        <v>Delayed</v>
      </c>
    </row>
    <row r="310" spans="1:11">
      <c r="A310" s="24" t="s">
        <v>1419</v>
      </c>
      <c r="B310" s="24" t="s">
        <v>53</v>
      </c>
      <c r="C310" s="24" t="s">
        <v>92</v>
      </c>
      <c r="D310" s="30">
        <v>45936</v>
      </c>
      <c r="E310" s="30">
        <v>45941</v>
      </c>
      <c r="F310" s="24" t="s">
        <v>163</v>
      </c>
      <c r="G310" s="24" t="s">
        <v>28</v>
      </c>
      <c r="H310" s="30" t="s">
        <v>58</v>
      </c>
      <c r="I310" s="232">
        <f t="shared" ca="1" si="12"/>
        <v>31</v>
      </c>
      <c r="J310" s="232">
        <f t="shared" si="13"/>
        <v>5</v>
      </c>
      <c r="K310" s="233" t="str">
        <f t="shared" si="14"/>
        <v>On Time</v>
      </c>
    </row>
    <row r="311" spans="1:11">
      <c r="A311" s="24" t="s">
        <v>1422</v>
      </c>
      <c r="B311" s="24" t="s">
        <v>71</v>
      </c>
      <c r="C311" s="24" t="s">
        <v>40</v>
      </c>
      <c r="D311" s="30">
        <v>45674</v>
      </c>
      <c r="E311" s="30">
        <v>45686</v>
      </c>
      <c r="F311" s="24" t="s">
        <v>217</v>
      </c>
      <c r="G311" s="24" t="s">
        <v>76</v>
      </c>
      <c r="H311" s="30" t="s">
        <v>77</v>
      </c>
      <c r="I311" s="232">
        <f t="shared" ca="1" si="12"/>
        <v>50</v>
      </c>
      <c r="J311" s="232">
        <f t="shared" si="13"/>
        <v>12</v>
      </c>
      <c r="K311" s="233" t="str">
        <f t="shared" si="14"/>
        <v>Delayed</v>
      </c>
    </row>
    <row r="312" spans="1:11">
      <c r="A312" s="24" t="s">
        <v>1425</v>
      </c>
      <c r="B312" s="24" t="s">
        <v>221</v>
      </c>
      <c r="C312" s="24" t="s">
        <v>222</v>
      </c>
      <c r="D312" s="30">
        <v>45943</v>
      </c>
      <c r="E312" s="30">
        <v>45946</v>
      </c>
      <c r="F312" s="24" t="s">
        <v>225</v>
      </c>
      <c r="G312" s="24" t="s">
        <v>76</v>
      </c>
      <c r="H312" s="30" t="s">
        <v>226</v>
      </c>
      <c r="I312" s="232">
        <f t="shared" ca="1" si="12"/>
        <v>34</v>
      </c>
      <c r="J312" s="232">
        <f t="shared" si="13"/>
        <v>3</v>
      </c>
      <c r="K312" s="233" t="str">
        <f t="shared" si="14"/>
        <v>On Time</v>
      </c>
    </row>
    <row r="313" spans="1:11">
      <c r="A313" s="24" t="s">
        <v>1429</v>
      </c>
      <c r="B313" s="24" t="s">
        <v>100</v>
      </c>
      <c r="C313" s="24" t="s">
        <v>40</v>
      </c>
      <c r="D313" s="30">
        <v>46138</v>
      </c>
      <c r="E313" s="30">
        <v>46140</v>
      </c>
      <c r="F313" s="24" t="s">
        <v>103</v>
      </c>
      <c r="G313" s="24" t="s">
        <v>28</v>
      </c>
      <c r="H313" s="30" t="s">
        <v>104</v>
      </c>
      <c r="I313" s="232">
        <f t="shared" ca="1" si="12"/>
        <v>31</v>
      </c>
      <c r="J313" s="232">
        <f t="shared" si="13"/>
        <v>2</v>
      </c>
      <c r="K313" s="233" t="str">
        <f t="shared" si="14"/>
        <v>On Time</v>
      </c>
    </row>
    <row r="314" spans="1:11">
      <c r="A314" s="24" t="s">
        <v>1433</v>
      </c>
      <c r="B314" s="24" t="s">
        <v>53</v>
      </c>
      <c r="C314" s="24" t="s">
        <v>118</v>
      </c>
      <c r="D314" s="30">
        <v>46105</v>
      </c>
      <c r="E314" s="30">
        <v>46116</v>
      </c>
      <c r="F314" s="24" t="s">
        <v>163</v>
      </c>
      <c r="G314" s="24" t="s">
        <v>28</v>
      </c>
      <c r="H314" s="30" t="s">
        <v>58</v>
      </c>
      <c r="I314" s="232">
        <f t="shared" ca="1" si="12"/>
        <v>31</v>
      </c>
      <c r="J314" s="232">
        <f t="shared" si="13"/>
        <v>11</v>
      </c>
      <c r="K314" s="233" t="str">
        <f t="shared" si="14"/>
        <v>Delayed</v>
      </c>
    </row>
    <row r="315" spans="1:11">
      <c r="A315" s="24" t="s">
        <v>1436</v>
      </c>
      <c r="B315" s="24" t="s">
        <v>71</v>
      </c>
      <c r="C315" s="24" t="s">
        <v>54</v>
      </c>
      <c r="D315" s="30">
        <v>45785</v>
      </c>
      <c r="E315" s="30">
        <v>45796</v>
      </c>
      <c r="F315" s="24" t="s">
        <v>217</v>
      </c>
      <c r="G315" s="24" t="s">
        <v>76</v>
      </c>
      <c r="H315" s="30" t="s">
        <v>77</v>
      </c>
      <c r="I315" s="232">
        <f t="shared" ca="1" si="12"/>
        <v>50</v>
      </c>
      <c r="J315" s="232">
        <f t="shared" si="13"/>
        <v>11</v>
      </c>
      <c r="K315" s="233" t="str">
        <f t="shared" si="14"/>
        <v>Delayed</v>
      </c>
    </row>
    <row r="316" spans="1:11">
      <c r="A316" s="24" t="s">
        <v>1440</v>
      </c>
      <c r="B316" s="24" t="s">
        <v>100</v>
      </c>
      <c r="C316" s="24" t="s">
        <v>72</v>
      </c>
      <c r="D316" s="30">
        <v>46088</v>
      </c>
      <c r="E316" s="30">
        <v>46091</v>
      </c>
      <c r="F316" s="24" t="s">
        <v>103</v>
      </c>
      <c r="G316" s="24" t="s">
        <v>28</v>
      </c>
      <c r="H316" s="30" t="s">
        <v>104</v>
      </c>
      <c r="I316" s="232">
        <f t="shared" ca="1" si="12"/>
        <v>31</v>
      </c>
      <c r="J316" s="232">
        <f t="shared" si="13"/>
        <v>3</v>
      </c>
      <c r="K316" s="233" t="str">
        <f t="shared" si="14"/>
        <v>On Time</v>
      </c>
    </row>
    <row r="317" spans="1:11">
      <c r="A317" s="24" t="s">
        <v>1443</v>
      </c>
      <c r="B317" s="24" t="s">
        <v>83</v>
      </c>
      <c r="C317" s="24" t="s">
        <v>40</v>
      </c>
      <c r="D317" s="30">
        <v>46017</v>
      </c>
      <c r="E317" s="30">
        <v>46021</v>
      </c>
      <c r="F317" s="24" t="s">
        <v>180</v>
      </c>
      <c r="G317" s="24" t="s">
        <v>76</v>
      </c>
      <c r="H317" s="30" t="s">
        <v>87</v>
      </c>
      <c r="I317" s="232">
        <f t="shared" ca="1" si="12"/>
        <v>38</v>
      </c>
      <c r="J317" s="232">
        <f t="shared" si="13"/>
        <v>4</v>
      </c>
      <c r="K317" s="233" t="str">
        <f t="shared" si="14"/>
        <v>On Time</v>
      </c>
    </row>
    <row r="318" spans="1:11">
      <c r="A318" s="24" t="s">
        <v>1447</v>
      </c>
      <c r="B318" s="24" t="s">
        <v>83</v>
      </c>
      <c r="C318" s="24" t="s">
        <v>222</v>
      </c>
      <c r="D318" s="30">
        <v>46131</v>
      </c>
      <c r="E318" s="30">
        <v>46137</v>
      </c>
      <c r="F318" s="24" t="s">
        <v>180</v>
      </c>
      <c r="G318" s="24" t="s">
        <v>76</v>
      </c>
      <c r="H318" s="30" t="s">
        <v>87</v>
      </c>
      <c r="I318" s="232">
        <f t="shared" ca="1" si="12"/>
        <v>38</v>
      </c>
      <c r="J318" s="232">
        <f t="shared" si="13"/>
        <v>6</v>
      </c>
      <c r="K318" s="233" t="str">
        <f t="shared" si="14"/>
        <v>Delayed</v>
      </c>
    </row>
    <row r="319" spans="1:11">
      <c r="A319" s="24" t="s">
        <v>1450</v>
      </c>
      <c r="B319" s="24" t="s">
        <v>168</v>
      </c>
      <c r="C319" s="24" t="s">
        <v>24</v>
      </c>
      <c r="D319" s="30">
        <v>45966</v>
      </c>
      <c r="E319" s="30">
        <v>45969</v>
      </c>
      <c r="F319" s="24" t="s">
        <v>361</v>
      </c>
      <c r="G319" s="24" t="s">
        <v>28</v>
      </c>
      <c r="H319" s="30" t="s">
        <v>173</v>
      </c>
      <c r="I319" s="232">
        <f t="shared" ca="1" si="12"/>
        <v>24</v>
      </c>
      <c r="J319" s="232">
        <f t="shared" si="13"/>
        <v>3</v>
      </c>
      <c r="K319" s="233" t="str">
        <f t="shared" si="14"/>
        <v>On Time</v>
      </c>
    </row>
    <row r="320" spans="1:11">
      <c r="A320" s="24" t="s">
        <v>1454</v>
      </c>
      <c r="B320" s="24" t="s">
        <v>100</v>
      </c>
      <c r="C320" s="24" t="s">
        <v>118</v>
      </c>
      <c r="D320" s="30">
        <v>46077</v>
      </c>
      <c r="E320" s="30">
        <v>46081</v>
      </c>
      <c r="F320" s="24" t="s">
        <v>103</v>
      </c>
      <c r="G320" s="24" t="s">
        <v>28</v>
      </c>
      <c r="H320" s="30" t="s">
        <v>104</v>
      </c>
      <c r="I320" s="232">
        <f t="shared" ca="1" si="12"/>
        <v>31</v>
      </c>
      <c r="J320" s="232">
        <f t="shared" si="13"/>
        <v>4</v>
      </c>
      <c r="K320" s="233" t="str">
        <f t="shared" si="14"/>
        <v>On Time</v>
      </c>
    </row>
    <row r="321" spans="1:11">
      <c r="A321" s="24" t="s">
        <v>1457</v>
      </c>
      <c r="B321" s="24" t="s">
        <v>221</v>
      </c>
      <c r="C321" s="24" t="s">
        <v>259</v>
      </c>
      <c r="D321" s="30">
        <v>45739</v>
      </c>
      <c r="E321" s="30">
        <v>45741</v>
      </c>
      <c r="F321" s="24" t="s">
        <v>225</v>
      </c>
      <c r="G321" s="24" t="s">
        <v>76</v>
      </c>
      <c r="H321" s="30" t="s">
        <v>226</v>
      </c>
      <c r="I321" s="232">
        <f t="shared" ca="1" si="12"/>
        <v>34</v>
      </c>
      <c r="J321" s="232">
        <f t="shared" si="13"/>
        <v>2</v>
      </c>
      <c r="K321" s="233" t="str">
        <f t="shared" si="14"/>
        <v>On Time</v>
      </c>
    </row>
    <row r="322" spans="1:11">
      <c r="A322" s="24" t="s">
        <v>1460</v>
      </c>
      <c r="B322" s="24" t="s">
        <v>327</v>
      </c>
      <c r="C322" s="24" t="s">
        <v>184</v>
      </c>
      <c r="D322" s="30">
        <v>45715</v>
      </c>
      <c r="E322" s="30">
        <v>45726</v>
      </c>
      <c r="F322" s="24" t="s">
        <v>394</v>
      </c>
      <c r="G322" s="24" t="s">
        <v>76</v>
      </c>
      <c r="H322" s="30" t="s">
        <v>331</v>
      </c>
      <c r="I322" s="232">
        <f t="shared" ca="1" si="12"/>
        <v>34</v>
      </c>
      <c r="J322" s="232">
        <f t="shared" si="13"/>
        <v>11</v>
      </c>
      <c r="K322" s="233" t="str">
        <f t="shared" si="14"/>
        <v>Delayed</v>
      </c>
    </row>
    <row r="323" spans="1:11">
      <c r="A323" s="24" t="s">
        <v>1464</v>
      </c>
      <c r="B323" s="24" t="s">
        <v>83</v>
      </c>
      <c r="C323" s="24" t="s">
        <v>72</v>
      </c>
      <c r="D323" s="30">
        <v>45811</v>
      </c>
      <c r="E323" s="30">
        <v>45822</v>
      </c>
      <c r="F323" s="24" t="s">
        <v>180</v>
      </c>
      <c r="G323" s="24" t="s">
        <v>76</v>
      </c>
      <c r="H323" s="30" t="s">
        <v>87</v>
      </c>
      <c r="I323" s="232">
        <f t="shared" ref="I323:I386" ca="1" si="15">DATEDIF(H323, TODAY(), "Y")</f>
        <v>38</v>
      </c>
      <c r="J323" s="232">
        <f t="shared" ref="J323:J386" si="16">IFERROR(IF(OR(E323="", D323="", LOWER(TRIM(E323))="pending", LOWER(TRIM(D323))="pending"), "Pending", E323 - D323), "Pending")</f>
        <v>11</v>
      </c>
      <c r="K323" s="233" t="str">
        <f t="shared" ref="K323:K386" si="17">IFERROR(IF(OR(E323="", D323="","Pending","Pending"), "Pending", IF((E323 - D323) &lt;= 5, "On Time", "Delayed")), "Pending")</f>
        <v>Delayed</v>
      </c>
    </row>
    <row r="324" spans="1:11">
      <c r="A324" s="24" t="s">
        <v>1468</v>
      </c>
      <c r="B324" s="24" t="s">
        <v>23</v>
      </c>
      <c r="C324" s="24" t="s">
        <v>72</v>
      </c>
      <c r="D324" s="30">
        <v>45845</v>
      </c>
      <c r="E324" s="30">
        <v>45854</v>
      </c>
      <c r="F324" s="24" t="s">
        <v>27</v>
      </c>
      <c r="G324" s="24" t="s">
        <v>28</v>
      </c>
      <c r="H324" s="30" t="s">
        <v>29</v>
      </c>
      <c r="I324" s="232">
        <f t="shared" ca="1" si="15"/>
        <v>49</v>
      </c>
      <c r="J324" s="232">
        <f t="shared" si="16"/>
        <v>9</v>
      </c>
      <c r="K324" s="233" t="str">
        <f t="shared" si="17"/>
        <v>Delayed</v>
      </c>
    </row>
    <row r="325" spans="1:11">
      <c r="A325" s="24" t="s">
        <v>1471</v>
      </c>
      <c r="B325" s="24" t="s">
        <v>251</v>
      </c>
      <c r="C325" s="24" t="s">
        <v>222</v>
      </c>
      <c r="D325" s="30">
        <v>46132</v>
      </c>
      <c r="E325" s="30">
        <v>46133</v>
      </c>
      <c r="F325" s="24" t="s">
        <v>254</v>
      </c>
      <c r="G325" s="24" t="s">
        <v>28</v>
      </c>
      <c r="H325" s="30" t="s">
        <v>255</v>
      </c>
      <c r="I325" s="232">
        <f t="shared" ca="1" si="15"/>
        <v>45</v>
      </c>
      <c r="J325" s="232">
        <f t="shared" si="16"/>
        <v>1</v>
      </c>
      <c r="K325" s="233" t="str">
        <f t="shared" si="17"/>
        <v>On Time</v>
      </c>
    </row>
    <row r="326" spans="1:11">
      <c r="A326" s="24" t="s">
        <v>1474</v>
      </c>
      <c r="B326" s="24" t="s">
        <v>251</v>
      </c>
      <c r="C326" s="24" t="s">
        <v>24</v>
      </c>
      <c r="D326" s="30">
        <v>46001</v>
      </c>
      <c r="E326" s="30">
        <v>46012</v>
      </c>
      <c r="F326" s="24" t="s">
        <v>254</v>
      </c>
      <c r="G326" s="24" t="s">
        <v>28</v>
      </c>
      <c r="H326" s="30" t="s">
        <v>255</v>
      </c>
      <c r="I326" s="232">
        <f t="shared" ca="1" si="15"/>
        <v>45</v>
      </c>
      <c r="J326" s="232">
        <f t="shared" si="16"/>
        <v>11</v>
      </c>
      <c r="K326" s="233" t="str">
        <f t="shared" si="17"/>
        <v>Delayed</v>
      </c>
    </row>
    <row r="327" spans="1:11">
      <c r="A327" s="24" t="s">
        <v>1479</v>
      </c>
      <c r="B327" s="24" t="s">
        <v>251</v>
      </c>
      <c r="C327" s="24" t="s">
        <v>184</v>
      </c>
      <c r="D327" s="30">
        <v>46089</v>
      </c>
      <c r="E327" s="30">
        <v>46093</v>
      </c>
      <c r="F327" s="24" t="s">
        <v>254</v>
      </c>
      <c r="G327" s="24" t="s">
        <v>28</v>
      </c>
      <c r="H327" s="30" t="s">
        <v>255</v>
      </c>
      <c r="I327" s="232">
        <f t="shared" ca="1" si="15"/>
        <v>45</v>
      </c>
      <c r="J327" s="232">
        <f t="shared" si="16"/>
        <v>4</v>
      </c>
      <c r="K327" s="233" t="str">
        <f t="shared" si="17"/>
        <v>On Time</v>
      </c>
    </row>
    <row r="328" spans="1:11">
      <c r="A328" s="24" t="s">
        <v>1483</v>
      </c>
      <c r="B328" s="24" t="s">
        <v>83</v>
      </c>
      <c r="C328" s="24" t="s">
        <v>184</v>
      </c>
      <c r="D328" s="30">
        <v>45986</v>
      </c>
      <c r="E328" s="30">
        <v>45989</v>
      </c>
      <c r="F328" s="24" t="s">
        <v>180</v>
      </c>
      <c r="G328" s="24" t="s">
        <v>76</v>
      </c>
      <c r="H328" s="30" t="s">
        <v>87</v>
      </c>
      <c r="I328" s="232">
        <f t="shared" ca="1" si="15"/>
        <v>38</v>
      </c>
      <c r="J328" s="232">
        <f t="shared" si="16"/>
        <v>3</v>
      </c>
      <c r="K328" s="233" t="str">
        <f t="shared" si="17"/>
        <v>On Time</v>
      </c>
    </row>
    <row r="329" spans="1:11">
      <c r="A329" s="24" t="s">
        <v>1488</v>
      </c>
      <c r="B329" s="24" t="s">
        <v>221</v>
      </c>
      <c r="C329" s="24" t="s">
        <v>92</v>
      </c>
      <c r="D329" s="30">
        <v>45827</v>
      </c>
      <c r="E329" s="30">
        <v>45836</v>
      </c>
      <c r="F329" s="24" t="s">
        <v>225</v>
      </c>
      <c r="G329" s="24" t="s">
        <v>76</v>
      </c>
      <c r="H329" s="30" t="s">
        <v>226</v>
      </c>
      <c r="I329" s="232">
        <f t="shared" ca="1" si="15"/>
        <v>34</v>
      </c>
      <c r="J329" s="232">
        <f t="shared" si="16"/>
        <v>9</v>
      </c>
      <c r="K329" s="233" t="str">
        <f t="shared" si="17"/>
        <v>Delayed</v>
      </c>
    </row>
    <row r="330" spans="1:11">
      <c r="A330" s="24" t="s">
        <v>1491</v>
      </c>
      <c r="B330" s="24" t="s">
        <v>168</v>
      </c>
      <c r="C330" s="24" t="s">
        <v>92</v>
      </c>
      <c r="D330" s="30">
        <v>45860</v>
      </c>
      <c r="E330" s="30">
        <v>45870</v>
      </c>
      <c r="F330" s="24" t="s">
        <v>361</v>
      </c>
      <c r="G330" s="24" t="s">
        <v>28</v>
      </c>
      <c r="H330" s="30" t="s">
        <v>173</v>
      </c>
      <c r="I330" s="232">
        <f t="shared" ca="1" si="15"/>
        <v>24</v>
      </c>
      <c r="J330" s="232">
        <f t="shared" si="16"/>
        <v>10</v>
      </c>
      <c r="K330" s="233" t="str">
        <f t="shared" si="17"/>
        <v>Delayed</v>
      </c>
    </row>
    <row r="331" spans="1:11">
      <c r="A331" s="24" t="s">
        <v>1494</v>
      </c>
      <c r="B331" s="24" t="s">
        <v>127</v>
      </c>
      <c r="C331" s="24" t="s">
        <v>184</v>
      </c>
      <c r="D331" s="30">
        <v>45959</v>
      </c>
      <c r="E331" s="30">
        <v>45960</v>
      </c>
      <c r="F331" s="24" t="s">
        <v>200</v>
      </c>
      <c r="G331" s="24" t="s">
        <v>76</v>
      </c>
      <c r="H331" s="30" t="s">
        <v>131</v>
      </c>
      <c r="I331" s="232">
        <f t="shared" ca="1" si="15"/>
        <v>44</v>
      </c>
      <c r="J331" s="232">
        <f t="shared" si="16"/>
        <v>1</v>
      </c>
      <c r="K331" s="233" t="str">
        <f t="shared" si="17"/>
        <v>On Time</v>
      </c>
    </row>
    <row r="332" spans="1:11">
      <c r="A332" s="24" t="s">
        <v>1497</v>
      </c>
      <c r="B332" s="24" t="s">
        <v>53</v>
      </c>
      <c r="C332" s="24" t="s">
        <v>72</v>
      </c>
      <c r="D332" s="30">
        <v>46086</v>
      </c>
      <c r="E332" s="30">
        <v>46091</v>
      </c>
      <c r="F332" s="24" t="s">
        <v>163</v>
      </c>
      <c r="G332" s="24" t="s">
        <v>28</v>
      </c>
      <c r="H332" s="30" t="s">
        <v>58</v>
      </c>
      <c r="I332" s="232">
        <f t="shared" ca="1" si="15"/>
        <v>31</v>
      </c>
      <c r="J332" s="232">
        <f t="shared" si="16"/>
        <v>5</v>
      </c>
      <c r="K332" s="233" t="str">
        <f t="shared" si="17"/>
        <v>On Time</v>
      </c>
    </row>
    <row r="333" spans="1:11">
      <c r="A333" s="24" t="s">
        <v>1500</v>
      </c>
      <c r="B333" s="24" t="s">
        <v>327</v>
      </c>
      <c r="C333" s="24" t="s">
        <v>40</v>
      </c>
      <c r="D333" s="30">
        <v>45895</v>
      </c>
      <c r="E333" s="30">
        <v>45907</v>
      </c>
      <c r="F333" s="24" t="s">
        <v>394</v>
      </c>
      <c r="G333" s="24" t="s">
        <v>76</v>
      </c>
      <c r="H333" s="30" t="s">
        <v>331</v>
      </c>
      <c r="I333" s="232">
        <f t="shared" ca="1" si="15"/>
        <v>34</v>
      </c>
      <c r="J333" s="232">
        <f t="shared" si="16"/>
        <v>12</v>
      </c>
      <c r="K333" s="233" t="str">
        <f t="shared" si="17"/>
        <v>Delayed</v>
      </c>
    </row>
    <row r="334" spans="1:11">
      <c r="A334" s="24" t="s">
        <v>1505</v>
      </c>
      <c r="B334" s="24" t="s">
        <v>53</v>
      </c>
      <c r="C334" s="24" t="s">
        <v>259</v>
      </c>
      <c r="D334" s="30">
        <v>45752</v>
      </c>
      <c r="E334" s="30">
        <v>45755</v>
      </c>
      <c r="F334" s="24" t="s">
        <v>163</v>
      </c>
      <c r="G334" s="24" t="s">
        <v>28</v>
      </c>
      <c r="H334" s="30" t="s">
        <v>58</v>
      </c>
      <c r="I334" s="232">
        <f t="shared" ca="1" si="15"/>
        <v>31</v>
      </c>
      <c r="J334" s="232">
        <f t="shared" si="16"/>
        <v>3</v>
      </c>
      <c r="K334" s="233" t="str">
        <f t="shared" si="17"/>
        <v>On Time</v>
      </c>
    </row>
    <row r="335" spans="1:11">
      <c r="A335" s="24" t="s">
        <v>1510</v>
      </c>
      <c r="B335" s="24" t="s">
        <v>23</v>
      </c>
      <c r="C335" s="24" t="s">
        <v>92</v>
      </c>
      <c r="D335" s="30">
        <v>45756</v>
      </c>
      <c r="E335" s="30">
        <v>45761</v>
      </c>
      <c r="F335" s="24" t="s">
        <v>27</v>
      </c>
      <c r="G335" s="24" t="s">
        <v>28</v>
      </c>
      <c r="H335" s="30" t="s">
        <v>29</v>
      </c>
      <c r="I335" s="232">
        <f t="shared" ca="1" si="15"/>
        <v>49</v>
      </c>
      <c r="J335" s="232">
        <f t="shared" si="16"/>
        <v>5</v>
      </c>
      <c r="K335" s="233" t="str">
        <f t="shared" si="17"/>
        <v>On Time</v>
      </c>
    </row>
    <row r="336" spans="1:11">
      <c r="A336" s="24" t="s">
        <v>1513</v>
      </c>
      <c r="B336" s="24" t="s">
        <v>23</v>
      </c>
      <c r="C336" s="24" t="s">
        <v>24</v>
      </c>
      <c r="D336" s="30">
        <v>46155</v>
      </c>
      <c r="E336" s="30">
        <v>46158</v>
      </c>
      <c r="F336" s="24" t="s">
        <v>27</v>
      </c>
      <c r="G336" s="24" t="s">
        <v>28</v>
      </c>
      <c r="H336" s="30" t="s">
        <v>29</v>
      </c>
      <c r="I336" s="232">
        <f t="shared" ca="1" si="15"/>
        <v>49</v>
      </c>
      <c r="J336" s="232">
        <f t="shared" si="16"/>
        <v>3</v>
      </c>
      <c r="K336" s="233" t="str">
        <f t="shared" si="17"/>
        <v>On Time</v>
      </c>
    </row>
    <row r="337" spans="1:11">
      <c r="A337" s="24" t="s">
        <v>1516</v>
      </c>
      <c r="B337" s="24" t="s">
        <v>100</v>
      </c>
      <c r="C337" s="24" t="s">
        <v>222</v>
      </c>
      <c r="D337" s="30">
        <v>45995</v>
      </c>
      <c r="E337" s="30">
        <v>46003</v>
      </c>
      <c r="F337" s="24" t="s">
        <v>103</v>
      </c>
      <c r="G337" s="24" t="s">
        <v>28</v>
      </c>
      <c r="H337" s="30" t="s">
        <v>104</v>
      </c>
      <c r="I337" s="232">
        <f t="shared" ca="1" si="15"/>
        <v>31</v>
      </c>
      <c r="J337" s="232">
        <f t="shared" si="16"/>
        <v>8</v>
      </c>
      <c r="K337" s="233" t="str">
        <f t="shared" si="17"/>
        <v>Delayed</v>
      </c>
    </row>
    <row r="338" spans="1:11">
      <c r="A338" s="24" t="s">
        <v>1519</v>
      </c>
      <c r="B338" s="24" t="s">
        <v>127</v>
      </c>
      <c r="C338" s="24" t="s">
        <v>222</v>
      </c>
      <c r="D338" s="30">
        <v>46089</v>
      </c>
      <c r="E338" s="30">
        <v>46091</v>
      </c>
      <c r="F338" s="24" t="s">
        <v>200</v>
      </c>
      <c r="G338" s="24" t="s">
        <v>76</v>
      </c>
      <c r="H338" s="30" t="s">
        <v>131</v>
      </c>
      <c r="I338" s="232">
        <f t="shared" ca="1" si="15"/>
        <v>44</v>
      </c>
      <c r="J338" s="232">
        <f t="shared" si="16"/>
        <v>2</v>
      </c>
      <c r="K338" s="233" t="str">
        <f t="shared" si="17"/>
        <v>On Time</v>
      </c>
    </row>
    <row r="339" spans="1:11">
      <c r="A339" s="24" t="s">
        <v>1522</v>
      </c>
      <c r="B339" s="24" t="s">
        <v>23</v>
      </c>
      <c r="C339" s="24" t="s">
        <v>184</v>
      </c>
      <c r="D339" s="30">
        <v>46027</v>
      </c>
      <c r="E339" s="30">
        <v>46038</v>
      </c>
      <c r="F339" s="24" t="s">
        <v>27</v>
      </c>
      <c r="G339" s="24" t="s">
        <v>28</v>
      </c>
      <c r="H339" s="30" t="s">
        <v>29</v>
      </c>
      <c r="I339" s="232">
        <f t="shared" ca="1" si="15"/>
        <v>49</v>
      </c>
      <c r="J339" s="232">
        <f t="shared" si="16"/>
        <v>11</v>
      </c>
      <c r="K339" s="233" t="str">
        <f t="shared" si="17"/>
        <v>Delayed</v>
      </c>
    </row>
    <row r="340" spans="1:11">
      <c r="A340" s="24" t="s">
        <v>1525</v>
      </c>
      <c r="B340" s="24" t="s">
        <v>327</v>
      </c>
      <c r="C340" s="24" t="s">
        <v>92</v>
      </c>
      <c r="D340" s="30">
        <v>45695</v>
      </c>
      <c r="E340" s="30">
        <v>45698</v>
      </c>
      <c r="F340" s="24" t="s">
        <v>394</v>
      </c>
      <c r="G340" s="24" t="s">
        <v>76</v>
      </c>
      <c r="H340" s="30" t="s">
        <v>331</v>
      </c>
      <c r="I340" s="232">
        <f t="shared" ca="1" si="15"/>
        <v>34</v>
      </c>
      <c r="J340" s="232">
        <f t="shared" si="16"/>
        <v>3</v>
      </c>
      <c r="K340" s="233" t="str">
        <f t="shared" si="17"/>
        <v>On Time</v>
      </c>
    </row>
    <row r="341" spans="1:11">
      <c r="A341" s="24" t="s">
        <v>1529</v>
      </c>
      <c r="B341" s="24" t="s">
        <v>23</v>
      </c>
      <c r="C341" s="24" t="s">
        <v>118</v>
      </c>
      <c r="D341" s="30">
        <v>45866</v>
      </c>
      <c r="E341" s="30">
        <v>45876</v>
      </c>
      <c r="F341" s="24" t="s">
        <v>27</v>
      </c>
      <c r="G341" s="24" t="s">
        <v>28</v>
      </c>
      <c r="H341" s="30" t="s">
        <v>29</v>
      </c>
      <c r="I341" s="232">
        <f t="shared" ca="1" si="15"/>
        <v>49</v>
      </c>
      <c r="J341" s="232">
        <f t="shared" si="16"/>
        <v>10</v>
      </c>
      <c r="K341" s="233" t="str">
        <f t="shared" si="17"/>
        <v>Delayed</v>
      </c>
    </row>
    <row r="342" spans="1:11">
      <c r="A342" s="24" t="s">
        <v>1533</v>
      </c>
      <c r="B342" s="24" t="s">
        <v>127</v>
      </c>
      <c r="C342" s="24" t="s">
        <v>259</v>
      </c>
      <c r="D342" s="30">
        <v>45945</v>
      </c>
      <c r="E342" s="30">
        <v>45951</v>
      </c>
      <c r="F342" s="24" t="s">
        <v>200</v>
      </c>
      <c r="G342" s="24" t="s">
        <v>76</v>
      </c>
      <c r="H342" s="30" t="s">
        <v>131</v>
      </c>
      <c r="I342" s="232">
        <f t="shared" ca="1" si="15"/>
        <v>44</v>
      </c>
      <c r="J342" s="232">
        <f t="shared" si="16"/>
        <v>6</v>
      </c>
      <c r="K342" s="233" t="str">
        <f t="shared" si="17"/>
        <v>Delayed</v>
      </c>
    </row>
    <row r="343" spans="1:11">
      <c r="A343" s="24" t="s">
        <v>1536</v>
      </c>
      <c r="B343" s="24" t="s">
        <v>168</v>
      </c>
      <c r="C343" s="24" t="s">
        <v>118</v>
      </c>
      <c r="D343" s="30">
        <v>45997</v>
      </c>
      <c r="E343" s="30">
        <v>46006</v>
      </c>
      <c r="F343" s="24" t="s">
        <v>361</v>
      </c>
      <c r="G343" s="24" t="s">
        <v>28</v>
      </c>
      <c r="H343" s="30" t="s">
        <v>173</v>
      </c>
      <c r="I343" s="232">
        <f t="shared" ca="1" si="15"/>
        <v>24</v>
      </c>
      <c r="J343" s="232">
        <f t="shared" si="16"/>
        <v>9</v>
      </c>
      <c r="K343" s="233" t="str">
        <f t="shared" si="17"/>
        <v>Delayed</v>
      </c>
    </row>
    <row r="344" spans="1:11">
      <c r="A344" s="24" t="s">
        <v>1540</v>
      </c>
      <c r="B344" s="24" t="s">
        <v>83</v>
      </c>
      <c r="C344" s="24" t="s">
        <v>40</v>
      </c>
      <c r="D344" s="30">
        <v>45797</v>
      </c>
      <c r="E344" s="30">
        <v>45799</v>
      </c>
      <c r="F344" s="24" t="s">
        <v>180</v>
      </c>
      <c r="G344" s="24" t="s">
        <v>76</v>
      </c>
      <c r="H344" s="30" t="s">
        <v>87</v>
      </c>
      <c r="I344" s="232">
        <f t="shared" ca="1" si="15"/>
        <v>38</v>
      </c>
      <c r="J344" s="232">
        <f t="shared" si="16"/>
        <v>2</v>
      </c>
      <c r="K344" s="233" t="str">
        <f t="shared" si="17"/>
        <v>On Time</v>
      </c>
    </row>
    <row r="345" spans="1:11">
      <c r="A345" s="24" t="s">
        <v>1543</v>
      </c>
      <c r="B345" s="24" t="s">
        <v>327</v>
      </c>
      <c r="C345" s="24" t="s">
        <v>222</v>
      </c>
      <c r="D345" s="30">
        <v>45863</v>
      </c>
      <c r="E345" s="30">
        <v>45871</v>
      </c>
      <c r="F345" s="24" t="s">
        <v>394</v>
      </c>
      <c r="G345" s="24" t="s">
        <v>76</v>
      </c>
      <c r="H345" s="30" t="s">
        <v>331</v>
      </c>
      <c r="I345" s="232">
        <f t="shared" ca="1" si="15"/>
        <v>34</v>
      </c>
      <c r="J345" s="232">
        <f t="shared" si="16"/>
        <v>8</v>
      </c>
      <c r="K345" s="233" t="str">
        <f t="shared" si="17"/>
        <v>Delayed</v>
      </c>
    </row>
    <row r="346" spans="1:11">
      <c r="A346" s="24" t="s">
        <v>1547</v>
      </c>
      <c r="B346" s="24" t="s">
        <v>127</v>
      </c>
      <c r="C346" s="24" t="s">
        <v>92</v>
      </c>
      <c r="D346" s="30">
        <v>45874</v>
      </c>
      <c r="E346" s="30">
        <v>45886</v>
      </c>
      <c r="F346" s="24" t="s">
        <v>200</v>
      </c>
      <c r="G346" s="24" t="s">
        <v>76</v>
      </c>
      <c r="H346" s="30" t="s">
        <v>131</v>
      </c>
      <c r="I346" s="232">
        <f t="shared" ca="1" si="15"/>
        <v>44</v>
      </c>
      <c r="J346" s="232">
        <f t="shared" si="16"/>
        <v>12</v>
      </c>
      <c r="K346" s="233" t="str">
        <f t="shared" si="17"/>
        <v>Delayed</v>
      </c>
    </row>
    <row r="347" spans="1:11">
      <c r="A347" s="24" t="s">
        <v>1551</v>
      </c>
      <c r="B347" s="24" t="s">
        <v>53</v>
      </c>
      <c r="C347" s="24" t="s">
        <v>92</v>
      </c>
      <c r="D347" s="30">
        <v>46071</v>
      </c>
      <c r="E347" s="30">
        <v>46078</v>
      </c>
      <c r="F347" s="24" t="s">
        <v>163</v>
      </c>
      <c r="G347" s="24" t="s">
        <v>28</v>
      </c>
      <c r="H347" s="30" t="s">
        <v>58</v>
      </c>
      <c r="I347" s="232">
        <f t="shared" ca="1" si="15"/>
        <v>31</v>
      </c>
      <c r="J347" s="232">
        <f t="shared" si="16"/>
        <v>7</v>
      </c>
      <c r="K347" s="233" t="str">
        <f t="shared" si="17"/>
        <v>Delayed</v>
      </c>
    </row>
    <row r="348" spans="1:11">
      <c r="A348" s="24" t="s">
        <v>1554</v>
      </c>
      <c r="B348" s="24" t="s">
        <v>23</v>
      </c>
      <c r="C348" s="24" t="s">
        <v>259</v>
      </c>
      <c r="D348" s="30">
        <v>46102</v>
      </c>
      <c r="E348" s="30">
        <v>46107</v>
      </c>
      <c r="F348" s="24" t="s">
        <v>27</v>
      </c>
      <c r="G348" s="24" t="s">
        <v>28</v>
      </c>
      <c r="H348" s="30" t="s">
        <v>29</v>
      </c>
      <c r="I348" s="232">
        <f t="shared" ca="1" si="15"/>
        <v>49</v>
      </c>
      <c r="J348" s="232">
        <f t="shared" si="16"/>
        <v>5</v>
      </c>
      <c r="K348" s="233" t="str">
        <f t="shared" si="17"/>
        <v>On Time</v>
      </c>
    </row>
    <row r="349" spans="1:11">
      <c r="A349" s="24" t="s">
        <v>1557</v>
      </c>
      <c r="B349" s="24" t="s">
        <v>251</v>
      </c>
      <c r="C349" s="24" t="s">
        <v>24</v>
      </c>
      <c r="D349" s="30">
        <v>46128</v>
      </c>
      <c r="E349" s="30">
        <v>46131</v>
      </c>
      <c r="F349" s="24" t="s">
        <v>254</v>
      </c>
      <c r="G349" s="24" t="s">
        <v>28</v>
      </c>
      <c r="H349" s="30" t="s">
        <v>255</v>
      </c>
      <c r="I349" s="232">
        <f t="shared" ca="1" si="15"/>
        <v>45</v>
      </c>
      <c r="J349" s="232">
        <f t="shared" si="16"/>
        <v>3</v>
      </c>
      <c r="K349" s="233" t="str">
        <f t="shared" si="17"/>
        <v>On Time</v>
      </c>
    </row>
    <row r="350" spans="1:11">
      <c r="A350" s="24" t="s">
        <v>1560</v>
      </c>
      <c r="B350" s="24" t="s">
        <v>53</v>
      </c>
      <c r="C350" s="24" t="s">
        <v>1561</v>
      </c>
      <c r="D350" s="30">
        <v>45943</v>
      </c>
      <c r="E350" s="30">
        <v>45944</v>
      </c>
      <c r="F350" s="24" t="s">
        <v>163</v>
      </c>
      <c r="G350" s="24" t="s">
        <v>28</v>
      </c>
      <c r="H350" s="30" t="s">
        <v>58</v>
      </c>
      <c r="I350" s="232">
        <f t="shared" ca="1" si="15"/>
        <v>31</v>
      </c>
      <c r="J350" s="232">
        <f t="shared" si="16"/>
        <v>1</v>
      </c>
      <c r="K350" s="233" t="str">
        <f t="shared" si="17"/>
        <v>On Time</v>
      </c>
    </row>
    <row r="351" spans="1:11">
      <c r="A351" s="24" t="s">
        <v>1564</v>
      </c>
      <c r="B351" s="24" t="s">
        <v>53</v>
      </c>
      <c r="C351" s="24" t="s">
        <v>24</v>
      </c>
      <c r="D351" s="30">
        <v>45996</v>
      </c>
      <c r="E351" s="30">
        <v>46001</v>
      </c>
      <c r="F351" s="24" t="s">
        <v>163</v>
      </c>
      <c r="G351" s="24" t="s">
        <v>28</v>
      </c>
      <c r="H351" s="30" t="s">
        <v>58</v>
      </c>
      <c r="I351" s="232">
        <f t="shared" ca="1" si="15"/>
        <v>31</v>
      </c>
      <c r="J351" s="232">
        <f t="shared" si="16"/>
        <v>5</v>
      </c>
      <c r="K351" s="233" t="str">
        <f t="shared" si="17"/>
        <v>On Time</v>
      </c>
    </row>
    <row r="352" spans="1:11">
      <c r="A352" s="24" t="s">
        <v>1568</v>
      </c>
      <c r="B352" s="24" t="s">
        <v>83</v>
      </c>
      <c r="C352" s="24" t="s">
        <v>184</v>
      </c>
      <c r="D352" s="30">
        <v>45868</v>
      </c>
      <c r="E352" s="30">
        <v>45873</v>
      </c>
      <c r="F352" s="24" t="s">
        <v>180</v>
      </c>
      <c r="G352" s="24" t="s">
        <v>76</v>
      </c>
      <c r="H352" s="30" t="s">
        <v>87</v>
      </c>
      <c r="I352" s="232">
        <f t="shared" ca="1" si="15"/>
        <v>38</v>
      </c>
      <c r="J352" s="232">
        <f t="shared" si="16"/>
        <v>5</v>
      </c>
      <c r="K352" s="233" t="str">
        <f t="shared" si="17"/>
        <v>On Time</v>
      </c>
    </row>
    <row r="353" spans="1:11">
      <c r="A353" s="24" t="s">
        <v>1571</v>
      </c>
      <c r="B353" s="24" t="s">
        <v>127</v>
      </c>
      <c r="C353" s="24" t="s">
        <v>24</v>
      </c>
      <c r="D353" s="30">
        <v>45856</v>
      </c>
      <c r="E353" s="30">
        <v>45862</v>
      </c>
      <c r="F353" s="24" t="s">
        <v>200</v>
      </c>
      <c r="G353" s="24" t="s">
        <v>76</v>
      </c>
      <c r="H353" s="30" t="s">
        <v>131</v>
      </c>
      <c r="I353" s="232">
        <f t="shared" ca="1" si="15"/>
        <v>44</v>
      </c>
      <c r="J353" s="232">
        <f t="shared" si="16"/>
        <v>6</v>
      </c>
      <c r="K353" s="233" t="str">
        <f t="shared" si="17"/>
        <v>Delayed</v>
      </c>
    </row>
    <row r="354" spans="1:11">
      <c r="A354" s="24" t="s">
        <v>1575</v>
      </c>
      <c r="B354" s="24" t="s">
        <v>83</v>
      </c>
      <c r="C354" s="24" t="s">
        <v>72</v>
      </c>
      <c r="D354" s="30">
        <v>46092</v>
      </c>
      <c r="E354" s="30">
        <v>46093</v>
      </c>
      <c r="F354" s="24" t="s">
        <v>180</v>
      </c>
      <c r="G354" s="24" t="s">
        <v>76</v>
      </c>
      <c r="H354" s="30" t="s">
        <v>87</v>
      </c>
      <c r="I354" s="232">
        <f t="shared" ca="1" si="15"/>
        <v>38</v>
      </c>
      <c r="J354" s="232">
        <f t="shared" si="16"/>
        <v>1</v>
      </c>
      <c r="K354" s="233" t="str">
        <f t="shared" si="17"/>
        <v>On Time</v>
      </c>
    </row>
    <row r="355" spans="1:11">
      <c r="A355" s="24" t="s">
        <v>1578</v>
      </c>
      <c r="B355" s="24" t="s">
        <v>251</v>
      </c>
      <c r="C355" s="24" t="s">
        <v>72</v>
      </c>
      <c r="D355" s="30">
        <v>46120</v>
      </c>
      <c r="E355" s="30">
        <v>46122</v>
      </c>
      <c r="F355" s="24" t="s">
        <v>254</v>
      </c>
      <c r="G355" s="24" t="s">
        <v>28</v>
      </c>
      <c r="H355" s="30" t="s">
        <v>255</v>
      </c>
      <c r="I355" s="232">
        <f t="shared" ca="1" si="15"/>
        <v>45</v>
      </c>
      <c r="J355" s="232">
        <f t="shared" si="16"/>
        <v>2</v>
      </c>
      <c r="K355" s="233" t="str">
        <f t="shared" si="17"/>
        <v>On Time</v>
      </c>
    </row>
    <row r="356" spans="1:11">
      <c r="A356" s="24" t="s">
        <v>1581</v>
      </c>
      <c r="B356" s="24" t="s">
        <v>168</v>
      </c>
      <c r="C356" s="24" t="s">
        <v>40</v>
      </c>
      <c r="D356" s="30">
        <v>45918</v>
      </c>
      <c r="E356" s="30">
        <v>45925</v>
      </c>
      <c r="F356" s="24" t="s">
        <v>361</v>
      </c>
      <c r="G356" s="24" t="s">
        <v>28</v>
      </c>
      <c r="H356" s="30" t="s">
        <v>173</v>
      </c>
      <c r="I356" s="232">
        <f t="shared" ca="1" si="15"/>
        <v>24</v>
      </c>
      <c r="J356" s="232">
        <f t="shared" si="16"/>
        <v>7</v>
      </c>
      <c r="K356" s="233" t="str">
        <f t="shared" si="17"/>
        <v>Delayed</v>
      </c>
    </row>
    <row r="357" spans="1:11">
      <c r="A357" s="24" t="s">
        <v>1585</v>
      </c>
      <c r="B357" s="24" t="s">
        <v>23</v>
      </c>
      <c r="C357" s="24" t="s">
        <v>259</v>
      </c>
      <c r="D357" s="30">
        <v>45941</v>
      </c>
      <c r="E357" s="30">
        <v>45951</v>
      </c>
      <c r="F357" s="24" t="s">
        <v>27</v>
      </c>
      <c r="G357" s="24" t="s">
        <v>28</v>
      </c>
      <c r="H357" s="30" t="s">
        <v>29</v>
      </c>
      <c r="I357" s="232">
        <f t="shared" ca="1" si="15"/>
        <v>49</v>
      </c>
      <c r="J357" s="232">
        <f t="shared" si="16"/>
        <v>10</v>
      </c>
      <c r="K357" s="233" t="str">
        <f t="shared" si="17"/>
        <v>Delayed</v>
      </c>
    </row>
    <row r="358" spans="1:11">
      <c r="A358" s="24" t="s">
        <v>1588</v>
      </c>
      <c r="B358" s="24" t="s">
        <v>251</v>
      </c>
      <c r="C358" s="24" t="s">
        <v>184</v>
      </c>
      <c r="D358" s="30"/>
      <c r="E358" s="30">
        <v>45699</v>
      </c>
      <c r="F358" s="24" t="s">
        <v>254</v>
      </c>
      <c r="G358" s="24" t="s">
        <v>28</v>
      </c>
      <c r="H358" s="30" t="s">
        <v>255</v>
      </c>
      <c r="I358" s="232">
        <f t="shared" ca="1" si="15"/>
        <v>45</v>
      </c>
      <c r="J358" s="232" t="str">
        <f t="shared" si="16"/>
        <v>Pending</v>
      </c>
      <c r="K358" s="233" t="str">
        <f t="shared" si="17"/>
        <v>Pending</v>
      </c>
    </row>
    <row r="359" spans="1:11">
      <c r="A359" s="24" t="s">
        <v>1592</v>
      </c>
      <c r="B359" s="24" t="s">
        <v>71</v>
      </c>
      <c r="C359" s="24" t="s">
        <v>169</v>
      </c>
      <c r="D359" s="30">
        <v>46005</v>
      </c>
      <c r="E359" s="30">
        <v>46017</v>
      </c>
      <c r="F359" s="24" t="s">
        <v>217</v>
      </c>
      <c r="G359" s="24" t="s">
        <v>76</v>
      </c>
      <c r="H359" s="30" t="s">
        <v>77</v>
      </c>
      <c r="I359" s="232">
        <f t="shared" ca="1" si="15"/>
        <v>50</v>
      </c>
      <c r="J359" s="232">
        <f t="shared" si="16"/>
        <v>12</v>
      </c>
      <c r="K359" s="233" t="str">
        <f t="shared" si="17"/>
        <v>Delayed</v>
      </c>
    </row>
    <row r="360" spans="1:11">
      <c r="A360" s="24" t="s">
        <v>1595</v>
      </c>
      <c r="B360" s="24" t="s">
        <v>251</v>
      </c>
      <c r="C360" s="24" t="s">
        <v>169</v>
      </c>
      <c r="D360" s="30">
        <v>46123</v>
      </c>
      <c r="E360" s="30">
        <v>46131</v>
      </c>
      <c r="F360" s="24" t="s">
        <v>254</v>
      </c>
      <c r="G360" s="24" t="s">
        <v>28</v>
      </c>
      <c r="H360" s="30" t="s">
        <v>255</v>
      </c>
      <c r="I360" s="232">
        <f t="shared" ca="1" si="15"/>
        <v>45</v>
      </c>
      <c r="J360" s="232">
        <f t="shared" si="16"/>
        <v>8</v>
      </c>
      <c r="K360" s="233" t="str">
        <f t="shared" si="17"/>
        <v>Delayed</v>
      </c>
    </row>
    <row r="361" spans="1:11">
      <c r="A361" s="24" t="s">
        <v>1598</v>
      </c>
      <c r="B361" s="24" t="s">
        <v>127</v>
      </c>
      <c r="C361" s="24" t="s">
        <v>222</v>
      </c>
      <c r="D361" s="30">
        <v>45766</v>
      </c>
      <c r="E361" s="30">
        <v>45769</v>
      </c>
      <c r="F361" s="24" t="s">
        <v>200</v>
      </c>
      <c r="G361" s="24" t="s">
        <v>76</v>
      </c>
      <c r="H361" s="30" t="s">
        <v>131</v>
      </c>
      <c r="I361" s="232">
        <f t="shared" ca="1" si="15"/>
        <v>44</v>
      </c>
      <c r="J361" s="232">
        <f t="shared" si="16"/>
        <v>3</v>
      </c>
      <c r="K361" s="233" t="str">
        <f t="shared" si="17"/>
        <v>On Time</v>
      </c>
    </row>
    <row r="362" spans="1:11">
      <c r="A362" s="24" t="s">
        <v>1601</v>
      </c>
      <c r="B362" s="24" t="s">
        <v>127</v>
      </c>
      <c r="C362" s="24" t="s">
        <v>118</v>
      </c>
      <c r="D362" s="30">
        <v>46152</v>
      </c>
      <c r="E362" s="30">
        <v>46160</v>
      </c>
      <c r="F362" s="24" t="s">
        <v>200</v>
      </c>
      <c r="G362" s="24" t="s">
        <v>76</v>
      </c>
      <c r="H362" s="30" t="s">
        <v>131</v>
      </c>
      <c r="I362" s="232">
        <f t="shared" ca="1" si="15"/>
        <v>44</v>
      </c>
      <c r="J362" s="232">
        <f t="shared" si="16"/>
        <v>8</v>
      </c>
      <c r="K362" s="233" t="str">
        <f t="shared" si="17"/>
        <v>Delayed</v>
      </c>
    </row>
    <row r="363" spans="1:11">
      <c r="A363" s="24" t="s">
        <v>1605</v>
      </c>
      <c r="B363" s="24" t="s">
        <v>71</v>
      </c>
      <c r="C363" s="24" t="s">
        <v>24</v>
      </c>
      <c r="D363" s="30">
        <v>45858</v>
      </c>
      <c r="E363" s="30">
        <v>45864</v>
      </c>
      <c r="F363" s="24" t="s">
        <v>217</v>
      </c>
      <c r="G363" s="24" t="s">
        <v>76</v>
      </c>
      <c r="H363" s="30" t="s">
        <v>77</v>
      </c>
      <c r="I363" s="232">
        <f t="shared" ca="1" si="15"/>
        <v>50</v>
      </c>
      <c r="J363" s="232">
        <f t="shared" si="16"/>
        <v>6</v>
      </c>
      <c r="K363" s="233" t="str">
        <f t="shared" si="17"/>
        <v>Delayed</v>
      </c>
    </row>
    <row r="364" spans="1:11">
      <c r="A364" s="24" t="s">
        <v>1608</v>
      </c>
      <c r="B364" s="24" t="s">
        <v>71</v>
      </c>
      <c r="C364" s="24" t="s">
        <v>72</v>
      </c>
      <c r="D364" s="30">
        <v>46045</v>
      </c>
      <c r="E364" s="30">
        <v>46049</v>
      </c>
      <c r="F364" s="24" t="s">
        <v>217</v>
      </c>
      <c r="G364" s="24" t="s">
        <v>76</v>
      </c>
      <c r="H364" s="30" t="s">
        <v>77</v>
      </c>
      <c r="I364" s="232">
        <f t="shared" ca="1" si="15"/>
        <v>50</v>
      </c>
      <c r="J364" s="232">
        <f t="shared" si="16"/>
        <v>4</v>
      </c>
      <c r="K364" s="233" t="str">
        <f t="shared" si="17"/>
        <v>On Time</v>
      </c>
    </row>
    <row r="365" spans="1:11">
      <c r="A365" s="24" t="s">
        <v>1612</v>
      </c>
      <c r="B365" s="24" t="s">
        <v>53</v>
      </c>
      <c r="C365" s="24" t="s">
        <v>222</v>
      </c>
      <c r="D365" s="30">
        <v>46097</v>
      </c>
      <c r="E365" s="30">
        <v>46102</v>
      </c>
      <c r="F365" s="24" t="s">
        <v>163</v>
      </c>
      <c r="G365" s="24" t="s">
        <v>28</v>
      </c>
      <c r="H365" s="30" t="s">
        <v>58</v>
      </c>
      <c r="I365" s="232">
        <f t="shared" ca="1" si="15"/>
        <v>31</v>
      </c>
      <c r="J365" s="232">
        <f t="shared" si="16"/>
        <v>5</v>
      </c>
      <c r="K365" s="233" t="str">
        <f t="shared" si="17"/>
        <v>On Time</v>
      </c>
    </row>
    <row r="366" spans="1:11">
      <c r="A366" s="24" t="s">
        <v>1615</v>
      </c>
      <c r="B366" s="24" t="s">
        <v>100</v>
      </c>
      <c r="C366" s="24" t="s">
        <v>72</v>
      </c>
      <c r="D366" s="30">
        <v>45777</v>
      </c>
      <c r="E366" s="30">
        <v>45784</v>
      </c>
      <c r="F366" s="24" t="s">
        <v>103</v>
      </c>
      <c r="G366" s="24" t="s">
        <v>28</v>
      </c>
      <c r="H366" s="30" t="s">
        <v>104</v>
      </c>
      <c r="I366" s="232">
        <f t="shared" ca="1" si="15"/>
        <v>31</v>
      </c>
      <c r="J366" s="232">
        <f t="shared" si="16"/>
        <v>7</v>
      </c>
      <c r="K366" s="233" t="str">
        <f t="shared" si="17"/>
        <v>Delayed</v>
      </c>
    </row>
    <row r="367" spans="1:11">
      <c r="A367" s="24" t="s">
        <v>1619</v>
      </c>
      <c r="B367" s="24" t="s">
        <v>53</v>
      </c>
      <c r="C367" s="24" t="s">
        <v>222</v>
      </c>
      <c r="D367" s="30">
        <v>45691</v>
      </c>
      <c r="E367" s="30">
        <v>45701</v>
      </c>
      <c r="F367" s="24" t="s">
        <v>163</v>
      </c>
      <c r="G367" s="24" t="s">
        <v>28</v>
      </c>
      <c r="H367" s="30" t="s">
        <v>58</v>
      </c>
      <c r="I367" s="232">
        <f t="shared" ca="1" si="15"/>
        <v>31</v>
      </c>
      <c r="J367" s="232">
        <f t="shared" si="16"/>
        <v>10</v>
      </c>
      <c r="K367" s="233" t="str">
        <f t="shared" si="17"/>
        <v>Delayed</v>
      </c>
    </row>
    <row r="368" spans="1:11">
      <c r="A368" s="24" t="s">
        <v>1623</v>
      </c>
      <c r="B368" s="24" t="s">
        <v>100</v>
      </c>
      <c r="C368" s="24" t="s">
        <v>259</v>
      </c>
      <c r="D368" s="30">
        <v>46088</v>
      </c>
      <c r="E368" s="30">
        <v>46097</v>
      </c>
      <c r="F368" s="24" t="s">
        <v>103</v>
      </c>
      <c r="G368" s="24" t="s">
        <v>28</v>
      </c>
      <c r="H368" s="30" t="s">
        <v>104</v>
      </c>
      <c r="I368" s="232">
        <f t="shared" ca="1" si="15"/>
        <v>31</v>
      </c>
      <c r="J368" s="232">
        <f t="shared" si="16"/>
        <v>9</v>
      </c>
      <c r="K368" s="233" t="str">
        <f t="shared" si="17"/>
        <v>Delayed</v>
      </c>
    </row>
    <row r="369" spans="1:11">
      <c r="A369" s="24" t="s">
        <v>1626</v>
      </c>
      <c r="B369" s="24" t="s">
        <v>23</v>
      </c>
      <c r="C369" s="24" t="s">
        <v>24</v>
      </c>
      <c r="D369" s="30">
        <v>45780</v>
      </c>
      <c r="E369" s="30">
        <v>45792</v>
      </c>
      <c r="F369" s="24" t="s">
        <v>27</v>
      </c>
      <c r="G369" s="24" t="s">
        <v>28</v>
      </c>
      <c r="H369" s="30" t="s">
        <v>29</v>
      </c>
      <c r="I369" s="232">
        <f t="shared" ca="1" si="15"/>
        <v>49</v>
      </c>
      <c r="J369" s="232">
        <f t="shared" si="16"/>
        <v>12</v>
      </c>
      <c r="K369" s="233" t="str">
        <f t="shared" si="17"/>
        <v>Delayed</v>
      </c>
    </row>
    <row r="370" spans="1:11">
      <c r="A370" s="24" t="s">
        <v>1629</v>
      </c>
      <c r="B370" s="24" t="s">
        <v>53</v>
      </c>
      <c r="C370" s="24" t="s">
        <v>118</v>
      </c>
      <c r="D370" s="30">
        <v>46113</v>
      </c>
      <c r="E370" s="30">
        <v>46117</v>
      </c>
      <c r="F370" s="24" t="s">
        <v>163</v>
      </c>
      <c r="G370" s="24" t="s">
        <v>28</v>
      </c>
      <c r="H370" s="30" t="s">
        <v>58</v>
      </c>
      <c r="I370" s="232">
        <f t="shared" ca="1" si="15"/>
        <v>31</v>
      </c>
      <c r="J370" s="232">
        <f t="shared" si="16"/>
        <v>4</v>
      </c>
      <c r="K370" s="233" t="str">
        <f t="shared" si="17"/>
        <v>On Time</v>
      </c>
    </row>
    <row r="371" spans="1:11">
      <c r="A371" s="24" t="s">
        <v>1633</v>
      </c>
      <c r="B371" s="24" t="s">
        <v>327</v>
      </c>
      <c r="C371" s="24" t="s">
        <v>54</v>
      </c>
      <c r="D371" s="30"/>
      <c r="E371" s="30">
        <v>45690</v>
      </c>
      <c r="F371" s="24" t="s">
        <v>394</v>
      </c>
      <c r="G371" s="24" t="s">
        <v>76</v>
      </c>
      <c r="H371" s="30" t="s">
        <v>331</v>
      </c>
      <c r="I371" s="232">
        <f t="shared" ca="1" si="15"/>
        <v>34</v>
      </c>
      <c r="J371" s="232" t="str">
        <f t="shared" si="16"/>
        <v>Pending</v>
      </c>
      <c r="K371" s="233" t="str">
        <f t="shared" si="17"/>
        <v>Pending</v>
      </c>
    </row>
    <row r="372" spans="1:11">
      <c r="A372" s="24" t="s">
        <v>1637</v>
      </c>
      <c r="B372" s="24" t="s">
        <v>71</v>
      </c>
      <c r="C372" s="24" t="s">
        <v>259</v>
      </c>
      <c r="D372" s="30">
        <v>45936</v>
      </c>
      <c r="E372" s="30">
        <v>45938</v>
      </c>
      <c r="F372" s="24" t="s">
        <v>217</v>
      </c>
      <c r="G372" s="24" t="s">
        <v>76</v>
      </c>
      <c r="H372" s="30" t="s">
        <v>77</v>
      </c>
      <c r="I372" s="232">
        <f t="shared" ca="1" si="15"/>
        <v>50</v>
      </c>
      <c r="J372" s="232">
        <f t="shared" si="16"/>
        <v>2</v>
      </c>
      <c r="K372" s="233" t="str">
        <f t="shared" si="17"/>
        <v>On Time</v>
      </c>
    </row>
    <row r="373" spans="1:11">
      <c r="A373" s="24" t="s">
        <v>1641</v>
      </c>
      <c r="B373" s="24" t="s">
        <v>251</v>
      </c>
      <c r="C373" s="24" t="s">
        <v>222</v>
      </c>
      <c r="D373" s="30">
        <v>45820</v>
      </c>
      <c r="E373" s="30">
        <v>45825</v>
      </c>
      <c r="F373" s="24" t="s">
        <v>254</v>
      </c>
      <c r="G373" s="24" t="s">
        <v>28</v>
      </c>
      <c r="H373" s="30" t="s">
        <v>255</v>
      </c>
      <c r="I373" s="232">
        <f t="shared" ca="1" si="15"/>
        <v>45</v>
      </c>
      <c r="J373" s="232">
        <f t="shared" si="16"/>
        <v>5</v>
      </c>
      <c r="K373" s="233" t="str">
        <f t="shared" si="17"/>
        <v>On Time</v>
      </c>
    </row>
    <row r="374" spans="1:11">
      <c r="A374" s="24" t="s">
        <v>1646</v>
      </c>
      <c r="B374" s="24" t="s">
        <v>168</v>
      </c>
      <c r="C374" s="24" t="s">
        <v>259</v>
      </c>
      <c r="D374" s="30">
        <v>45979</v>
      </c>
      <c r="E374" s="30">
        <v>45981</v>
      </c>
      <c r="F374" s="24" t="s">
        <v>361</v>
      </c>
      <c r="G374" s="24" t="s">
        <v>28</v>
      </c>
      <c r="H374" s="30" t="s">
        <v>173</v>
      </c>
      <c r="I374" s="232">
        <f t="shared" ca="1" si="15"/>
        <v>24</v>
      </c>
      <c r="J374" s="232">
        <f t="shared" si="16"/>
        <v>2</v>
      </c>
      <c r="K374" s="233" t="str">
        <f t="shared" si="17"/>
        <v>On Time</v>
      </c>
    </row>
    <row r="375" spans="1:11">
      <c r="A375" s="24" t="s">
        <v>1649</v>
      </c>
      <c r="B375" s="24" t="s">
        <v>83</v>
      </c>
      <c r="C375" s="24" t="s">
        <v>184</v>
      </c>
      <c r="D375" s="30">
        <v>45962</v>
      </c>
      <c r="E375" s="30">
        <v>45963</v>
      </c>
      <c r="F375" s="24" t="s">
        <v>180</v>
      </c>
      <c r="G375" s="24" t="s">
        <v>76</v>
      </c>
      <c r="H375" s="30" t="s">
        <v>87</v>
      </c>
      <c r="I375" s="232">
        <f t="shared" ca="1" si="15"/>
        <v>38</v>
      </c>
      <c r="J375" s="232">
        <f t="shared" si="16"/>
        <v>1</v>
      </c>
      <c r="K375" s="233" t="str">
        <f t="shared" si="17"/>
        <v>On Time</v>
      </c>
    </row>
    <row r="376" spans="1:11">
      <c r="A376" s="24" t="s">
        <v>1653</v>
      </c>
      <c r="B376" s="24" t="s">
        <v>221</v>
      </c>
      <c r="C376" s="24" t="s">
        <v>184</v>
      </c>
      <c r="D376" s="30">
        <v>45681</v>
      </c>
      <c r="E376" s="30">
        <v>45688</v>
      </c>
      <c r="F376" s="24" t="s">
        <v>225</v>
      </c>
      <c r="G376" s="24" t="s">
        <v>76</v>
      </c>
      <c r="H376" s="30" t="s">
        <v>226</v>
      </c>
      <c r="I376" s="232">
        <f t="shared" ca="1" si="15"/>
        <v>34</v>
      </c>
      <c r="J376" s="232">
        <f t="shared" si="16"/>
        <v>7</v>
      </c>
      <c r="K376" s="233" t="str">
        <f t="shared" si="17"/>
        <v>Delayed</v>
      </c>
    </row>
    <row r="377" spans="1:11">
      <c r="A377" s="24" t="s">
        <v>1657</v>
      </c>
      <c r="B377" s="24" t="s">
        <v>23</v>
      </c>
      <c r="C377" s="24" t="s">
        <v>184</v>
      </c>
      <c r="D377" s="30">
        <v>46066</v>
      </c>
      <c r="E377" s="30">
        <v>46074</v>
      </c>
      <c r="F377" s="24" t="s">
        <v>27</v>
      </c>
      <c r="G377" s="24" t="s">
        <v>28</v>
      </c>
      <c r="H377" s="30" t="s">
        <v>29</v>
      </c>
      <c r="I377" s="232">
        <f t="shared" ca="1" si="15"/>
        <v>49</v>
      </c>
      <c r="J377" s="232">
        <f t="shared" si="16"/>
        <v>8</v>
      </c>
      <c r="K377" s="233" t="str">
        <f t="shared" si="17"/>
        <v>Delayed</v>
      </c>
    </row>
    <row r="378" spans="1:11">
      <c r="A378" s="24" t="s">
        <v>1660</v>
      </c>
      <c r="B378" s="24" t="s">
        <v>71</v>
      </c>
      <c r="C378" s="24" t="s">
        <v>40</v>
      </c>
      <c r="D378" s="30">
        <v>45696</v>
      </c>
      <c r="E378" s="30">
        <v>45707</v>
      </c>
      <c r="F378" s="24" t="s">
        <v>217</v>
      </c>
      <c r="G378" s="24" t="s">
        <v>76</v>
      </c>
      <c r="H378" s="30" t="s">
        <v>77</v>
      </c>
      <c r="I378" s="232">
        <f t="shared" ca="1" si="15"/>
        <v>50</v>
      </c>
      <c r="J378" s="232">
        <f t="shared" si="16"/>
        <v>11</v>
      </c>
      <c r="K378" s="233" t="str">
        <f t="shared" si="17"/>
        <v>Delayed</v>
      </c>
    </row>
    <row r="379" spans="1:11">
      <c r="A379" s="24" t="s">
        <v>1663</v>
      </c>
      <c r="B379" s="24" t="s">
        <v>83</v>
      </c>
      <c r="C379" s="24" t="s">
        <v>72</v>
      </c>
      <c r="D379" s="30">
        <v>46019</v>
      </c>
      <c r="E379" s="30">
        <v>46028</v>
      </c>
      <c r="F379" s="24" t="s">
        <v>180</v>
      </c>
      <c r="G379" s="24" t="s">
        <v>76</v>
      </c>
      <c r="H379" s="30" t="s">
        <v>87</v>
      </c>
      <c r="I379" s="232">
        <f t="shared" ca="1" si="15"/>
        <v>38</v>
      </c>
      <c r="J379" s="232">
        <f t="shared" si="16"/>
        <v>9</v>
      </c>
      <c r="K379" s="233" t="str">
        <f t="shared" si="17"/>
        <v>Delayed</v>
      </c>
    </row>
    <row r="380" spans="1:11">
      <c r="A380" s="24" t="s">
        <v>1666</v>
      </c>
      <c r="B380" s="24" t="s">
        <v>83</v>
      </c>
      <c r="C380" s="24" t="s">
        <v>222</v>
      </c>
      <c r="D380" s="30">
        <v>45931</v>
      </c>
      <c r="E380" s="30">
        <v>45933</v>
      </c>
      <c r="F380" s="24" t="s">
        <v>180</v>
      </c>
      <c r="G380" s="24" t="s">
        <v>76</v>
      </c>
      <c r="H380" s="30" t="s">
        <v>87</v>
      </c>
      <c r="I380" s="232">
        <f t="shared" ca="1" si="15"/>
        <v>38</v>
      </c>
      <c r="J380" s="232">
        <f t="shared" si="16"/>
        <v>2</v>
      </c>
      <c r="K380" s="233" t="str">
        <f t="shared" si="17"/>
        <v>On Time</v>
      </c>
    </row>
    <row r="381" spans="1:11">
      <c r="A381" s="24" t="s">
        <v>1670</v>
      </c>
      <c r="B381" s="24" t="s">
        <v>251</v>
      </c>
      <c r="C381" s="24" t="s">
        <v>54</v>
      </c>
      <c r="D381" s="30">
        <v>46009</v>
      </c>
      <c r="E381" s="30">
        <v>46010</v>
      </c>
      <c r="F381" s="24" t="s">
        <v>254</v>
      </c>
      <c r="G381" s="24" t="s">
        <v>28</v>
      </c>
      <c r="H381" s="30" t="s">
        <v>255</v>
      </c>
      <c r="I381" s="232">
        <f t="shared" ca="1" si="15"/>
        <v>45</v>
      </c>
      <c r="J381" s="232">
        <f t="shared" si="16"/>
        <v>1</v>
      </c>
      <c r="K381" s="233" t="str">
        <f t="shared" si="17"/>
        <v>On Time</v>
      </c>
    </row>
    <row r="382" spans="1:11">
      <c r="A382" s="24" t="s">
        <v>1673</v>
      </c>
      <c r="B382" s="24" t="s">
        <v>251</v>
      </c>
      <c r="C382" s="24" t="s">
        <v>118</v>
      </c>
      <c r="D382" s="30">
        <v>45929</v>
      </c>
      <c r="E382" s="30">
        <v>45937</v>
      </c>
      <c r="F382" s="24" t="s">
        <v>254</v>
      </c>
      <c r="G382" s="24" t="s">
        <v>28</v>
      </c>
      <c r="H382" s="30" t="s">
        <v>255</v>
      </c>
      <c r="I382" s="232">
        <f t="shared" ca="1" si="15"/>
        <v>45</v>
      </c>
      <c r="J382" s="232">
        <f t="shared" si="16"/>
        <v>8</v>
      </c>
      <c r="K382" s="233" t="str">
        <f t="shared" si="17"/>
        <v>Delayed</v>
      </c>
    </row>
    <row r="383" spans="1:11">
      <c r="A383" s="24" t="s">
        <v>1676</v>
      </c>
      <c r="B383" s="24" t="s">
        <v>127</v>
      </c>
      <c r="C383" s="24" t="s">
        <v>222</v>
      </c>
      <c r="D383" s="30">
        <v>45791</v>
      </c>
      <c r="E383" s="30">
        <v>45799</v>
      </c>
      <c r="F383" s="24" t="s">
        <v>200</v>
      </c>
      <c r="G383" s="24" t="s">
        <v>76</v>
      </c>
      <c r="H383" s="30" t="s">
        <v>131</v>
      </c>
      <c r="I383" s="232">
        <f t="shared" ca="1" si="15"/>
        <v>44</v>
      </c>
      <c r="J383" s="232">
        <f t="shared" si="16"/>
        <v>8</v>
      </c>
      <c r="K383" s="233" t="str">
        <f t="shared" si="17"/>
        <v>Delayed</v>
      </c>
    </row>
    <row r="384" spans="1:11">
      <c r="A384" s="24" t="s">
        <v>1680</v>
      </c>
      <c r="B384" s="24" t="s">
        <v>127</v>
      </c>
      <c r="C384" s="24" t="s">
        <v>24</v>
      </c>
      <c r="D384" s="30">
        <v>45748</v>
      </c>
      <c r="E384" s="30">
        <v>45758</v>
      </c>
      <c r="F384" s="24" t="s">
        <v>200</v>
      </c>
      <c r="G384" s="24" t="s">
        <v>76</v>
      </c>
      <c r="H384" s="30" t="s">
        <v>131</v>
      </c>
      <c r="I384" s="232">
        <f t="shared" ca="1" si="15"/>
        <v>44</v>
      </c>
      <c r="J384" s="232">
        <f t="shared" si="16"/>
        <v>10</v>
      </c>
      <c r="K384" s="233" t="str">
        <f t="shared" si="17"/>
        <v>Delayed</v>
      </c>
    </row>
    <row r="385" spans="1:11">
      <c r="A385" s="24" t="s">
        <v>1684</v>
      </c>
      <c r="B385" s="24" t="s">
        <v>221</v>
      </c>
      <c r="C385" s="24" t="s">
        <v>118</v>
      </c>
      <c r="D385" s="30">
        <v>45754</v>
      </c>
      <c r="E385" s="30">
        <v>45765</v>
      </c>
      <c r="F385" s="24" t="s">
        <v>225</v>
      </c>
      <c r="G385" s="24" t="s">
        <v>76</v>
      </c>
      <c r="H385" s="30" t="s">
        <v>226</v>
      </c>
      <c r="I385" s="232">
        <f t="shared" ca="1" si="15"/>
        <v>34</v>
      </c>
      <c r="J385" s="232">
        <f t="shared" si="16"/>
        <v>11</v>
      </c>
      <c r="K385" s="233" t="str">
        <f t="shared" si="17"/>
        <v>Delayed</v>
      </c>
    </row>
    <row r="386" spans="1:11">
      <c r="A386" s="24" t="s">
        <v>1687</v>
      </c>
      <c r="B386" s="24" t="s">
        <v>127</v>
      </c>
      <c r="C386" s="24" t="s">
        <v>24</v>
      </c>
      <c r="D386" s="30">
        <v>46072</v>
      </c>
      <c r="E386" s="30">
        <v>46076</v>
      </c>
      <c r="F386" s="24" t="s">
        <v>200</v>
      </c>
      <c r="G386" s="24" t="s">
        <v>76</v>
      </c>
      <c r="H386" s="30" t="s">
        <v>131</v>
      </c>
      <c r="I386" s="232">
        <f t="shared" ca="1" si="15"/>
        <v>44</v>
      </c>
      <c r="J386" s="232">
        <f t="shared" si="16"/>
        <v>4</v>
      </c>
      <c r="K386" s="233" t="str">
        <f t="shared" si="17"/>
        <v>On Time</v>
      </c>
    </row>
    <row r="387" spans="1:11">
      <c r="A387" s="24" t="s">
        <v>1692</v>
      </c>
      <c r="B387" s="24" t="s">
        <v>168</v>
      </c>
      <c r="C387" s="24" t="s">
        <v>118</v>
      </c>
      <c r="D387" s="30">
        <v>45995</v>
      </c>
      <c r="E387" s="30">
        <v>46002</v>
      </c>
      <c r="F387" s="24" t="s">
        <v>361</v>
      </c>
      <c r="G387" s="24" t="s">
        <v>28</v>
      </c>
      <c r="H387" s="30" t="s">
        <v>173</v>
      </c>
      <c r="I387" s="232">
        <f t="shared" ref="I387:I450" ca="1" si="18">DATEDIF(H387, TODAY(), "Y")</f>
        <v>24</v>
      </c>
      <c r="J387" s="232">
        <f t="shared" ref="J387:J450" si="19">IFERROR(IF(OR(E387="", D387="", LOWER(TRIM(E387))="pending", LOWER(TRIM(D387))="pending"), "Pending", E387 - D387), "Pending")</f>
        <v>7</v>
      </c>
      <c r="K387" s="233" t="str">
        <f t="shared" ref="K387:K450" si="20">IFERROR(IF(OR(E387="", D387="","Pending","Pending"), "Pending", IF((E387 - D387) &lt;= 5, "On Time", "Delayed")), "Pending")</f>
        <v>Delayed</v>
      </c>
    </row>
    <row r="388" spans="1:11">
      <c r="A388" s="24" t="s">
        <v>1695</v>
      </c>
      <c r="B388" s="24" t="s">
        <v>221</v>
      </c>
      <c r="C388" s="24" t="s">
        <v>54</v>
      </c>
      <c r="D388" s="30">
        <v>45950</v>
      </c>
      <c r="E388" s="30">
        <v>45954</v>
      </c>
      <c r="F388" s="24" t="s">
        <v>225</v>
      </c>
      <c r="G388" s="24" t="s">
        <v>76</v>
      </c>
      <c r="H388" s="30" t="s">
        <v>226</v>
      </c>
      <c r="I388" s="232">
        <f t="shared" ca="1" si="18"/>
        <v>34</v>
      </c>
      <c r="J388" s="232">
        <f t="shared" si="19"/>
        <v>4</v>
      </c>
      <c r="K388" s="233" t="str">
        <f t="shared" si="20"/>
        <v>On Time</v>
      </c>
    </row>
    <row r="389" spans="1:11">
      <c r="A389" s="24" t="s">
        <v>1699</v>
      </c>
      <c r="B389" s="24" t="s">
        <v>71</v>
      </c>
      <c r="C389" s="24" t="s">
        <v>222</v>
      </c>
      <c r="D389" s="30">
        <v>46043</v>
      </c>
      <c r="E389" s="30">
        <v>46047</v>
      </c>
      <c r="F389" s="24" t="s">
        <v>217</v>
      </c>
      <c r="G389" s="24" t="s">
        <v>76</v>
      </c>
      <c r="H389" s="30" t="s">
        <v>77</v>
      </c>
      <c r="I389" s="232">
        <f t="shared" ca="1" si="18"/>
        <v>50</v>
      </c>
      <c r="J389" s="232">
        <f t="shared" si="19"/>
        <v>4</v>
      </c>
      <c r="K389" s="233" t="str">
        <f t="shared" si="20"/>
        <v>On Time</v>
      </c>
    </row>
    <row r="390" spans="1:11">
      <c r="A390" s="24" t="s">
        <v>1703</v>
      </c>
      <c r="B390" s="24" t="s">
        <v>23</v>
      </c>
      <c r="C390" s="24" t="s">
        <v>24</v>
      </c>
      <c r="D390" s="30">
        <v>45682</v>
      </c>
      <c r="E390" s="30">
        <v>45685</v>
      </c>
      <c r="F390" s="24" t="s">
        <v>27</v>
      </c>
      <c r="G390" s="24" t="s">
        <v>28</v>
      </c>
      <c r="H390" s="30" t="s">
        <v>29</v>
      </c>
      <c r="I390" s="232">
        <f t="shared" ca="1" si="18"/>
        <v>49</v>
      </c>
      <c r="J390" s="232">
        <f t="shared" si="19"/>
        <v>3</v>
      </c>
      <c r="K390" s="233" t="str">
        <f t="shared" si="20"/>
        <v>On Time</v>
      </c>
    </row>
    <row r="391" spans="1:11">
      <c r="A391" s="24" t="s">
        <v>1708</v>
      </c>
      <c r="B391" s="24" t="s">
        <v>100</v>
      </c>
      <c r="C391" s="24" t="s">
        <v>222</v>
      </c>
      <c r="D391" s="30">
        <v>45716</v>
      </c>
      <c r="E391" s="30">
        <v>45718</v>
      </c>
      <c r="F391" s="24" t="s">
        <v>103</v>
      </c>
      <c r="G391" s="24" t="s">
        <v>28</v>
      </c>
      <c r="H391" s="30" t="s">
        <v>104</v>
      </c>
      <c r="I391" s="232">
        <f t="shared" ca="1" si="18"/>
        <v>31</v>
      </c>
      <c r="J391" s="232">
        <f t="shared" si="19"/>
        <v>2</v>
      </c>
      <c r="K391" s="233" t="str">
        <f t="shared" si="20"/>
        <v>On Time</v>
      </c>
    </row>
    <row r="392" spans="1:11">
      <c r="A392" s="24" t="s">
        <v>1711</v>
      </c>
      <c r="B392" s="24" t="s">
        <v>100</v>
      </c>
      <c r="C392" s="24" t="s">
        <v>72</v>
      </c>
      <c r="D392" s="30">
        <v>45828</v>
      </c>
      <c r="E392" s="30">
        <v>45829</v>
      </c>
      <c r="F392" s="24" t="s">
        <v>103</v>
      </c>
      <c r="G392" s="24" t="s">
        <v>28</v>
      </c>
      <c r="H392" s="30" t="s">
        <v>104</v>
      </c>
      <c r="I392" s="232">
        <f t="shared" ca="1" si="18"/>
        <v>31</v>
      </c>
      <c r="J392" s="232">
        <f t="shared" si="19"/>
        <v>1</v>
      </c>
      <c r="K392" s="233" t="str">
        <f t="shared" si="20"/>
        <v>On Time</v>
      </c>
    </row>
    <row r="393" spans="1:11">
      <c r="A393" s="24" t="s">
        <v>1716</v>
      </c>
      <c r="B393" s="24" t="s">
        <v>53</v>
      </c>
      <c r="C393" s="24" t="s">
        <v>222</v>
      </c>
      <c r="D393" s="30">
        <v>45805</v>
      </c>
      <c r="E393" s="30">
        <v>45814</v>
      </c>
      <c r="F393" s="24" t="s">
        <v>163</v>
      </c>
      <c r="G393" s="24" t="s">
        <v>28</v>
      </c>
      <c r="H393" s="30" t="s">
        <v>58</v>
      </c>
      <c r="I393" s="232">
        <f t="shared" ca="1" si="18"/>
        <v>31</v>
      </c>
      <c r="J393" s="232">
        <f t="shared" si="19"/>
        <v>9</v>
      </c>
      <c r="K393" s="233" t="str">
        <f t="shared" si="20"/>
        <v>Delayed</v>
      </c>
    </row>
    <row r="394" spans="1:11">
      <c r="A394" s="24" t="s">
        <v>1721</v>
      </c>
      <c r="B394" s="24" t="s">
        <v>251</v>
      </c>
      <c r="C394" s="24" t="s">
        <v>72</v>
      </c>
      <c r="D394" s="30">
        <v>45660</v>
      </c>
      <c r="E394" s="30">
        <v>45665</v>
      </c>
      <c r="F394" s="24" t="s">
        <v>254</v>
      </c>
      <c r="G394" s="24" t="s">
        <v>28</v>
      </c>
      <c r="H394" s="30" t="s">
        <v>255</v>
      </c>
      <c r="I394" s="232">
        <f t="shared" ca="1" si="18"/>
        <v>45</v>
      </c>
      <c r="J394" s="232">
        <f t="shared" si="19"/>
        <v>5</v>
      </c>
      <c r="K394" s="233" t="str">
        <f t="shared" si="20"/>
        <v>On Time</v>
      </c>
    </row>
    <row r="395" spans="1:11">
      <c r="A395" s="24" t="s">
        <v>1724</v>
      </c>
      <c r="B395" s="24" t="s">
        <v>100</v>
      </c>
      <c r="C395" s="24" t="s">
        <v>169</v>
      </c>
      <c r="D395" s="30">
        <v>45685</v>
      </c>
      <c r="E395" s="30">
        <v>45686</v>
      </c>
      <c r="F395" s="24" t="s">
        <v>103</v>
      </c>
      <c r="G395" s="24" t="s">
        <v>28</v>
      </c>
      <c r="H395" s="30" t="s">
        <v>104</v>
      </c>
      <c r="I395" s="232">
        <f t="shared" ca="1" si="18"/>
        <v>31</v>
      </c>
      <c r="J395" s="232">
        <f t="shared" si="19"/>
        <v>1</v>
      </c>
      <c r="K395" s="233" t="str">
        <f t="shared" si="20"/>
        <v>On Time</v>
      </c>
    </row>
    <row r="396" spans="1:11">
      <c r="A396" s="24" t="s">
        <v>1727</v>
      </c>
      <c r="B396" s="24" t="s">
        <v>23</v>
      </c>
      <c r="C396" s="24" t="s">
        <v>169</v>
      </c>
      <c r="D396" s="30">
        <v>46071</v>
      </c>
      <c r="E396" s="30">
        <v>46079</v>
      </c>
      <c r="F396" s="24" t="s">
        <v>27</v>
      </c>
      <c r="G396" s="24" t="s">
        <v>28</v>
      </c>
      <c r="H396" s="30" t="s">
        <v>29</v>
      </c>
      <c r="I396" s="232">
        <f t="shared" ca="1" si="18"/>
        <v>49</v>
      </c>
      <c r="J396" s="232">
        <f t="shared" si="19"/>
        <v>8</v>
      </c>
      <c r="K396" s="233" t="str">
        <f t="shared" si="20"/>
        <v>Delayed</v>
      </c>
    </row>
    <row r="397" spans="1:11">
      <c r="A397" s="24" t="s">
        <v>1731</v>
      </c>
      <c r="B397" s="24" t="s">
        <v>127</v>
      </c>
      <c r="C397" s="24" t="s">
        <v>40</v>
      </c>
      <c r="D397" s="30">
        <v>45872</v>
      </c>
      <c r="E397" s="30">
        <v>45884</v>
      </c>
      <c r="F397" s="24" t="s">
        <v>200</v>
      </c>
      <c r="G397" s="24" t="s">
        <v>76</v>
      </c>
      <c r="H397" s="30" t="s">
        <v>131</v>
      </c>
      <c r="I397" s="232">
        <f t="shared" ca="1" si="18"/>
        <v>44</v>
      </c>
      <c r="J397" s="232">
        <f t="shared" si="19"/>
        <v>12</v>
      </c>
      <c r="K397" s="233" t="str">
        <f t="shared" si="20"/>
        <v>Delayed</v>
      </c>
    </row>
    <row r="398" spans="1:11">
      <c r="A398" s="24" t="s">
        <v>1736</v>
      </c>
      <c r="B398" s="24" t="s">
        <v>83</v>
      </c>
      <c r="C398" s="24" t="s">
        <v>184</v>
      </c>
      <c r="D398" s="30">
        <v>45672</v>
      </c>
      <c r="E398" s="30">
        <v>45675</v>
      </c>
      <c r="F398" s="24" t="s">
        <v>180</v>
      </c>
      <c r="G398" s="24" t="s">
        <v>76</v>
      </c>
      <c r="H398" s="30" t="s">
        <v>87</v>
      </c>
      <c r="I398" s="232">
        <f t="shared" ca="1" si="18"/>
        <v>38</v>
      </c>
      <c r="J398" s="232">
        <f t="shared" si="19"/>
        <v>3</v>
      </c>
      <c r="K398" s="233" t="str">
        <f t="shared" si="20"/>
        <v>On Time</v>
      </c>
    </row>
    <row r="399" spans="1:11">
      <c r="A399" s="24" t="s">
        <v>1740</v>
      </c>
      <c r="B399" s="24" t="s">
        <v>83</v>
      </c>
      <c r="C399" s="24" t="s">
        <v>40</v>
      </c>
      <c r="D399" s="30">
        <v>45688</v>
      </c>
      <c r="E399" s="30">
        <v>45692</v>
      </c>
      <c r="F399" s="24" t="s">
        <v>180</v>
      </c>
      <c r="G399" s="24" t="s">
        <v>76</v>
      </c>
      <c r="H399" s="30" t="s">
        <v>87</v>
      </c>
      <c r="I399" s="232">
        <f t="shared" ca="1" si="18"/>
        <v>38</v>
      </c>
      <c r="J399" s="232">
        <f t="shared" si="19"/>
        <v>4</v>
      </c>
      <c r="K399" s="233" t="str">
        <f t="shared" si="20"/>
        <v>On Time</v>
      </c>
    </row>
    <row r="400" spans="1:11">
      <c r="A400" s="24" t="s">
        <v>1743</v>
      </c>
      <c r="B400" s="24" t="s">
        <v>327</v>
      </c>
      <c r="C400" s="24" t="s">
        <v>184</v>
      </c>
      <c r="D400" s="30"/>
      <c r="E400" s="30">
        <v>45964</v>
      </c>
      <c r="F400" s="24" t="s">
        <v>394</v>
      </c>
      <c r="G400" s="24" t="s">
        <v>76</v>
      </c>
      <c r="H400" s="30" t="s">
        <v>331</v>
      </c>
      <c r="I400" s="232">
        <f t="shared" ca="1" si="18"/>
        <v>34</v>
      </c>
      <c r="J400" s="232" t="str">
        <f t="shared" si="19"/>
        <v>Pending</v>
      </c>
      <c r="K400" s="233" t="str">
        <f t="shared" si="20"/>
        <v>Pending</v>
      </c>
    </row>
    <row r="401" spans="1:11">
      <c r="A401" s="24" t="s">
        <v>1746</v>
      </c>
      <c r="B401" s="24" t="s">
        <v>23</v>
      </c>
      <c r="C401" s="24" t="s">
        <v>72</v>
      </c>
      <c r="D401" s="30">
        <v>45790</v>
      </c>
      <c r="E401" s="30">
        <v>45798</v>
      </c>
      <c r="F401" s="24" t="s">
        <v>27</v>
      </c>
      <c r="G401" s="24" t="s">
        <v>28</v>
      </c>
      <c r="H401" s="30" t="s">
        <v>29</v>
      </c>
      <c r="I401" s="232">
        <f t="shared" ca="1" si="18"/>
        <v>49</v>
      </c>
      <c r="J401" s="232">
        <f t="shared" si="19"/>
        <v>8</v>
      </c>
      <c r="K401" s="233" t="str">
        <f t="shared" si="20"/>
        <v>Delayed</v>
      </c>
    </row>
    <row r="402" spans="1:11">
      <c r="A402" s="24" t="s">
        <v>1750</v>
      </c>
      <c r="B402" s="24" t="s">
        <v>71</v>
      </c>
      <c r="C402" s="24" t="s">
        <v>169</v>
      </c>
      <c r="D402" s="30">
        <v>46018</v>
      </c>
      <c r="E402" s="30">
        <v>46026</v>
      </c>
      <c r="F402" s="24" t="s">
        <v>217</v>
      </c>
      <c r="G402" s="24" t="s">
        <v>76</v>
      </c>
      <c r="H402" s="30" t="s">
        <v>77</v>
      </c>
      <c r="I402" s="232">
        <f t="shared" ca="1" si="18"/>
        <v>50</v>
      </c>
      <c r="J402" s="232">
        <f t="shared" si="19"/>
        <v>8</v>
      </c>
      <c r="K402" s="233" t="str">
        <f t="shared" si="20"/>
        <v>Delayed</v>
      </c>
    </row>
    <row r="403" spans="1:11">
      <c r="A403" s="24" t="s">
        <v>1753</v>
      </c>
      <c r="B403" s="24" t="s">
        <v>23</v>
      </c>
      <c r="C403" s="24" t="s">
        <v>222</v>
      </c>
      <c r="D403" s="30">
        <v>45699</v>
      </c>
      <c r="E403" s="30">
        <v>45709</v>
      </c>
      <c r="F403" s="24" t="s">
        <v>27</v>
      </c>
      <c r="G403" s="24" t="s">
        <v>28</v>
      </c>
      <c r="H403" s="30" t="s">
        <v>29</v>
      </c>
      <c r="I403" s="232">
        <f t="shared" ca="1" si="18"/>
        <v>49</v>
      </c>
      <c r="J403" s="232">
        <f t="shared" si="19"/>
        <v>10</v>
      </c>
      <c r="K403" s="233" t="str">
        <f t="shared" si="20"/>
        <v>Delayed</v>
      </c>
    </row>
    <row r="404" spans="1:11">
      <c r="A404" s="24" t="s">
        <v>1756</v>
      </c>
      <c r="B404" s="24" t="s">
        <v>71</v>
      </c>
      <c r="C404" s="24" t="s">
        <v>169</v>
      </c>
      <c r="D404" s="30">
        <v>46094</v>
      </c>
      <c r="E404" s="30">
        <v>46100</v>
      </c>
      <c r="F404" s="24" t="s">
        <v>217</v>
      </c>
      <c r="G404" s="24" t="s">
        <v>76</v>
      </c>
      <c r="H404" s="30" t="s">
        <v>77</v>
      </c>
      <c r="I404" s="232">
        <f t="shared" ca="1" si="18"/>
        <v>50</v>
      </c>
      <c r="J404" s="232">
        <f t="shared" si="19"/>
        <v>6</v>
      </c>
      <c r="K404" s="233" t="str">
        <f t="shared" si="20"/>
        <v>Delayed</v>
      </c>
    </row>
    <row r="405" spans="1:11">
      <c r="A405" s="24" t="s">
        <v>1759</v>
      </c>
      <c r="B405" s="24" t="s">
        <v>23</v>
      </c>
      <c r="C405" s="24" t="s">
        <v>169</v>
      </c>
      <c r="D405" s="30">
        <v>45931</v>
      </c>
      <c r="E405" s="30">
        <v>45942</v>
      </c>
      <c r="F405" s="24" t="s">
        <v>27</v>
      </c>
      <c r="G405" s="24" t="s">
        <v>28</v>
      </c>
      <c r="H405" s="30" t="s">
        <v>29</v>
      </c>
      <c r="I405" s="232">
        <f t="shared" ca="1" si="18"/>
        <v>49</v>
      </c>
      <c r="J405" s="232">
        <f t="shared" si="19"/>
        <v>11</v>
      </c>
      <c r="K405" s="233" t="str">
        <f t="shared" si="20"/>
        <v>Delayed</v>
      </c>
    </row>
    <row r="406" spans="1:11">
      <c r="A406" s="24" t="s">
        <v>1763</v>
      </c>
      <c r="B406" s="24" t="s">
        <v>53</v>
      </c>
      <c r="C406" s="24" t="s">
        <v>222</v>
      </c>
      <c r="D406" s="30">
        <v>46048</v>
      </c>
      <c r="E406" s="30">
        <v>46054</v>
      </c>
      <c r="F406" s="24" t="s">
        <v>163</v>
      </c>
      <c r="G406" s="24" t="s">
        <v>28</v>
      </c>
      <c r="H406" s="30" t="s">
        <v>58</v>
      </c>
      <c r="I406" s="232">
        <f t="shared" ca="1" si="18"/>
        <v>31</v>
      </c>
      <c r="J406" s="232">
        <f t="shared" si="19"/>
        <v>6</v>
      </c>
      <c r="K406" s="233" t="str">
        <f t="shared" si="20"/>
        <v>Delayed</v>
      </c>
    </row>
    <row r="407" spans="1:11">
      <c r="A407" s="24" t="s">
        <v>1767</v>
      </c>
      <c r="B407" s="24" t="s">
        <v>168</v>
      </c>
      <c r="C407" s="24" t="s">
        <v>169</v>
      </c>
      <c r="D407" s="30">
        <v>45840</v>
      </c>
      <c r="E407" s="30">
        <v>45850</v>
      </c>
      <c r="F407" s="24" t="s">
        <v>361</v>
      </c>
      <c r="G407" s="24" t="s">
        <v>28</v>
      </c>
      <c r="H407" s="30" t="s">
        <v>173</v>
      </c>
      <c r="I407" s="232">
        <f t="shared" ca="1" si="18"/>
        <v>24</v>
      </c>
      <c r="J407" s="232">
        <f t="shared" si="19"/>
        <v>10</v>
      </c>
      <c r="K407" s="233" t="str">
        <f t="shared" si="20"/>
        <v>Delayed</v>
      </c>
    </row>
    <row r="408" spans="1:11">
      <c r="A408" s="24" t="s">
        <v>1770</v>
      </c>
      <c r="B408" s="24" t="s">
        <v>53</v>
      </c>
      <c r="C408" s="24" t="s">
        <v>259</v>
      </c>
      <c r="D408" s="30">
        <v>45935</v>
      </c>
      <c r="E408" s="30">
        <v>45939</v>
      </c>
      <c r="F408" s="24" t="s">
        <v>163</v>
      </c>
      <c r="G408" s="24" t="s">
        <v>28</v>
      </c>
      <c r="H408" s="30" t="s">
        <v>58</v>
      </c>
      <c r="I408" s="232">
        <f t="shared" ca="1" si="18"/>
        <v>31</v>
      </c>
      <c r="J408" s="232">
        <f t="shared" si="19"/>
        <v>4</v>
      </c>
      <c r="K408" s="233" t="str">
        <f t="shared" si="20"/>
        <v>On Time</v>
      </c>
    </row>
    <row r="409" spans="1:11">
      <c r="A409" s="24" t="s">
        <v>1773</v>
      </c>
      <c r="B409" s="24" t="s">
        <v>71</v>
      </c>
      <c r="C409" s="24" t="s">
        <v>259</v>
      </c>
      <c r="D409" s="30">
        <v>45807</v>
      </c>
      <c r="E409" s="30">
        <v>45810</v>
      </c>
      <c r="F409" s="24" t="s">
        <v>217</v>
      </c>
      <c r="G409" s="24" t="s">
        <v>76</v>
      </c>
      <c r="H409" s="30" t="s">
        <v>77</v>
      </c>
      <c r="I409" s="232">
        <f t="shared" ca="1" si="18"/>
        <v>50</v>
      </c>
      <c r="J409" s="232">
        <f t="shared" si="19"/>
        <v>3</v>
      </c>
      <c r="K409" s="233" t="str">
        <f t="shared" si="20"/>
        <v>On Time</v>
      </c>
    </row>
    <row r="410" spans="1:11">
      <c r="A410" s="24" t="s">
        <v>1776</v>
      </c>
      <c r="B410" s="24" t="s">
        <v>100</v>
      </c>
      <c r="C410" s="24" t="s">
        <v>259</v>
      </c>
      <c r="D410" s="30">
        <v>45684</v>
      </c>
      <c r="E410" s="30">
        <v>45694</v>
      </c>
      <c r="F410" s="24" t="s">
        <v>103</v>
      </c>
      <c r="G410" s="24" t="s">
        <v>28</v>
      </c>
      <c r="H410" s="30" t="s">
        <v>104</v>
      </c>
      <c r="I410" s="232">
        <f t="shared" ca="1" si="18"/>
        <v>31</v>
      </c>
      <c r="J410" s="232">
        <f t="shared" si="19"/>
        <v>10</v>
      </c>
      <c r="K410" s="233" t="str">
        <f t="shared" si="20"/>
        <v>Delayed</v>
      </c>
    </row>
    <row r="411" spans="1:11">
      <c r="A411" s="24" t="s">
        <v>1779</v>
      </c>
      <c r="B411" s="24" t="s">
        <v>127</v>
      </c>
      <c r="C411" s="24" t="s">
        <v>72</v>
      </c>
      <c r="D411" s="30">
        <v>46015</v>
      </c>
      <c r="E411" s="30">
        <v>46023</v>
      </c>
      <c r="F411" s="24" t="s">
        <v>200</v>
      </c>
      <c r="G411" s="24" t="s">
        <v>76</v>
      </c>
      <c r="H411" s="30" t="s">
        <v>131</v>
      </c>
      <c r="I411" s="232">
        <f t="shared" ca="1" si="18"/>
        <v>44</v>
      </c>
      <c r="J411" s="232">
        <f t="shared" si="19"/>
        <v>8</v>
      </c>
      <c r="K411" s="233" t="str">
        <f t="shared" si="20"/>
        <v>Delayed</v>
      </c>
    </row>
    <row r="412" spans="1:11">
      <c r="A412" s="24" t="s">
        <v>1782</v>
      </c>
      <c r="B412" s="24" t="s">
        <v>23</v>
      </c>
      <c r="C412" s="24" t="s">
        <v>222</v>
      </c>
      <c r="D412" s="30">
        <v>46153</v>
      </c>
      <c r="E412" s="30">
        <v>46159</v>
      </c>
      <c r="F412" s="24" t="s">
        <v>27</v>
      </c>
      <c r="G412" s="24" t="s">
        <v>28</v>
      </c>
      <c r="H412" s="30" t="s">
        <v>29</v>
      </c>
      <c r="I412" s="232">
        <f t="shared" ca="1" si="18"/>
        <v>49</v>
      </c>
      <c r="J412" s="232">
        <f t="shared" si="19"/>
        <v>6</v>
      </c>
      <c r="K412" s="233" t="str">
        <f t="shared" si="20"/>
        <v>Delayed</v>
      </c>
    </row>
    <row r="413" spans="1:11">
      <c r="A413" s="24" t="s">
        <v>1786</v>
      </c>
      <c r="B413" s="24" t="s">
        <v>100</v>
      </c>
      <c r="C413" s="24" t="s">
        <v>92</v>
      </c>
      <c r="D413" s="30">
        <v>46064</v>
      </c>
      <c r="E413" s="30">
        <v>46076</v>
      </c>
      <c r="F413" s="24" t="s">
        <v>103</v>
      </c>
      <c r="G413" s="24" t="s">
        <v>28</v>
      </c>
      <c r="H413" s="30" t="s">
        <v>104</v>
      </c>
      <c r="I413" s="232">
        <f t="shared" ca="1" si="18"/>
        <v>31</v>
      </c>
      <c r="J413" s="232">
        <f t="shared" si="19"/>
        <v>12</v>
      </c>
      <c r="K413" s="233" t="str">
        <f t="shared" si="20"/>
        <v>Delayed</v>
      </c>
    </row>
    <row r="414" spans="1:11">
      <c r="A414" s="24" t="s">
        <v>1790</v>
      </c>
      <c r="B414" s="24" t="s">
        <v>251</v>
      </c>
      <c r="C414" s="24" t="s">
        <v>222</v>
      </c>
      <c r="D414" s="30">
        <v>45704</v>
      </c>
      <c r="E414" s="30">
        <v>45712</v>
      </c>
      <c r="F414" s="24" t="s">
        <v>254</v>
      </c>
      <c r="G414" s="24" t="s">
        <v>28</v>
      </c>
      <c r="H414" s="30" t="s">
        <v>255</v>
      </c>
      <c r="I414" s="232">
        <f t="shared" ca="1" si="18"/>
        <v>45</v>
      </c>
      <c r="J414" s="232">
        <f t="shared" si="19"/>
        <v>8</v>
      </c>
      <c r="K414" s="233" t="str">
        <f t="shared" si="20"/>
        <v>Delayed</v>
      </c>
    </row>
    <row r="415" spans="1:11">
      <c r="A415" s="24" t="s">
        <v>1793</v>
      </c>
      <c r="B415" s="24" t="s">
        <v>168</v>
      </c>
      <c r="C415" s="24" t="s">
        <v>54</v>
      </c>
      <c r="D415" s="30">
        <v>45756</v>
      </c>
      <c r="E415" s="30">
        <v>45761</v>
      </c>
      <c r="F415" s="24" t="s">
        <v>361</v>
      </c>
      <c r="G415" s="24" t="s">
        <v>28</v>
      </c>
      <c r="H415" s="30" t="s">
        <v>173</v>
      </c>
      <c r="I415" s="232">
        <f t="shared" ca="1" si="18"/>
        <v>24</v>
      </c>
      <c r="J415" s="232">
        <f t="shared" si="19"/>
        <v>5</v>
      </c>
      <c r="K415" s="233" t="str">
        <f t="shared" si="20"/>
        <v>On Time</v>
      </c>
    </row>
    <row r="416" spans="1:11">
      <c r="A416" s="24" t="s">
        <v>1796</v>
      </c>
      <c r="B416" s="24" t="s">
        <v>100</v>
      </c>
      <c r="C416" s="24" t="s">
        <v>118</v>
      </c>
      <c r="D416" s="30">
        <v>45672</v>
      </c>
      <c r="E416" s="30">
        <v>45677</v>
      </c>
      <c r="F416" s="24" t="s">
        <v>103</v>
      </c>
      <c r="G416" s="24" t="s">
        <v>28</v>
      </c>
      <c r="H416" s="30" t="s">
        <v>104</v>
      </c>
      <c r="I416" s="232">
        <f t="shared" ca="1" si="18"/>
        <v>31</v>
      </c>
      <c r="J416" s="232">
        <f t="shared" si="19"/>
        <v>5</v>
      </c>
      <c r="K416" s="233" t="str">
        <f t="shared" si="20"/>
        <v>On Time</v>
      </c>
    </row>
    <row r="417" spans="1:11">
      <c r="A417" s="24" t="s">
        <v>1799</v>
      </c>
      <c r="B417" s="24" t="s">
        <v>83</v>
      </c>
      <c r="C417" s="24" t="s">
        <v>184</v>
      </c>
      <c r="D417" s="30">
        <v>46108</v>
      </c>
      <c r="E417" s="30">
        <v>46114</v>
      </c>
      <c r="F417" s="24" t="s">
        <v>180</v>
      </c>
      <c r="G417" s="24" t="s">
        <v>76</v>
      </c>
      <c r="H417" s="30" t="s">
        <v>87</v>
      </c>
      <c r="I417" s="232">
        <f t="shared" ca="1" si="18"/>
        <v>38</v>
      </c>
      <c r="J417" s="232">
        <f t="shared" si="19"/>
        <v>6</v>
      </c>
      <c r="K417" s="233" t="str">
        <f t="shared" si="20"/>
        <v>Delayed</v>
      </c>
    </row>
    <row r="418" spans="1:11">
      <c r="A418" s="24" t="s">
        <v>1803</v>
      </c>
      <c r="B418" s="24" t="s">
        <v>221</v>
      </c>
      <c r="C418" s="24" t="s">
        <v>40</v>
      </c>
      <c r="D418" s="30">
        <v>46027</v>
      </c>
      <c r="E418" s="30">
        <v>46031</v>
      </c>
      <c r="F418" s="24" t="s">
        <v>225</v>
      </c>
      <c r="G418" s="24" t="s">
        <v>76</v>
      </c>
      <c r="H418" s="30" t="s">
        <v>226</v>
      </c>
      <c r="I418" s="232">
        <f t="shared" ca="1" si="18"/>
        <v>34</v>
      </c>
      <c r="J418" s="232">
        <f t="shared" si="19"/>
        <v>4</v>
      </c>
      <c r="K418" s="233" t="str">
        <f t="shared" si="20"/>
        <v>On Time</v>
      </c>
    </row>
    <row r="419" spans="1:11">
      <c r="A419" s="24" t="s">
        <v>1806</v>
      </c>
      <c r="B419" s="24" t="s">
        <v>83</v>
      </c>
      <c r="C419" s="24" t="s">
        <v>40</v>
      </c>
      <c r="D419" s="30">
        <v>46129</v>
      </c>
      <c r="E419" s="30">
        <v>46141</v>
      </c>
      <c r="F419" s="24" t="s">
        <v>180</v>
      </c>
      <c r="G419" s="24" t="s">
        <v>76</v>
      </c>
      <c r="H419" s="30" t="s">
        <v>87</v>
      </c>
      <c r="I419" s="232">
        <f t="shared" ca="1" si="18"/>
        <v>38</v>
      </c>
      <c r="J419" s="232">
        <f t="shared" si="19"/>
        <v>12</v>
      </c>
      <c r="K419" s="233" t="str">
        <f t="shared" si="20"/>
        <v>Delayed</v>
      </c>
    </row>
    <row r="420" spans="1:11">
      <c r="A420" s="24" t="s">
        <v>1810</v>
      </c>
      <c r="B420" s="24" t="s">
        <v>83</v>
      </c>
      <c r="C420" s="24" t="s">
        <v>259</v>
      </c>
      <c r="D420" s="30">
        <v>45741</v>
      </c>
      <c r="E420" s="30">
        <v>45745</v>
      </c>
      <c r="F420" s="24" t="s">
        <v>180</v>
      </c>
      <c r="G420" s="24" t="s">
        <v>76</v>
      </c>
      <c r="H420" s="30" t="s">
        <v>87</v>
      </c>
      <c r="I420" s="232">
        <f t="shared" ca="1" si="18"/>
        <v>38</v>
      </c>
      <c r="J420" s="232">
        <f t="shared" si="19"/>
        <v>4</v>
      </c>
      <c r="K420" s="233" t="str">
        <f t="shared" si="20"/>
        <v>On Time</v>
      </c>
    </row>
    <row r="421" spans="1:11">
      <c r="A421" s="24" t="s">
        <v>1813</v>
      </c>
      <c r="B421" s="24" t="s">
        <v>127</v>
      </c>
      <c r="C421" s="24" t="s">
        <v>72</v>
      </c>
      <c r="D421" s="30">
        <v>45774</v>
      </c>
      <c r="E421" s="30">
        <v>45786</v>
      </c>
      <c r="F421" s="24" t="s">
        <v>200</v>
      </c>
      <c r="G421" s="24" t="s">
        <v>76</v>
      </c>
      <c r="H421" s="30" t="s">
        <v>131</v>
      </c>
      <c r="I421" s="232">
        <f t="shared" ca="1" si="18"/>
        <v>44</v>
      </c>
      <c r="J421" s="232">
        <f t="shared" si="19"/>
        <v>12</v>
      </c>
      <c r="K421" s="233" t="str">
        <f t="shared" si="20"/>
        <v>Delayed</v>
      </c>
    </row>
    <row r="422" spans="1:11">
      <c r="A422" s="24" t="s">
        <v>1816</v>
      </c>
      <c r="B422" s="24" t="s">
        <v>71</v>
      </c>
      <c r="C422" s="24" t="s">
        <v>72</v>
      </c>
      <c r="D422" s="30">
        <v>45919</v>
      </c>
      <c r="E422" s="30">
        <v>45926</v>
      </c>
      <c r="F422" s="24" t="s">
        <v>217</v>
      </c>
      <c r="G422" s="24" t="s">
        <v>76</v>
      </c>
      <c r="H422" s="30" t="s">
        <v>77</v>
      </c>
      <c r="I422" s="232">
        <f t="shared" ca="1" si="18"/>
        <v>50</v>
      </c>
      <c r="J422" s="232">
        <f t="shared" si="19"/>
        <v>7</v>
      </c>
      <c r="K422" s="233" t="str">
        <f t="shared" si="20"/>
        <v>Delayed</v>
      </c>
    </row>
    <row r="423" spans="1:11">
      <c r="A423" s="24" t="s">
        <v>1820</v>
      </c>
      <c r="B423" s="24" t="s">
        <v>127</v>
      </c>
      <c r="C423" s="24" t="s">
        <v>72</v>
      </c>
      <c r="D423" s="30">
        <v>45795</v>
      </c>
      <c r="E423" s="30">
        <v>45797</v>
      </c>
      <c r="F423" s="24" t="s">
        <v>200</v>
      </c>
      <c r="G423" s="24" t="s">
        <v>76</v>
      </c>
      <c r="H423" s="30" t="s">
        <v>131</v>
      </c>
      <c r="I423" s="232">
        <f t="shared" ca="1" si="18"/>
        <v>44</v>
      </c>
      <c r="J423" s="232">
        <f t="shared" si="19"/>
        <v>2</v>
      </c>
      <c r="K423" s="233" t="str">
        <f t="shared" si="20"/>
        <v>On Time</v>
      </c>
    </row>
    <row r="424" spans="1:11">
      <c r="A424" s="24" t="s">
        <v>1823</v>
      </c>
      <c r="B424" s="24" t="s">
        <v>327</v>
      </c>
      <c r="C424" s="24" t="s">
        <v>24</v>
      </c>
      <c r="D424" s="30">
        <v>46020</v>
      </c>
      <c r="E424" s="30">
        <v>46021</v>
      </c>
      <c r="F424" s="24" t="s">
        <v>394</v>
      </c>
      <c r="G424" s="24" t="s">
        <v>76</v>
      </c>
      <c r="H424" s="30" t="s">
        <v>331</v>
      </c>
      <c r="I424" s="232">
        <f t="shared" ca="1" si="18"/>
        <v>34</v>
      </c>
      <c r="J424" s="232">
        <f t="shared" si="19"/>
        <v>1</v>
      </c>
      <c r="K424" s="233" t="str">
        <f t="shared" si="20"/>
        <v>On Time</v>
      </c>
    </row>
    <row r="425" spans="1:11">
      <c r="A425" s="24" t="s">
        <v>1827</v>
      </c>
      <c r="B425" s="24" t="s">
        <v>127</v>
      </c>
      <c r="C425" s="24" t="s">
        <v>222</v>
      </c>
      <c r="D425" s="30">
        <v>45669</v>
      </c>
      <c r="E425" s="30">
        <v>45673</v>
      </c>
      <c r="F425" s="24" t="s">
        <v>200</v>
      </c>
      <c r="G425" s="24" t="s">
        <v>76</v>
      </c>
      <c r="H425" s="30" t="s">
        <v>131</v>
      </c>
      <c r="I425" s="232">
        <f t="shared" ca="1" si="18"/>
        <v>44</v>
      </c>
      <c r="J425" s="232">
        <f t="shared" si="19"/>
        <v>4</v>
      </c>
      <c r="K425" s="233" t="str">
        <f t="shared" si="20"/>
        <v>On Time</v>
      </c>
    </row>
    <row r="426" spans="1:11">
      <c r="A426" s="24" t="s">
        <v>1830</v>
      </c>
      <c r="B426" s="24" t="s">
        <v>221</v>
      </c>
      <c r="C426" s="24" t="s">
        <v>54</v>
      </c>
      <c r="D426" s="30">
        <v>46035</v>
      </c>
      <c r="E426" s="30">
        <v>46044</v>
      </c>
      <c r="F426" s="24" t="s">
        <v>225</v>
      </c>
      <c r="G426" s="24" t="s">
        <v>76</v>
      </c>
      <c r="H426" s="30" t="s">
        <v>226</v>
      </c>
      <c r="I426" s="232">
        <f t="shared" ca="1" si="18"/>
        <v>34</v>
      </c>
      <c r="J426" s="232">
        <f t="shared" si="19"/>
        <v>9</v>
      </c>
      <c r="K426" s="233" t="str">
        <f t="shared" si="20"/>
        <v>Delayed</v>
      </c>
    </row>
    <row r="427" spans="1:11">
      <c r="A427" s="24" t="s">
        <v>1833</v>
      </c>
      <c r="B427" s="24" t="s">
        <v>100</v>
      </c>
      <c r="C427" s="24" t="s">
        <v>72</v>
      </c>
      <c r="D427" s="30">
        <v>46096</v>
      </c>
      <c r="E427" s="30">
        <v>46099</v>
      </c>
      <c r="F427" s="24" t="s">
        <v>103</v>
      </c>
      <c r="G427" s="24" t="s">
        <v>28</v>
      </c>
      <c r="H427" s="30" t="s">
        <v>104</v>
      </c>
      <c r="I427" s="232">
        <f t="shared" ca="1" si="18"/>
        <v>31</v>
      </c>
      <c r="J427" s="232">
        <f t="shared" si="19"/>
        <v>3</v>
      </c>
      <c r="K427" s="233" t="str">
        <f t="shared" si="20"/>
        <v>On Time</v>
      </c>
    </row>
    <row r="428" spans="1:11">
      <c r="A428" s="24" t="s">
        <v>1837</v>
      </c>
      <c r="B428" s="24" t="s">
        <v>83</v>
      </c>
      <c r="C428" s="24" t="s">
        <v>169</v>
      </c>
      <c r="D428" s="30">
        <v>45986</v>
      </c>
      <c r="E428" s="30">
        <v>45991</v>
      </c>
      <c r="F428" s="24" t="s">
        <v>180</v>
      </c>
      <c r="G428" s="24" t="s">
        <v>76</v>
      </c>
      <c r="H428" s="30" t="s">
        <v>87</v>
      </c>
      <c r="I428" s="232">
        <f t="shared" ca="1" si="18"/>
        <v>38</v>
      </c>
      <c r="J428" s="232">
        <f t="shared" si="19"/>
        <v>5</v>
      </c>
      <c r="K428" s="233" t="str">
        <f t="shared" si="20"/>
        <v>On Time</v>
      </c>
    </row>
    <row r="429" spans="1:11">
      <c r="A429" s="24" t="s">
        <v>1841</v>
      </c>
      <c r="B429" s="24" t="s">
        <v>71</v>
      </c>
      <c r="C429" s="24" t="s">
        <v>118</v>
      </c>
      <c r="D429" s="30">
        <v>45692</v>
      </c>
      <c r="E429" s="30">
        <v>45703</v>
      </c>
      <c r="F429" s="24" t="s">
        <v>217</v>
      </c>
      <c r="G429" s="24" t="s">
        <v>76</v>
      </c>
      <c r="H429" s="30" t="s">
        <v>77</v>
      </c>
      <c r="I429" s="232">
        <f t="shared" ca="1" si="18"/>
        <v>50</v>
      </c>
      <c r="J429" s="232">
        <f t="shared" si="19"/>
        <v>11</v>
      </c>
      <c r="K429" s="233" t="str">
        <f t="shared" si="20"/>
        <v>Delayed</v>
      </c>
    </row>
    <row r="430" spans="1:11">
      <c r="A430" s="24" t="s">
        <v>1845</v>
      </c>
      <c r="B430" s="24" t="s">
        <v>251</v>
      </c>
      <c r="C430" s="24" t="s">
        <v>24</v>
      </c>
      <c r="D430" s="30">
        <v>45775</v>
      </c>
      <c r="E430" s="30">
        <v>45776</v>
      </c>
      <c r="F430" s="24" t="s">
        <v>254</v>
      </c>
      <c r="G430" s="24" t="s">
        <v>28</v>
      </c>
      <c r="H430" s="30" t="s">
        <v>255</v>
      </c>
      <c r="I430" s="232">
        <f t="shared" ca="1" si="18"/>
        <v>45</v>
      </c>
      <c r="J430" s="232">
        <f t="shared" si="19"/>
        <v>1</v>
      </c>
      <c r="K430" s="233" t="str">
        <f t="shared" si="20"/>
        <v>On Time</v>
      </c>
    </row>
    <row r="431" spans="1:11">
      <c r="A431" s="24" t="s">
        <v>1848</v>
      </c>
      <c r="B431" s="24" t="s">
        <v>83</v>
      </c>
      <c r="C431" s="24" t="s">
        <v>118</v>
      </c>
      <c r="D431" s="30">
        <v>45896</v>
      </c>
      <c r="E431" s="30">
        <v>45898</v>
      </c>
      <c r="F431" s="24" t="s">
        <v>180</v>
      </c>
      <c r="G431" s="24" t="s">
        <v>76</v>
      </c>
      <c r="H431" s="30" t="s">
        <v>87</v>
      </c>
      <c r="I431" s="232">
        <f t="shared" ca="1" si="18"/>
        <v>38</v>
      </c>
      <c r="J431" s="232">
        <f t="shared" si="19"/>
        <v>2</v>
      </c>
      <c r="K431" s="233" t="str">
        <f t="shared" si="20"/>
        <v>On Time</v>
      </c>
    </row>
    <row r="432" spans="1:11">
      <c r="A432" s="24" t="s">
        <v>1853</v>
      </c>
      <c r="B432" s="24" t="s">
        <v>53</v>
      </c>
      <c r="C432" s="24" t="s">
        <v>259</v>
      </c>
      <c r="D432" s="30">
        <v>45942</v>
      </c>
      <c r="E432" s="30">
        <v>45953</v>
      </c>
      <c r="F432" s="24" t="s">
        <v>163</v>
      </c>
      <c r="G432" s="24" t="s">
        <v>28</v>
      </c>
      <c r="H432" s="30" t="s">
        <v>58</v>
      </c>
      <c r="I432" s="232">
        <f t="shared" ca="1" si="18"/>
        <v>31</v>
      </c>
      <c r="J432" s="232">
        <f t="shared" si="19"/>
        <v>11</v>
      </c>
      <c r="K432" s="233" t="str">
        <f t="shared" si="20"/>
        <v>Delayed</v>
      </c>
    </row>
    <row r="433" spans="1:11">
      <c r="A433" s="24" t="s">
        <v>1856</v>
      </c>
      <c r="B433" s="24" t="s">
        <v>251</v>
      </c>
      <c r="C433" s="24" t="s">
        <v>40</v>
      </c>
      <c r="D433" s="30">
        <v>46036</v>
      </c>
      <c r="E433" s="30">
        <v>46046</v>
      </c>
      <c r="F433" s="24" t="s">
        <v>254</v>
      </c>
      <c r="G433" s="24" t="s">
        <v>28</v>
      </c>
      <c r="H433" s="30" t="s">
        <v>255</v>
      </c>
      <c r="I433" s="232">
        <f t="shared" ca="1" si="18"/>
        <v>45</v>
      </c>
      <c r="J433" s="232">
        <f t="shared" si="19"/>
        <v>10</v>
      </c>
      <c r="K433" s="233" t="str">
        <f t="shared" si="20"/>
        <v>Delayed</v>
      </c>
    </row>
    <row r="434" spans="1:11">
      <c r="A434" s="24" t="s">
        <v>1859</v>
      </c>
      <c r="B434" s="24" t="s">
        <v>327</v>
      </c>
      <c r="C434" s="24" t="s">
        <v>222</v>
      </c>
      <c r="D434" s="30">
        <v>46152</v>
      </c>
      <c r="E434" s="24"/>
      <c r="F434" s="24" t="s">
        <v>394</v>
      </c>
      <c r="G434" s="24" t="s">
        <v>76</v>
      </c>
      <c r="H434" s="30" t="s">
        <v>331</v>
      </c>
      <c r="I434" s="232">
        <f t="shared" ca="1" si="18"/>
        <v>34</v>
      </c>
      <c r="J434" s="232" t="str">
        <f t="shared" si="19"/>
        <v>Pending</v>
      </c>
      <c r="K434" s="233" t="str">
        <f t="shared" si="20"/>
        <v>Pending</v>
      </c>
    </row>
    <row r="435" spans="1:11">
      <c r="A435" s="24" t="s">
        <v>1862</v>
      </c>
      <c r="B435" s="24" t="s">
        <v>23</v>
      </c>
      <c r="C435" s="24" t="s">
        <v>92</v>
      </c>
      <c r="D435" s="30">
        <v>45689</v>
      </c>
      <c r="E435" s="30">
        <v>45694</v>
      </c>
      <c r="F435" s="24" t="s">
        <v>27</v>
      </c>
      <c r="G435" s="24" t="s">
        <v>28</v>
      </c>
      <c r="H435" s="30" t="s">
        <v>29</v>
      </c>
      <c r="I435" s="232">
        <f t="shared" ca="1" si="18"/>
        <v>49</v>
      </c>
      <c r="J435" s="232">
        <f t="shared" si="19"/>
        <v>5</v>
      </c>
      <c r="K435" s="233" t="str">
        <f t="shared" si="20"/>
        <v>On Time</v>
      </c>
    </row>
    <row r="436" spans="1:11">
      <c r="A436" s="24" t="s">
        <v>1866</v>
      </c>
      <c r="B436" s="24" t="s">
        <v>327</v>
      </c>
      <c r="C436" s="24" t="s">
        <v>169</v>
      </c>
      <c r="D436" s="30">
        <v>45710</v>
      </c>
      <c r="E436" s="30">
        <v>45720</v>
      </c>
      <c r="F436" s="24" t="s">
        <v>394</v>
      </c>
      <c r="G436" s="24" t="s">
        <v>76</v>
      </c>
      <c r="H436" s="30" t="s">
        <v>331</v>
      </c>
      <c r="I436" s="232">
        <f t="shared" ca="1" si="18"/>
        <v>34</v>
      </c>
      <c r="J436" s="232">
        <f t="shared" si="19"/>
        <v>10</v>
      </c>
      <c r="K436" s="233" t="str">
        <f t="shared" si="20"/>
        <v>Delayed</v>
      </c>
    </row>
    <row r="437" spans="1:11">
      <c r="A437" s="24" t="s">
        <v>1870</v>
      </c>
      <c r="B437" s="24" t="s">
        <v>23</v>
      </c>
      <c r="C437" s="24" t="s">
        <v>118</v>
      </c>
      <c r="D437" s="30">
        <v>45765</v>
      </c>
      <c r="E437" s="30">
        <v>45767</v>
      </c>
      <c r="F437" s="24" t="s">
        <v>27</v>
      </c>
      <c r="G437" s="24" t="s">
        <v>28</v>
      </c>
      <c r="H437" s="30" t="s">
        <v>29</v>
      </c>
      <c r="I437" s="232">
        <f t="shared" ca="1" si="18"/>
        <v>49</v>
      </c>
      <c r="J437" s="232">
        <f t="shared" si="19"/>
        <v>2</v>
      </c>
      <c r="K437" s="233" t="str">
        <f t="shared" si="20"/>
        <v>On Time</v>
      </c>
    </row>
    <row r="438" spans="1:11">
      <c r="A438" s="24" t="s">
        <v>1873</v>
      </c>
      <c r="B438" s="24" t="s">
        <v>127</v>
      </c>
      <c r="C438" s="24" t="s">
        <v>118</v>
      </c>
      <c r="D438" s="30">
        <v>45967</v>
      </c>
      <c r="E438" s="30">
        <v>45972</v>
      </c>
      <c r="F438" s="24" t="s">
        <v>200</v>
      </c>
      <c r="G438" s="24" t="s">
        <v>76</v>
      </c>
      <c r="H438" s="30" t="s">
        <v>131</v>
      </c>
      <c r="I438" s="232">
        <f t="shared" ca="1" si="18"/>
        <v>44</v>
      </c>
      <c r="J438" s="232">
        <f t="shared" si="19"/>
        <v>5</v>
      </c>
      <c r="K438" s="233" t="str">
        <f t="shared" si="20"/>
        <v>On Time</v>
      </c>
    </row>
    <row r="439" spans="1:11">
      <c r="A439" s="24" t="s">
        <v>1876</v>
      </c>
      <c r="B439" s="24" t="s">
        <v>100</v>
      </c>
      <c r="C439" s="24" t="s">
        <v>184</v>
      </c>
      <c r="D439" s="30">
        <v>45736</v>
      </c>
      <c r="E439" s="30">
        <v>45741</v>
      </c>
      <c r="F439" s="24" t="s">
        <v>103</v>
      </c>
      <c r="G439" s="24" t="s">
        <v>28</v>
      </c>
      <c r="H439" s="30" t="s">
        <v>104</v>
      </c>
      <c r="I439" s="232">
        <f t="shared" ca="1" si="18"/>
        <v>31</v>
      </c>
      <c r="J439" s="232">
        <f t="shared" si="19"/>
        <v>5</v>
      </c>
      <c r="K439" s="233" t="str">
        <f t="shared" si="20"/>
        <v>On Time</v>
      </c>
    </row>
    <row r="440" spans="1:11">
      <c r="A440" s="24" t="s">
        <v>1879</v>
      </c>
      <c r="B440" s="24" t="s">
        <v>83</v>
      </c>
      <c r="C440" s="24" t="s">
        <v>222</v>
      </c>
      <c r="D440" s="30">
        <v>45952</v>
      </c>
      <c r="E440" s="30">
        <v>45955</v>
      </c>
      <c r="F440" s="24" t="s">
        <v>180</v>
      </c>
      <c r="G440" s="24" t="s">
        <v>76</v>
      </c>
      <c r="H440" s="30" t="s">
        <v>87</v>
      </c>
      <c r="I440" s="232">
        <f t="shared" ca="1" si="18"/>
        <v>38</v>
      </c>
      <c r="J440" s="232">
        <f t="shared" si="19"/>
        <v>3</v>
      </c>
      <c r="K440" s="233" t="str">
        <f t="shared" si="20"/>
        <v>On Time</v>
      </c>
    </row>
    <row r="441" spans="1:11">
      <c r="A441" s="24" t="s">
        <v>1884</v>
      </c>
      <c r="B441" s="24" t="s">
        <v>83</v>
      </c>
      <c r="C441" s="24" t="s">
        <v>222</v>
      </c>
      <c r="D441" s="30">
        <v>46022</v>
      </c>
      <c r="E441" s="30">
        <v>46027</v>
      </c>
      <c r="F441" s="24" t="s">
        <v>180</v>
      </c>
      <c r="G441" s="24" t="s">
        <v>76</v>
      </c>
      <c r="H441" s="30" t="s">
        <v>87</v>
      </c>
      <c r="I441" s="232">
        <f t="shared" ca="1" si="18"/>
        <v>38</v>
      </c>
      <c r="J441" s="232">
        <f t="shared" si="19"/>
        <v>5</v>
      </c>
      <c r="K441" s="233" t="str">
        <f t="shared" si="20"/>
        <v>On Time</v>
      </c>
    </row>
    <row r="442" spans="1:11">
      <c r="A442" s="24" t="s">
        <v>1888</v>
      </c>
      <c r="B442" s="24" t="s">
        <v>327</v>
      </c>
      <c r="C442" s="24" t="s">
        <v>92</v>
      </c>
      <c r="D442" s="30">
        <v>45829</v>
      </c>
      <c r="E442" s="30">
        <v>45833</v>
      </c>
      <c r="F442" s="24" t="s">
        <v>394</v>
      </c>
      <c r="G442" s="24" t="s">
        <v>76</v>
      </c>
      <c r="H442" s="30" t="s">
        <v>331</v>
      </c>
      <c r="I442" s="232">
        <f t="shared" ca="1" si="18"/>
        <v>34</v>
      </c>
      <c r="J442" s="232">
        <f t="shared" si="19"/>
        <v>4</v>
      </c>
      <c r="K442" s="233" t="str">
        <f t="shared" si="20"/>
        <v>On Time</v>
      </c>
    </row>
    <row r="443" spans="1:11">
      <c r="A443" s="24" t="s">
        <v>1891</v>
      </c>
      <c r="B443" s="24" t="s">
        <v>83</v>
      </c>
      <c r="C443" s="24" t="s">
        <v>92</v>
      </c>
      <c r="D443" s="30">
        <v>45812</v>
      </c>
      <c r="E443" s="30">
        <v>45813</v>
      </c>
      <c r="F443" s="24" t="s">
        <v>180</v>
      </c>
      <c r="G443" s="24" t="s">
        <v>76</v>
      </c>
      <c r="H443" s="30" t="s">
        <v>87</v>
      </c>
      <c r="I443" s="232">
        <f t="shared" ca="1" si="18"/>
        <v>38</v>
      </c>
      <c r="J443" s="232">
        <f t="shared" si="19"/>
        <v>1</v>
      </c>
      <c r="K443" s="233" t="str">
        <f t="shared" si="20"/>
        <v>On Time</v>
      </c>
    </row>
    <row r="444" spans="1:11">
      <c r="A444" s="24" t="s">
        <v>1894</v>
      </c>
      <c r="B444" s="24" t="s">
        <v>127</v>
      </c>
      <c r="C444" s="24" t="s">
        <v>118</v>
      </c>
      <c r="D444" s="30">
        <v>45807</v>
      </c>
      <c r="E444" s="30">
        <v>45811</v>
      </c>
      <c r="F444" s="24" t="s">
        <v>200</v>
      </c>
      <c r="G444" s="24" t="s">
        <v>76</v>
      </c>
      <c r="H444" s="30" t="s">
        <v>131</v>
      </c>
      <c r="I444" s="232">
        <f t="shared" ca="1" si="18"/>
        <v>44</v>
      </c>
      <c r="J444" s="232">
        <f t="shared" si="19"/>
        <v>4</v>
      </c>
      <c r="K444" s="233" t="str">
        <f t="shared" si="20"/>
        <v>On Time</v>
      </c>
    </row>
    <row r="445" spans="1:11">
      <c r="A445" s="24" t="s">
        <v>1897</v>
      </c>
      <c r="B445" s="24" t="s">
        <v>168</v>
      </c>
      <c r="C445" s="24" t="s">
        <v>72</v>
      </c>
      <c r="D445" s="30">
        <v>45779</v>
      </c>
      <c r="E445" s="30">
        <v>45780</v>
      </c>
      <c r="F445" s="24" t="s">
        <v>361</v>
      </c>
      <c r="G445" s="24" t="s">
        <v>28</v>
      </c>
      <c r="H445" s="30" t="s">
        <v>173</v>
      </c>
      <c r="I445" s="232">
        <f t="shared" ca="1" si="18"/>
        <v>24</v>
      </c>
      <c r="J445" s="232">
        <f t="shared" si="19"/>
        <v>1</v>
      </c>
      <c r="K445" s="233" t="str">
        <f t="shared" si="20"/>
        <v>On Time</v>
      </c>
    </row>
    <row r="446" spans="1:11">
      <c r="A446" s="24" t="s">
        <v>1901</v>
      </c>
      <c r="B446" s="24" t="s">
        <v>53</v>
      </c>
      <c r="C446" s="24" t="s">
        <v>54</v>
      </c>
      <c r="D446" s="30">
        <v>45691</v>
      </c>
      <c r="E446" s="30">
        <v>45701</v>
      </c>
      <c r="F446" s="24" t="s">
        <v>163</v>
      </c>
      <c r="G446" s="24" t="s">
        <v>28</v>
      </c>
      <c r="H446" s="30" t="s">
        <v>58</v>
      </c>
      <c r="I446" s="232">
        <f t="shared" ca="1" si="18"/>
        <v>31</v>
      </c>
      <c r="J446" s="232">
        <f t="shared" si="19"/>
        <v>10</v>
      </c>
      <c r="K446" s="233" t="str">
        <f t="shared" si="20"/>
        <v>Delayed</v>
      </c>
    </row>
    <row r="447" spans="1:11">
      <c r="A447" s="24" t="s">
        <v>1904</v>
      </c>
      <c r="B447" s="24" t="s">
        <v>221</v>
      </c>
      <c r="C447" s="24" t="s">
        <v>259</v>
      </c>
      <c r="D447" s="30">
        <v>45837</v>
      </c>
      <c r="E447" s="30">
        <v>45844</v>
      </c>
      <c r="F447" s="24" t="s">
        <v>225</v>
      </c>
      <c r="G447" s="24" t="s">
        <v>76</v>
      </c>
      <c r="H447" s="30" t="s">
        <v>226</v>
      </c>
      <c r="I447" s="232">
        <f t="shared" ca="1" si="18"/>
        <v>34</v>
      </c>
      <c r="J447" s="232">
        <f t="shared" si="19"/>
        <v>7</v>
      </c>
      <c r="K447" s="233" t="str">
        <f t="shared" si="20"/>
        <v>Delayed</v>
      </c>
    </row>
    <row r="448" spans="1:11">
      <c r="A448" s="24" t="s">
        <v>1908</v>
      </c>
      <c r="B448" s="24" t="s">
        <v>23</v>
      </c>
      <c r="C448" s="24" t="s">
        <v>222</v>
      </c>
      <c r="D448" s="30">
        <v>46065</v>
      </c>
      <c r="E448" s="30">
        <v>46075</v>
      </c>
      <c r="F448" s="24" t="s">
        <v>27</v>
      </c>
      <c r="G448" s="24" t="s">
        <v>28</v>
      </c>
      <c r="H448" s="30" t="s">
        <v>29</v>
      </c>
      <c r="I448" s="232">
        <f t="shared" ca="1" si="18"/>
        <v>49</v>
      </c>
      <c r="J448" s="232">
        <f t="shared" si="19"/>
        <v>10</v>
      </c>
      <c r="K448" s="233" t="str">
        <f t="shared" si="20"/>
        <v>Delayed</v>
      </c>
    </row>
    <row r="449" spans="1:11">
      <c r="A449" s="24" t="s">
        <v>1911</v>
      </c>
      <c r="B449" s="24" t="s">
        <v>23</v>
      </c>
      <c r="C449" s="24" t="s">
        <v>54</v>
      </c>
      <c r="D449" s="30">
        <v>45719</v>
      </c>
      <c r="E449" s="30">
        <v>45730</v>
      </c>
      <c r="F449" s="24" t="s">
        <v>27</v>
      </c>
      <c r="G449" s="24" t="s">
        <v>28</v>
      </c>
      <c r="H449" s="30" t="s">
        <v>29</v>
      </c>
      <c r="I449" s="232">
        <f t="shared" ca="1" si="18"/>
        <v>49</v>
      </c>
      <c r="J449" s="232">
        <f t="shared" si="19"/>
        <v>11</v>
      </c>
      <c r="K449" s="233" t="str">
        <f t="shared" si="20"/>
        <v>Delayed</v>
      </c>
    </row>
    <row r="450" spans="1:11">
      <c r="A450" s="24" t="s">
        <v>1915</v>
      </c>
      <c r="B450" s="24" t="s">
        <v>327</v>
      </c>
      <c r="C450" s="24" t="s">
        <v>72</v>
      </c>
      <c r="D450" s="30">
        <v>46136</v>
      </c>
      <c r="E450" s="30">
        <v>46140</v>
      </c>
      <c r="F450" s="24" t="s">
        <v>394</v>
      </c>
      <c r="G450" s="24" t="s">
        <v>76</v>
      </c>
      <c r="H450" s="30" t="s">
        <v>331</v>
      </c>
      <c r="I450" s="232">
        <f t="shared" ca="1" si="18"/>
        <v>34</v>
      </c>
      <c r="J450" s="232">
        <f t="shared" si="19"/>
        <v>4</v>
      </c>
      <c r="K450" s="233" t="str">
        <f t="shared" si="20"/>
        <v>On Time</v>
      </c>
    </row>
    <row r="451" spans="1:11">
      <c r="A451" s="24" t="s">
        <v>1920</v>
      </c>
      <c r="B451" s="24" t="s">
        <v>327</v>
      </c>
      <c r="C451" s="24" t="s">
        <v>169</v>
      </c>
      <c r="D451" s="30">
        <v>46145</v>
      </c>
      <c r="E451" s="30">
        <v>46155</v>
      </c>
      <c r="F451" s="24" t="s">
        <v>394</v>
      </c>
      <c r="G451" s="24" t="s">
        <v>76</v>
      </c>
      <c r="H451" s="30" t="s">
        <v>331</v>
      </c>
      <c r="I451" s="232">
        <f t="shared" ref="I451:I501" ca="1" si="21">DATEDIF(H451, TODAY(), "Y")</f>
        <v>34</v>
      </c>
      <c r="J451" s="232">
        <f t="shared" ref="J451:J501" si="22">IFERROR(IF(OR(E451="", D451="", LOWER(TRIM(E451))="pending", LOWER(TRIM(D451))="pending"), "Pending", E451 - D451), "Pending")</f>
        <v>10</v>
      </c>
      <c r="K451" s="233" t="str">
        <f t="shared" ref="K451:K501" si="23">IFERROR(IF(OR(E451="", D451="","Pending","Pending"), "Pending", IF((E451 - D451) &lt;= 5, "On Time", "Delayed")), "Pending")</f>
        <v>Delayed</v>
      </c>
    </row>
    <row r="452" spans="1:11">
      <c r="A452" s="24" t="s">
        <v>1923</v>
      </c>
      <c r="B452" s="24" t="s">
        <v>71</v>
      </c>
      <c r="C452" s="24" t="s">
        <v>259</v>
      </c>
      <c r="D452" s="30">
        <v>45807</v>
      </c>
      <c r="E452" s="30">
        <v>45815</v>
      </c>
      <c r="F452" s="24" t="s">
        <v>217</v>
      </c>
      <c r="G452" s="24" t="s">
        <v>76</v>
      </c>
      <c r="H452" s="30" t="s">
        <v>77</v>
      </c>
      <c r="I452" s="232">
        <f t="shared" ca="1" si="21"/>
        <v>50</v>
      </c>
      <c r="J452" s="232">
        <f t="shared" si="22"/>
        <v>8</v>
      </c>
      <c r="K452" s="233" t="str">
        <f t="shared" si="23"/>
        <v>Delayed</v>
      </c>
    </row>
    <row r="453" spans="1:11">
      <c r="A453" s="24" t="s">
        <v>1927</v>
      </c>
      <c r="B453" s="24" t="s">
        <v>71</v>
      </c>
      <c r="C453" s="24" t="s">
        <v>54</v>
      </c>
      <c r="D453" s="30">
        <v>45705</v>
      </c>
      <c r="E453" s="30">
        <v>45716</v>
      </c>
      <c r="F453" s="24" t="s">
        <v>217</v>
      </c>
      <c r="G453" s="24" t="s">
        <v>76</v>
      </c>
      <c r="H453" s="30" t="s">
        <v>77</v>
      </c>
      <c r="I453" s="232">
        <f t="shared" ca="1" si="21"/>
        <v>50</v>
      </c>
      <c r="J453" s="232">
        <f t="shared" si="22"/>
        <v>11</v>
      </c>
      <c r="K453" s="233" t="str">
        <f t="shared" si="23"/>
        <v>Delayed</v>
      </c>
    </row>
    <row r="454" spans="1:11">
      <c r="A454" s="24" t="s">
        <v>1930</v>
      </c>
      <c r="B454" s="24" t="s">
        <v>53</v>
      </c>
      <c r="C454" s="24" t="s">
        <v>184</v>
      </c>
      <c r="D454" s="30">
        <v>46103</v>
      </c>
      <c r="E454" s="30">
        <v>46110</v>
      </c>
      <c r="F454" s="24" t="s">
        <v>163</v>
      </c>
      <c r="G454" s="24" t="s">
        <v>28</v>
      </c>
      <c r="H454" s="30" t="s">
        <v>58</v>
      </c>
      <c r="I454" s="232">
        <f t="shared" ca="1" si="21"/>
        <v>31</v>
      </c>
      <c r="J454" s="232">
        <f t="shared" si="22"/>
        <v>7</v>
      </c>
      <c r="K454" s="233" t="str">
        <f t="shared" si="23"/>
        <v>Delayed</v>
      </c>
    </row>
    <row r="455" spans="1:11">
      <c r="A455" s="24" t="s">
        <v>1935</v>
      </c>
      <c r="B455" s="24" t="s">
        <v>251</v>
      </c>
      <c r="C455" s="24" t="s">
        <v>72</v>
      </c>
      <c r="D455" s="30">
        <v>46114</v>
      </c>
      <c r="E455" s="30">
        <v>46125</v>
      </c>
      <c r="F455" s="24" t="s">
        <v>254</v>
      </c>
      <c r="G455" s="24" t="s">
        <v>28</v>
      </c>
      <c r="H455" s="30" t="s">
        <v>255</v>
      </c>
      <c r="I455" s="232">
        <f t="shared" ca="1" si="21"/>
        <v>45</v>
      </c>
      <c r="J455" s="232">
        <f t="shared" si="22"/>
        <v>11</v>
      </c>
      <c r="K455" s="233" t="str">
        <f t="shared" si="23"/>
        <v>Delayed</v>
      </c>
    </row>
    <row r="456" spans="1:11">
      <c r="A456" s="24" t="s">
        <v>1939</v>
      </c>
      <c r="B456" s="24" t="s">
        <v>71</v>
      </c>
      <c r="C456" s="24" t="s">
        <v>92</v>
      </c>
      <c r="D456" s="30">
        <v>45706</v>
      </c>
      <c r="E456" s="30">
        <v>45714</v>
      </c>
      <c r="F456" s="24" t="s">
        <v>217</v>
      </c>
      <c r="G456" s="24" t="s">
        <v>76</v>
      </c>
      <c r="H456" s="30" t="s">
        <v>77</v>
      </c>
      <c r="I456" s="232">
        <f t="shared" ca="1" si="21"/>
        <v>50</v>
      </c>
      <c r="J456" s="232">
        <f t="shared" si="22"/>
        <v>8</v>
      </c>
      <c r="K456" s="233" t="str">
        <f t="shared" si="23"/>
        <v>Delayed</v>
      </c>
    </row>
    <row r="457" spans="1:11">
      <c r="A457" s="24" t="s">
        <v>1942</v>
      </c>
      <c r="B457" s="24" t="s">
        <v>53</v>
      </c>
      <c r="C457" s="24" t="s">
        <v>54</v>
      </c>
      <c r="D457" s="30">
        <v>46110</v>
      </c>
      <c r="E457" s="30">
        <v>46116</v>
      </c>
      <c r="F457" s="24" t="s">
        <v>163</v>
      </c>
      <c r="G457" s="24" t="s">
        <v>28</v>
      </c>
      <c r="H457" s="30" t="s">
        <v>58</v>
      </c>
      <c r="I457" s="232">
        <f t="shared" ca="1" si="21"/>
        <v>31</v>
      </c>
      <c r="J457" s="232">
        <f t="shared" si="22"/>
        <v>6</v>
      </c>
      <c r="K457" s="233" t="str">
        <f t="shared" si="23"/>
        <v>Delayed</v>
      </c>
    </row>
    <row r="458" spans="1:11">
      <c r="A458" s="24" t="s">
        <v>1945</v>
      </c>
      <c r="B458" s="24" t="s">
        <v>327</v>
      </c>
      <c r="C458" s="24" t="s">
        <v>40</v>
      </c>
      <c r="D458" s="30">
        <v>45992</v>
      </c>
      <c r="E458" s="30">
        <v>45993</v>
      </c>
      <c r="F458" s="24" t="s">
        <v>394</v>
      </c>
      <c r="G458" s="24" t="s">
        <v>76</v>
      </c>
      <c r="H458" s="30" t="s">
        <v>331</v>
      </c>
      <c r="I458" s="232">
        <f t="shared" ca="1" si="21"/>
        <v>34</v>
      </c>
      <c r="J458" s="232">
        <f t="shared" si="22"/>
        <v>1</v>
      </c>
      <c r="K458" s="233" t="str">
        <f t="shared" si="23"/>
        <v>On Time</v>
      </c>
    </row>
    <row r="459" spans="1:11">
      <c r="A459" s="24" t="s">
        <v>1948</v>
      </c>
      <c r="B459" s="24" t="s">
        <v>100</v>
      </c>
      <c r="C459" s="24" t="s">
        <v>118</v>
      </c>
      <c r="D459" s="30">
        <v>45781</v>
      </c>
      <c r="E459" s="30">
        <v>45788</v>
      </c>
      <c r="F459" s="24" t="s">
        <v>103</v>
      </c>
      <c r="G459" s="24" t="s">
        <v>28</v>
      </c>
      <c r="H459" s="30" t="s">
        <v>104</v>
      </c>
      <c r="I459" s="232">
        <f t="shared" ca="1" si="21"/>
        <v>31</v>
      </c>
      <c r="J459" s="232">
        <f t="shared" si="22"/>
        <v>7</v>
      </c>
      <c r="K459" s="233" t="str">
        <f t="shared" si="23"/>
        <v>Delayed</v>
      </c>
    </row>
    <row r="460" spans="1:11">
      <c r="A460" s="24" t="s">
        <v>1951</v>
      </c>
      <c r="B460" s="24" t="s">
        <v>221</v>
      </c>
      <c r="C460" s="24" t="s">
        <v>24</v>
      </c>
      <c r="D460" s="30">
        <v>45892</v>
      </c>
      <c r="E460" s="30">
        <v>45900</v>
      </c>
      <c r="F460" s="24" t="s">
        <v>225</v>
      </c>
      <c r="G460" s="24" t="s">
        <v>76</v>
      </c>
      <c r="H460" s="30" t="s">
        <v>226</v>
      </c>
      <c r="I460" s="232">
        <f t="shared" ca="1" si="21"/>
        <v>34</v>
      </c>
      <c r="J460" s="232">
        <f t="shared" si="22"/>
        <v>8</v>
      </c>
      <c r="K460" s="233" t="str">
        <f t="shared" si="23"/>
        <v>Delayed</v>
      </c>
    </row>
    <row r="461" spans="1:11">
      <c r="A461" s="24" t="s">
        <v>1954</v>
      </c>
      <c r="B461" s="24" t="s">
        <v>327</v>
      </c>
      <c r="C461" s="24" t="s">
        <v>184</v>
      </c>
      <c r="D461" s="30">
        <v>45988</v>
      </c>
      <c r="E461" s="30">
        <v>45997</v>
      </c>
      <c r="F461" s="24" t="s">
        <v>394</v>
      </c>
      <c r="G461" s="24" t="s">
        <v>76</v>
      </c>
      <c r="H461" s="30" t="s">
        <v>331</v>
      </c>
      <c r="I461" s="232">
        <f t="shared" ca="1" si="21"/>
        <v>34</v>
      </c>
      <c r="J461" s="232">
        <f t="shared" si="22"/>
        <v>9</v>
      </c>
      <c r="K461" s="233" t="str">
        <f t="shared" si="23"/>
        <v>Delayed</v>
      </c>
    </row>
    <row r="462" spans="1:11">
      <c r="A462" s="24" t="s">
        <v>1957</v>
      </c>
      <c r="B462" s="24" t="s">
        <v>327</v>
      </c>
      <c r="C462" s="24" t="s">
        <v>54</v>
      </c>
      <c r="D462" s="30">
        <v>45806</v>
      </c>
      <c r="E462" s="30">
        <v>45809</v>
      </c>
      <c r="F462" s="24" t="s">
        <v>394</v>
      </c>
      <c r="G462" s="24" t="s">
        <v>76</v>
      </c>
      <c r="H462" s="30" t="s">
        <v>331</v>
      </c>
      <c r="I462" s="232">
        <f t="shared" ca="1" si="21"/>
        <v>34</v>
      </c>
      <c r="J462" s="232">
        <f t="shared" si="22"/>
        <v>3</v>
      </c>
      <c r="K462" s="233" t="str">
        <f t="shared" si="23"/>
        <v>On Time</v>
      </c>
    </row>
    <row r="463" spans="1:11">
      <c r="A463" s="24" t="s">
        <v>1961</v>
      </c>
      <c r="B463" s="24" t="s">
        <v>127</v>
      </c>
      <c r="C463" s="24" t="s">
        <v>118</v>
      </c>
      <c r="D463" s="30">
        <v>45912</v>
      </c>
      <c r="E463" s="30">
        <v>45919</v>
      </c>
      <c r="F463" s="24" t="s">
        <v>200</v>
      </c>
      <c r="G463" s="24" t="s">
        <v>76</v>
      </c>
      <c r="H463" s="30" t="s">
        <v>131</v>
      </c>
      <c r="I463" s="232">
        <f t="shared" ca="1" si="21"/>
        <v>44</v>
      </c>
      <c r="J463" s="232">
        <f t="shared" si="22"/>
        <v>7</v>
      </c>
      <c r="K463" s="233" t="str">
        <f t="shared" si="23"/>
        <v>Delayed</v>
      </c>
    </row>
    <row r="464" spans="1:11">
      <c r="A464" s="24" t="s">
        <v>1965</v>
      </c>
      <c r="B464" s="24" t="s">
        <v>71</v>
      </c>
      <c r="C464" s="24" t="s">
        <v>92</v>
      </c>
      <c r="D464" s="30">
        <v>46085</v>
      </c>
      <c r="E464" s="30">
        <v>46092</v>
      </c>
      <c r="F464" s="24" t="s">
        <v>217</v>
      </c>
      <c r="G464" s="24" t="s">
        <v>76</v>
      </c>
      <c r="H464" s="30" t="s">
        <v>77</v>
      </c>
      <c r="I464" s="232">
        <f t="shared" ca="1" si="21"/>
        <v>50</v>
      </c>
      <c r="J464" s="232">
        <f t="shared" si="22"/>
        <v>7</v>
      </c>
      <c r="K464" s="233" t="str">
        <f t="shared" si="23"/>
        <v>Delayed</v>
      </c>
    </row>
    <row r="465" spans="1:11">
      <c r="A465" s="24" t="s">
        <v>1968</v>
      </c>
      <c r="B465" s="24" t="s">
        <v>127</v>
      </c>
      <c r="C465" s="24" t="s">
        <v>222</v>
      </c>
      <c r="D465" s="30">
        <v>45681</v>
      </c>
      <c r="E465" s="30">
        <v>45693</v>
      </c>
      <c r="F465" s="24" t="s">
        <v>200</v>
      </c>
      <c r="G465" s="24" t="s">
        <v>76</v>
      </c>
      <c r="H465" s="30" t="s">
        <v>131</v>
      </c>
      <c r="I465" s="232">
        <f t="shared" ca="1" si="21"/>
        <v>44</v>
      </c>
      <c r="J465" s="232">
        <f t="shared" si="22"/>
        <v>12</v>
      </c>
      <c r="K465" s="233" t="str">
        <f t="shared" si="23"/>
        <v>Delayed</v>
      </c>
    </row>
    <row r="466" spans="1:11">
      <c r="A466" s="24" t="s">
        <v>1970</v>
      </c>
      <c r="B466" s="24" t="s">
        <v>71</v>
      </c>
      <c r="C466" s="24" t="s">
        <v>24</v>
      </c>
      <c r="D466" s="30">
        <v>46004</v>
      </c>
      <c r="E466" s="30">
        <v>46005</v>
      </c>
      <c r="F466" s="24" t="s">
        <v>217</v>
      </c>
      <c r="G466" s="24" t="s">
        <v>76</v>
      </c>
      <c r="H466" s="30" t="s">
        <v>77</v>
      </c>
      <c r="I466" s="232">
        <f t="shared" ca="1" si="21"/>
        <v>50</v>
      </c>
      <c r="J466" s="232">
        <f t="shared" si="22"/>
        <v>1</v>
      </c>
      <c r="K466" s="233" t="str">
        <f t="shared" si="23"/>
        <v>On Time</v>
      </c>
    </row>
    <row r="467" spans="1:11">
      <c r="A467" s="24" t="s">
        <v>1973</v>
      </c>
      <c r="B467" s="24" t="s">
        <v>83</v>
      </c>
      <c r="C467" s="24" t="s">
        <v>54</v>
      </c>
      <c r="D467" s="30">
        <v>45870</v>
      </c>
      <c r="E467" s="30">
        <v>45878</v>
      </c>
      <c r="F467" s="24" t="s">
        <v>180</v>
      </c>
      <c r="G467" s="24" t="s">
        <v>76</v>
      </c>
      <c r="H467" s="30" t="s">
        <v>87</v>
      </c>
      <c r="I467" s="232">
        <f t="shared" ca="1" si="21"/>
        <v>38</v>
      </c>
      <c r="J467" s="232">
        <f t="shared" si="22"/>
        <v>8</v>
      </c>
      <c r="K467" s="233" t="str">
        <f t="shared" si="23"/>
        <v>Delayed</v>
      </c>
    </row>
    <row r="468" spans="1:11">
      <c r="A468" s="24" t="s">
        <v>1976</v>
      </c>
      <c r="B468" s="24" t="s">
        <v>53</v>
      </c>
      <c r="C468" s="24" t="s">
        <v>24</v>
      </c>
      <c r="D468" s="30">
        <v>45658</v>
      </c>
      <c r="E468" s="30">
        <v>45664</v>
      </c>
      <c r="F468" s="24" t="s">
        <v>163</v>
      </c>
      <c r="G468" s="24" t="s">
        <v>28</v>
      </c>
      <c r="H468" s="30" t="s">
        <v>58</v>
      </c>
      <c r="I468" s="232">
        <f t="shared" ca="1" si="21"/>
        <v>31</v>
      </c>
      <c r="J468" s="232">
        <f t="shared" si="22"/>
        <v>6</v>
      </c>
      <c r="K468" s="233" t="str">
        <f t="shared" si="23"/>
        <v>Delayed</v>
      </c>
    </row>
    <row r="469" spans="1:11">
      <c r="A469" s="24" t="s">
        <v>1979</v>
      </c>
      <c r="B469" s="24" t="s">
        <v>23</v>
      </c>
      <c r="C469" s="24" t="s">
        <v>259</v>
      </c>
      <c r="D469" s="30">
        <v>45755</v>
      </c>
      <c r="E469" s="30">
        <v>45759</v>
      </c>
      <c r="F469" s="24" t="s">
        <v>27</v>
      </c>
      <c r="G469" s="24" t="s">
        <v>28</v>
      </c>
      <c r="H469" s="30" t="s">
        <v>29</v>
      </c>
      <c r="I469" s="232">
        <f t="shared" ca="1" si="21"/>
        <v>49</v>
      </c>
      <c r="J469" s="232">
        <f t="shared" si="22"/>
        <v>4</v>
      </c>
      <c r="K469" s="233" t="str">
        <f t="shared" si="23"/>
        <v>On Time</v>
      </c>
    </row>
    <row r="470" spans="1:11">
      <c r="A470" s="24" t="s">
        <v>1982</v>
      </c>
      <c r="B470" s="24" t="s">
        <v>100</v>
      </c>
      <c r="C470" s="24" t="s">
        <v>118</v>
      </c>
      <c r="D470" s="30">
        <v>45767</v>
      </c>
      <c r="E470" s="30">
        <v>45777</v>
      </c>
      <c r="F470" s="24" t="s">
        <v>103</v>
      </c>
      <c r="G470" s="24" t="s">
        <v>28</v>
      </c>
      <c r="H470" s="30" t="s">
        <v>104</v>
      </c>
      <c r="I470" s="232">
        <f t="shared" ca="1" si="21"/>
        <v>31</v>
      </c>
      <c r="J470" s="232">
        <f t="shared" si="22"/>
        <v>10</v>
      </c>
      <c r="K470" s="233" t="str">
        <f t="shared" si="23"/>
        <v>Delayed</v>
      </c>
    </row>
    <row r="471" spans="1:11">
      <c r="A471" s="24" t="s">
        <v>1985</v>
      </c>
      <c r="B471" s="24" t="s">
        <v>327</v>
      </c>
      <c r="C471" s="24" t="s">
        <v>54</v>
      </c>
      <c r="D471" s="30">
        <v>45963</v>
      </c>
      <c r="E471" s="30">
        <v>45965</v>
      </c>
      <c r="F471" s="24" t="s">
        <v>394</v>
      </c>
      <c r="G471" s="24" t="s">
        <v>76</v>
      </c>
      <c r="H471" s="30" t="s">
        <v>331</v>
      </c>
      <c r="I471" s="232">
        <f t="shared" ca="1" si="21"/>
        <v>34</v>
      </c>
      <c r="J471" s="232">
        <f t="shared" si="22"/>
        <v>2</v>
      </c>
      <c r="K471" s="233" t="str">
        <f t="shared" si="23"/>
        <v>On Time</v>
      </c>
    </row>
    <row r="472" spans="1:11">
      <c r="A472" s="24" t="s">
        <v>1988</v>
      </c>
      <c r="B472" s="24" t="s">
        <v>23</v>
      </c>
      <c r="C472" s="24" t="s">
        <v>72</v>
      </c>
      <c r="D472" s="30">
        <v>45948</v>
      </c>
      <c r="E472" s="30">
        <v>45952</v>
      </c>
      <c r="F472" s="24" t="s">
        <v>27</v>
      </c>
      <c r="G472" s="24" t="s">
        <v>28</v>
      </c>
      <c r="H472" s="30" t="s">
        <v>29</v>
      </c>
      <c r="I472" s="232">
        <f t="shared" ca="1" si="21"/>
        <v>49</v>
      </c>
      <c r="J472" s="232">
        <f t="shared" si="22"/>
        <v>4</v>
      </c>
      <c r="K472" s="233" t="str">
        <f t="shared" si="23"/>
        <v>On Time</v>
      </c>
    </row>
    <row r="473" spans="1:11">
      <c r="A473" s="24" t="s">
        <v>1992</v>
      </c>
      <c r="B473" s="24" t="s">
        <v>53</v>
      </c>
      <c r="C473" s="24" t="s">
        <v>54</v>
      </c>
      <c r="D473" s="30">
        <v>45774</v>
      </c>
      <c r="E473" s="30">
        <v>45782</v>
      </c>
      <c r="F473" s="24" t="s">
        <v>163</v>
      </c>
      <c r="G473" s="24" t="s">
        <v>28</v>
      </c>
      <c r="H473" s="30" t="s">
        <v>58</v>
      </c>
      <c r="I473" s="232">
        <f t="shared" ca="1" si="21"/>
        <v>31</v>
      </c>
      <c r="J473" s="232">
        <f t="shared" si="22"/>
        <v>8</v>
      </c>
      <c r="K473" s="233" t="str">
        <f t="shared" si="23"/>
        <v>Delayed</v>
      </c>
    </row>
    <row r="474" spans="1:11">
      <c r="A474" s="24" t="s">
        <v>1995</v>
      </c>
      <c r="B474" s="24" t="s">
        <v>251</v>
      </c>
      <c r="C474" s="24" t="s">
        <v>184</v>
      </c>
      <c r="D474" s="30">
        <v>45799</v>
      </c>
      <c r="E474" s="30">
        <v>45808</v>
      </c>
      <c r="F474" s="24" t="s">
        <v>254</v>
      </c>
      <c r="G474" s="24" t="s">
        <v>28</v>
      </c>
      <c r="H474" s="30" t="s">
        <v>255</v>
      </c>
      <c r="I474" s="232">
        <f t="shared" ca="1" si="21"/>
        <v>45</v>
      </c>
      <c r="J474" s="232">
        <f t="shared" si="22"/>
        <v>9</v>
      </c>
      <c r="K474" s="233" t="str">
        <f t="shared" si="23"/>
        <v>Delayed</v>
      </c>
    </row>
    <row r="475" spans="1:11">
      <c r="A475" s="24" t="s">
        <v>1998</v>
      </c>
      <c r="B475" s="24" t="s">
        <v>71</v>
      </c>
      <c r="C475" s="24" t="s">
        <v>222</v>
      </c>
      <c r="D475" s="30">
        <v>46050</v>
      </c>
      <c r="E475" s="30">
        <v>46061</v>
      </c>
      <c r="F475" s="24" t="s">
        <v>217</v>
      </c>
      <c r="G475" s="24" t="s">
        <v>76</v>
      </c>
      <c r="H475" s="30" t="s">
        <v>77</v>
      </c>
      <c r="I475" s="232">
        <f t="shared" ca="1" si="21"/>
        <v>50</v>
      </c>
      <c r="J475" s="232">
        <f t="shared" si="22"/>
        <v>11</v>
      </c>
      <c r="K475" s="233" t="str">
        <f t="shared" si="23"/>
        <v>Delayed</v>
      </c>
    </row>
    <row r="476" spans="1:11">
      <c r="A476" s="24" t="s">
        <v>2001</v>
      </c>
      <c r="B476" s="24" t="s">
        <v>327</v>
      </c>
      <c r="C476" s="24" t="s">
        <v>54</v>
      </c>
      <c r="D476" s="30">
        <v>45692</v>
      </c>
      <c r="E476" s="30">
        <v>45699</v>
      </c>
      <c r="F476" s="24" t="s">
        <v>394</v>
      </c>
      <c r="G476" s="24" t="s">
        <v>76</v>
      </c>
      <c r="H476" s="30" t="s">
        <v>331</v>
      </c>
      <c r="I476" s="232">
        <f t="shared" ca="1" si="21"/>
        <v>34</v>
      </c>
      <c r="J476" s="232">
        <f t="shared" si="22"/>
        <v>7</v>
      </c>
      <c r="K476" s="233" t="str">
        <f t="shared" si="23"/>
        <v>Delayed</v>
      </c>
    </row>
    <row r="477" spans="1:11">
      <c r="A477" s="24" t="s">
        <v>2004</v>
      </c>
      <c r="B477" s="24" t="s">
        <v>127</v>
      </c>
      <c r="C477" s="24" t="s">
        <v>54</v>
      </c>
      <c r="D477" s="30">
        <v>45766</v>
      </c>
      <c r="E477" s="30">
        <v>45767</v>
      </c>
      <c r="F477" s="24" t="s">
        <v>200</v>
      </c>
      <c r="G477" s="24" t="s">
        <v>76</v>
      </c>
      <c r="H477" s="30" t="s">
        <v>131</v>
      </c>
      <c r="I477" s="232">
        <f t="shared" ca="1" si="21"/>
        <v>44</v>
      </c>
      <c r="J477" s="232">
        <f t="shared" si="22"/>
        <v>1</v>
      </c>
      <c r="K477" s="233" t="str">
        <f t="shared" si="23"/>
        <v>On Time</v>
      </c>
    </row>
    <row r="478" spans="1:11">
      <c r="A478" s="24" t="s">
        <v>2007</v>
      </c>
      <c r="B478" s="24" t="s">
        <v>53</v>
      </c>
      <c r="C478" s="24" t="s">
        <v>259</v>
      </c>
      <c r="D478" s="30">
        <v>45678</v>
      </c>
      <c r="E478" s="30">
        <v>45685</v>
      </c>
      <c r="F478" s="24" t="s">
        <v>163</v>
      </c>
      <c r="G478" s="24" t="s">
        <v>28</v>
      </c>
      <c r="H478" s="30" t="s">
        <v>58</v>
      </c>
      <c r="I478" s="232">
        <f t="shared" ca="1" si="21"/>
        <v>31</v>
      </c>
      <c r="J478" s="232">
        <f t="shared" si="22"/>
        <v>7</v>
      </c>
      <c r="K478" s="233" t="str">
        <f t="shared" si="23"/>
        <v>Delayed</v>
      </c>
    </row>
    <row r="479" spans="1:11">
      <c r="A479" s="24" t="s">
        <v>2010</v>
      </c>
      <c r="B479" s="24" t="s">
        <v>23</v>
      </c>
      <c r="C479" s="24" t="s">
        <v>72</v>
      </c>
      <c r="D479" s="30">
        <v>45918</v>
      </c>
      <c r="E479" s="30">
        <v>45927</v>
      </c>
      <c r="F479" s="24" t="s">
        <v>27</v>
      </c>
      <c r="G479" s="24" t="s">
        <v>28</v>
      </c>
      <c r="H479" s="30" t="s">
        <v>29</v>
      </c>
      <c r="I479" s="232">
        <f t="shared" ca="1" si="21"/>
        <v>49</v>
      </c>
      <c r="J479" s="232">
        <f t="shared" si="22"/>
        <v>9</v>
      </c>
      <c r="K479" s="233" t="str">
        <f t="shared" si="23"/>
        <v>Delayed</v>
      </c>
    </row>
    <row r="480" spans="1:11">
      <c r="A480" s="24" t="s">
        <v>2014</v>
      </c>
      <c r="B480" s="24" t="s">
        <v>168</v>
      </c>
      <c r="C480" s="24" t="s">
        <v>259</v>
      </c>
      <c r="D480" s="30">
        <v>45949</v>
      </c>
      <c r="E480" s="30">
        <v>45950</v>
      </c>
      <c r="F480" s="24" t="s">
        <v>361</v>
      </c>
      <c r="G480" s="24" t="s">
        <v>28</v>
      </c>
      <c r="H480" s="30" t="s">
        <v>173</v>
      </c>
      <c r="I480" s="232">
        <f t="shared" ca="1" si="21"/>
        <v>24</v>
      </c>
      <c r="J480" s="232">
        <f t="shared" si="22"/>
        <v>1</v>
      </c>
      <c r="K480" s="233" t="str">
        <f t="shared" si="23"/>
        <v>On Time</v>
      </c>
    </row>
    <row r="481" spans="1:11">
      <c r="A481" s="24" t="s">
        <v>2018</v>
      </c>
      <c r="B481" s="24" t="s">
        <v>127</v>
      </c>
      <c r="C481" s="24" t="s">
        <v>40</v>
      </c>
      <c r="D481" s="30">
        <v>46034</v>
      </c>
      <c r="E481" s="30">
        <v>46040</v>
      </c>
      <c r="F481" s="24" t="s">
        <v>200</v>
      </c>
      <c r="G481" s="24" t="s">
        <v>76</v>
      </c>
      <c r="H481" s="30" t="s">
        <v>131</v>
      </c>
      <c r="I481" s="232">
        <f t="shared" ca="1" si="21"/>
        <v>44</v>
      </c>
      <c r="J481" s="232">
        <f t="shared" si="22"/>
        <v>6</v>
      </c>
      <c r="K481" s="233" t="str">
        <f t="shared" si="23"/>
        <v>Delayed</v>
      </c>
    </row>
    <row r="482" spans="1:11">
      <c r="A482" s="24" t="s">
        <v>2021</v>
      </c>
      <c r="B482" s="24" t="s">
        <v>23</v>
      </c>
      <c r="C482" s="24" t="s">
        <v>40</v>
      </c>
      <c r="D482" s="30">
        <v>45683</v>
      </c>
      <c r="E482" s="30">
        <v>45689</v>
      </c>
      <c r="F482" s="24" t="s">
        <v>27</v>
      </c>
      <c r="G482" s="24" t="s">
        <v>28</v>
      </c>
      <c r="H482" s="30" t="s">
        <v>29</v>
      </c>
      <c r="I482" s="232">
        <f t="shared" ca="1" si="21"/>
        <v>49</v>
      </c>
      <c r="J482" s="232">
        <f t="shared" si="22"/>
        <v>6</v>
      </c>
      <c r="K482" s="233" t="str">
        <f t="shared" si="23"/>
        <v>Delayed</v>
      </c>
    </row>
    <row r="483" spans="1:11">
      <c r="A483" s="24" t="s">
        <v>2025</v>
      </c>
      <c r="B483" s="24" t="s">
        <v>127</v>
      </c>
      <c r="C483" s="24" t="s">
        <v>169</v>
      </c>
      <c r="D483" s="30">
        <v>46119</v>
      </c>
      <c r="E483" s="30">
        <v>46120</v>
      </c>
      <c r="F483" s="24" t="s">
        <v>200</v>
      </c>
      <c r="G483" s="24" t="s">
        <v>76</v>
      </c>
      <c r="H483" s="30" t="s">
        <v>131</v>
      </c>
      <c r="I483" s="232">
        <f t="shared" ca="1" si="21"/>
        <v>44</v>
      </c>
      <c r="J483" s="232">
        <f t="shared" si="22"/>
        <v>1</v>
      </c>
      <c r="K483" s="233" t="str">
        <f t="shared" si="23"/>
        <v>On Time</v>
      </c>
    </row>
    <row r="484" spans="1:11">
      <c r="A484" s="24" t="s">
        <v>2028</v>
      </c>
      <c r="B484" s="24" t="s">
        <v>71</v>
      </c>
      <c r="C484" s="24" t="s">
        <v>184</v>
      </c>
      <c r="D484" s="30">
        <v>45834</v>
      </c>
      <c r="E484" s="30">
        <v>45844</v>
      </c>
      <c r="F484" s="24" t="s">
        <v>217</v>
      </c>
      <c r="G484" s="24" t="s">
        <v>76</v>
      </c>
      <c r="H484" s="30" t="s">
        <v>77</v>
      </c>
      <c r="I484" s="232">
        <f t="shared" ca="1" si="21"/>
        <v>50</v>
      </c>
      <c r="J484" s="232">
        <f t="shared" si="22"/>
        <v>10</v>
      </c>
      <c r="K484" s="233" t="str">
        <f t="shared" si="23"/>
        <v>Delayed</v>
      </c>
    </row>
    <row r="485" spans="1:11">
      <c r="A485" s="24" t="s">
        <v>2032</v>
      </c>
      <c r="B485" s="24" t="s">
        <v>23</v>
      </c>
      <c r="C485" s="24" t="s">
        <v>184</v>
      </c>
      <c r="D485" s="30">
        <v>45846</v>
      </c>
      <c r="E485" s="30">
        <v>45856</v>
      </c>
      <c r="F485" s="24" t="s">
        <v>27</v>
      </c>
      <c r="G485" s="24" t="s">
        <v>28</v>
      </c>
      <c r="H485" s="30" t="s">
        <v>29</v>
      </c>
      <c r="I485" s="232">
        <f t="shared" ca="1" si="21"/>
        <v>49</v>
      </c>
      <c r="J485" s="232">
        <f t="shared" si="22"/>
        <v>10</v>
      </c>
      <c r="K485" s="233" t="str">
        <f t="shared" si="23"/>
        <v>Delayed</v>
      </c>
    </row>
    <row r="486" spans="1:11">
      <c r="A486" s="24" t="s">
        <v>2035</v>
      </c>
      <c r="B486" s="24" t="s">
        <v>327</v>
      </c>
      <c r="C486" s="24" t="s">
        <v>72</v>
      </c>
      <c r="D486" s="30">
        <v>46092</v>
      </c>
      <c r="E486" s="30">
        <v>46102</v>
      </c>
      <c r="F486" s="24" t="s">
        <v>394</v>
      </c>
      <c r="G486" s="24" t="s">
        <v>76</v>
      </c>
      <c r="H486" s="30" t="s">
        <v>331</v>
      </c>
      <c r="I486" s="232">
        <f t="shared" ca="1" si="21"/>
        <v>34</v>
      </c>
      <c r="J486" s="232">
        <f t="shared" si="22"/>
        <v>10</v>
      </c>
      <c r="K486" s="233" t="str">
        <f t="shared" si="23"/>
        <v>Delayed</v>
      </c>
    </row>
    <row r="487" spans="1:11">
      <c r="A487" s="24" t="s">
        <v>2039</v>
      </c>
      <c r="B487" s="24" t="s">
        <v>100</v>
      </c>
      <c r="C487" s="24" t="s">
        <v>54</v>
      </c>
      <c r="D487" s="30">
        <v>46104</v>
      </c>
      <c r="E487" s="30">
        <v>46110</v>
      </c>
      <c r="F487" s="24" t="s">
        <v>103</v>
      </c>
      <c r="G487" s="24" t="s">
        <v>28</v>
      </c>
      <c r="H487" s="30" t="s">
        <v>104</v>
      </c>
      <c r="I487" s="232">
        <f t="shared" ca="1" si="21"/>
        <v>31</v>
      </c>
      <c r="J487" s="232">
        <f t="shared" si="22"/>
        <v>6</v>
      </c>
      <c r="K487" s="233" t="str">
        <f t="shared" si="23"/>
        <v>Delayed</v>
      </c>
    </row>
    <row r="488" spans="1:11">
      <c r="A488" s="24" t="s">
        <v>2042</v>
      </c>
      <c r="B488" s="24" t="s">
        <v>251</v>
      </c>
      <c r="C488" s="24" t="s">
        <v>72</v>
      </c>
      <c r="D488" s="30">
        <v>45961</v>
      </c>
      <c r="E488" s="30">
        <v>45966</v>
      </c>
      <c r="F488" s="24" t="s">
        <v>254</v>
      </c>
      <c r="G488" s="24" t="s">
        <v>28</v>
      </c>
      <c r="H488" s="30" t="s">
        <v>255</v>
      </c>
      <c r="I488" s="232">
        <f t="shared" ca="1" si="21"/>
        <v>45</v>
      </c>
      <c r="J488" s="232">
        <f t="shared" si="22"/>
        <v>5</v>
      </c>
      <c r="K488" s="233" t="str">
        <f t="shared" si="23"/>
        <v>On Time</v>
      </c>
    </row>
    <row r="489" spans="1:11">
      <c r="A489" s="24" t="s">
        <v>2045</v>
      </c>
      <c r="B489" s="24" t="s">
        <v>53</v>
      </c>
      <c r="C489" s="24" t="s">
        <v>222</v>
      </c>
      <c r="D489" s="30">
        <v>46147</v>
      </c>
      <c r="E489" s="30">
        <v>46151</v>
      </c>
      <c r="F489" s="24" t="s">
        <v>163</v>
      </c>
      <c r="G489" s="24" t="s">
        <v>28</v>
      </c>
      <c r="H489" s="30" t="s">
        <v>58</v>
      </c>
      <c r="I489" s="232">
        <f t="shared" ca="1" si="21"/>
        <v>31</v>
      </c>
      <c r="J489" s="232">
        <f t="shared" si="22"/>
        <v>4</v>
      </c>
      <c r="K489" s="233" t="str">
        <f t="shared" si="23"/>
        <v>On Time</v>
      </c>
    </row>
    <row r="490" spans="1:11">
      <c r="A490" s="24" t="s">
        <v>2050</v>
      </c>
      <c r="B490" s="24" t="s">
        <v>168</v>
      </c>
      <c r="C490" s="24" t="s">
        <v>40</v>
      </c>
      <c r="D490" s="30">
        <v>45711</v>
      </c>
      <c r="E490" s="30">
        <v>45723</v>
      </c>
      <c r="F490" s="24" t="s">
        <v>361</v>
      </c>
      <c r="G490" s="24" t="s">
        <v>28</v>
      </c>
      <c r="H490" s="30" t="s">
        <v>173</v>
      </c>
      <c r="I490" s="232">
        <f t="shared" ca="1" si="21"/>
        <v>24</v>
      </c>
      <c r="J490" s="232">
        <f t="shared" si="22"/>
        <v>12</v>
      </c>
      <c r="K490" s="233" t="str">
        <f t="shared" si="23"/>
        <v>Delayed</v>
      </c>
    </row>
    <row r="491" spans="1:11">
      <c r="A491" s="24" t="s">
        <v>2054</v>
      </c>
      <c r="B491" s="24" t="s">
        <v>327</v>
      </c>
      <c r="C491" s="24" t="s">
        <v>169</v>
      </c>
      <c r="D491" s="30">
        <v>45672</v>
      </c>
      <c r="E491" s="30">
        <v>45674</v>
      </c>
      <c r="F491" s="24" t="s">
        <v>394</v>
      </c>
      <c r="G491" s="24" t="s">
        <v>76</v>
      </c>
      <c r="H491" s="30" t="s">
        <v>331</v>
      </c>
      <c r="I491" s="232">
        <f t="shared" ca="1" si="21"/>
        <v>34</v>
      </c>
      <c r="J491" s="232">
        <f t="shared" si="22"/>
        <v>2</v>
      </c>
      <c r="K491" s="233" t="str">
        <f t="shared" si="23"/>
        <v>On Time</v>
      </c>
    </row>
    <row r="492" spans="1:11">
      <c r="A492" s="24" t="s">
        <v>2057</v>
      </c>
      <c r="B492" s="24" t="s">
        <v>100</v>
      </c>
      <c r="C492" s="24" t="s">
        <v>24</v>
      </c>
      <c r="D492" s="30">
        <v>45746</v>
      </c>
      <c r="E492" s="30">
        <v>45755</v>
      </c>
      <c r="F492" s="24" t="s">
        <v>103</v>
      </c>
      <c r="G492" s="24" t="s">
        <v>28</v>
      </c>
      <c r="H492" s="30" t="s">
        <v>104</v>
      </c>
      <c r="I492" s="232">
        <f t="shared" ca="1" si="21"/>
        <v>31</v>
      </c>
      <c r="J492" s="232">
        <f t="shared" si="22"/>
        <v>9</v>
      </c>
      <c r="K492" s="233" t="str">
        <f t="shared" si="23"/>
        <v>Delayed</v>
      </c>
    </row>
    <row r="493" spans="1:11">
      <c r="A493" s="24" t="s">
        <v>2061</v>
      </c>
      <c r="B493" s="24" t="s">
        <v>83</v>
      </c>
      <c r="C493" s="24" t="s">
        <v>169</v>
      </c>
      <c r="D493" s="30">
        <v>46136</v>
      </c>
      <c r="E493" s="30">
        <v>46144</v>
      </c>
      <c r="F493" s="24" t="s">
        <v>180</v>
      </c>
      <c r="G493" s="24" t="s">
        <v>76</v>
      </c>
      <c r="H493" s="30" t="s">
        <v>87</v>
      </c>
      <c r="I493" s="232">
        <f t="shared" ca="1" si="21"/>
        <v>38</v>
      </c>
      <c r="J493" s="232">
        <f t="shared" si="22"/>
        <v>8</v>
      </c>
      <c r="K493" s="233" t="str">
        <f t="shared" si="23"/>
        <v>Delayed</v>
      </c>
    </row>
    <row r="494" spans="1:11">
      <c r="A494" s="24" t="s">
        <v>2064</v>
      </c>
      <c r="B494" s="24" t="s">
        <v>127</v>
      </c>
      <c r="C494" s="24" t="s">
        <v>72</v>
      </c>
      <c r="D494" s="30">
        <v>45858</v>
      </c>
      <c r="E494" s="30">
        <v>45867</v>
      </c>
      <c r="F494" s="24" t="s">
        <v>200</v>
      </c>
      <c r="G494" s="24" t="s">
        <v>76</v>
      </c>
      <c r="H494" s="30" t="s">
        <v>131</v>
      </c>
      <c r="I494" s="232">
        <f t="shared" ca="1" si="21"/>
        <v>44</v>
      </c>
      <c r="J494" s="232">
        <f t="shared" si="22"/>
        <v>9</v>
      </c>
      <c r="K494" s="233" t="str">
        <f t="shared" si="23"/>
        <v>Delayed</v>
      </c>
    </row>
    <row r="495" spans="1:11">
      <c r="A495" s="24" t="s">
        <v>2068</v>
      </c>
      <c r="B495" s="24" t="s">
        <v>83</v>
      </c>
      <c r="C495" s="24" t="s">
        <v>184</v>
      </c>
      <c r="D495" s="30">
        <v>45867</v>
      </c>
      <c r="E495" s="30">
        <v>45870</v>
      </c>
      <c r="F495" s="24" t="s">
        <v>180</v>
      </c>
      <c r="G495" s="24" t="s">
        <v>76</v>
      </c>
      <c r="H495" s="30" t="s">
        <v>87</v>
      </c>
      <c r="I495" s="232">
        <f t="shared" ca="1" si="21"/>
        <v>38</v>
      </c>
      <c r="J495" s="232">
        <f t="shared" si="22"/>
        <v>3</v>
      </c>
      <c r="K495" s="233" t="str">
        <f t="shared" si="23"/>
        <v>On Time</v>
      </c>
    </row>
    <row r="496" spans="1:11">
      <c r="A496" s="24" t="s">
        <v>2071</v>
      </c>
      <c r="B496" s="24" t="s">
        <v>71</v>
      </c>
      <c r="C496" s="24" t="s">
        <v>72</v>
      </c>
      <c r="D496" s="30">
        <v>45951</v>
      </c>
      <c r="E496" s="30">
        <v>45962</v>
      </c>
      <c r="F496" s="24" t="s">
        <v>217</v>
      </c>
      <c r="G496" s="24" t="s">
        <v>76</v>
      </c>
      <c r="H496" s="30" t="s">
        <v>77</v>
      </c>
      <c r="I496" s="232">
        <f t="shared" ca="1" si="21"/>
        <v>50</v>
      </c>
      <c r="J496" s="232">
        <f t="shared" si="22"/>
        <v>11</v>
      </c>
      <c r="K496" s="233" t="str">
        <f t="shared" si="23"/>
        <v>Delayed</v>
      </c>
    </row>
    <row r="497" spans="1:11">
      <c r="A497" s="24" t="s">
        <v>2074</v>
      </c>
      <c r="B497" s="24" t="s">
        <v>168</v>
      </c>
      <c r="C497" s="24" t="s">
        <v>24</v>
      </c>
      <c r="D497" s="30">
        <v>46098</v>
      </c>
      <c r="E497" s="30">
        <v>46110</v>
      </c>
      <c r="F497" s="24" t="s">
        <v>361</v>
      </c>
      <c r="G497" s="24" t="s">
        <v>28</v>
      </c>
      <c r="H497" s="30" t="s">
        <v>173</v>
      </c>
      <c r="I497" s="232">
        <f t="shared" ca="1" si="21"/>
        <v>24</v>
      </c>
      <c r="J497" s="232">
        <f t="shared" si="22"/>
        <v>12</v>
      </c>
      <c r="K497" s="233" t="str">
        <f t="shared" si="23"/>
        <v>Delayed</v>
      </c>
    </row>
    <row r="498" spans="1:11">
      <c r="A498" s="24" t="s">
        <v>2078</v>
      </c>
      <c r="B498" s="24" t="s">
        <v>83</v>
      </c>
      <c r="C498" s="24" t="s">
        <v>40</v>
      </c>
      <c r="D498" s="30">
        <v>45711</v>
      </c>
      <c r="E498" s="30">
        <v>45723</v>
      </c>
      <c r="F498" s="24" t="s">
        <v>180</v>
      </c>
      <c r="G498" s="24" t="s">
        <v>76</v>
      </c>
      <c r="H498" s="30" t="s">
        <v>87</v>
      </c>
      <c r="I498" s="232">
        <f t="shared" ca="1" si="21"/>
        <v>38</v>
      </c>
      <c r="J498" s="232">
        <f t="shared" si="22"/>
        <v>12</v>
      </c>
      <c r="K498" s="233" t="str">
        <f t="shared" si="23"/>
        <v>Delayed</v>
      </c>
    </row>
    <row r="499" spans="1:11">
      <c r="A499" s="24" t="s">
        <v>2081</v>
      </c>
      <c r="B499" s="24" t="s">
        <v>221</v>
      </c>
      <c r="C499" s="24" t="s">
        <v>72</v>
      </c>
      <c r="D499" s="30">
        <v>46002</v>
      </c>
      <c r="E499" s="30">
        <v>46011</v>
      </c>
      <c r="F499" s="24" t="s">
        <v>225</v>
      </c>
      <c r="G499" s="24" t="s">
        <v>76</v>
      </c>
      <c r="H499" s="30" t="s">
        <v>226</v>
      </c>
      <c r="I499" s="232">
        <f t="shared" ca="1" si="21"/>
        <v>34</v>
      </c>
      <c r="J499" s="232">
        <f t="shared" si="22"/>
        <v>9</v>
      </c>
      <c r="K499" s="233" t="str">
        <f t="shared" si="23"/>
        <v>Delayed</v>
      </c>
    </row>
    <row r="500" spans="1:11">
      <c r="A500" s="24" t="s">
        <v>2084</v>
      </c>
      <c r="B500" s="24" t="s">
        <v>100</v>
      </c>
      <c r="C500" s="24" t="s">
        <v>54</v>
      </c>
      <c r="D500" s="30">
        <v>45842</v>
      </c>
      <c r="E500" s="30">
        <v>45843</v>
      </c>
      <c r="F500" s="24" t="s">
        <v>103</v>
      </c>
      <c r="G500" s="24" t="s">
        <v>28</v>
      </c>
      <c r="H500" s="30" t="s">
        <v>104</v>
      </c>
      <c r="I500" s="232">
        <f t="shared" ca="1" si="21"/>
        <v>31</v>
      </c>
      <c r="J500" s="232">
        <f t="shared" si="22"/>
        <v>1</v>
      </c>
      <c r="K500" s="233" t="str">
        <f t="shared" si="23"/>
        <v>On Time</v>
      </c>
    </row>
    <row r="501" spans="1:11">
      <c r="A501" s="24" t="s">
        <v>2089</v>
      </c>
      <c r="B501" s="24" t="s">
        <v>100</v>
      </c>
      <c r="C501" s="24" t="s">
        <v>92</v>
      </c>
      <c r="D501" s="30">
        <v>45916</v>
      </c>
      <c r="E501" s="30">
        <v>45923</v>
      </c>
      <c r="F501" s="24" t="s">
        <v>103</v>
      </c>
      <c r="G501" s="24" t="s">
        <v>28</v>
      </c>
      <c r="H501" s="30" t="s">
        <v>104</v>
      </c>
      <c r="I501" s="232">
        <f t="shared" ca="1" si="21"/>
        <v>31</v>
      </c>
      <c r="J501" s="232">
        <f t="shared" si="22"/>
        <v>7</v>
      </c>
      <c r="K501" s="233" t="str">
        <f t="shared" si="23"/>
        <v>Delayed</v>
      </c>
    </row>
    <row r="502" spans="1:11">
      <c r="A502" s="38"/>
      <c r="B502" s="38"/>
      <c r="C502" s="38"/>
      <c r="D502" s="48"/>
      <c r="E502" s="39"/>
    </row>
    <row r="503" spans="1:11">
      <c r="A503" s="38"/>
      <c r="B503" s="38"/>
      <c r="C503" s="38"/>
      <c r="D503" s="48"/>
      <c r="E503" s="39"/>
    </row>
    <row r="504" spans="1:11">
      <c r="A504" s="38"/>
      <c r="B504" s="38"/>
      <c r="C504" s="38"/>
      <c r="D504" s="48"/>
      <c r="E504" s="39"/>
    </row>
    <row r="505" spans="1:11">
      <c r="A505" s="38"/>
      <c r="B505" s="38"/>
      <c r="C505" s="38"/>
      <c r="D505" s="48"/>
      <c r="E505" s="39"/>
    </row>
    <row r="506" spans="1:11">
      <c r="A506" s="38"/>
      <c r="B506" s="38"/>
      <c r="C506" s="38"/>
      <c r="D506" s="48"/>
      <c r="E506" s="39"/>
    </row>
    <row r="507" spans="1:11">
      <c r="A507" s="38"/>
      <c r="B507" s="38"/>
      <c r="C507" s="38"/>
      <c r="D507" s="48"/>
      <c r="E507" s="39"/>
    </row>
    <row r="508" spans="1:11">
      <c r="A508" s="38"/>
      <c r="B508" s="38"/>
      <c r="C508" s="38"/>
      <c r="D508" s="48"/>
      <c r="E508" s="39"/>
    </row>
    <row r="509" spans="1:11">
      <c r="A509" s="38"/>
      <c r="B509" s="38"/>
      <c r="C509" s="38"/>
      <c r="D509" s="48"/>
      <c r="E509" s="39"/>
    </row>
    <row r="510" spans="1:11">
      <c r="A510" s="38"/>
      <c r="B510" s="38"/>
      <c r="C510" s="38"/>
      <c r="D510" s="48"/>
      <c r="E510" s="39"/>
    </row>
    <row r="511" spans="1:11">
      <c r="A511" s="38"/>
      <c r="B511" s="38"/>
      <c r="C511" s="38"/>
      <c r="D511" s="48"/>
      <c r="E511" s="39"/>
    </row>
    <row r="512" spans="1:11">
      <c r="A512" s="38"/>
      <c r="B512" s="38"/>
      <c r="C512" s="38"/>
      <c r="D512" s="48"/>
      <c r="E512" s="39"/>
    </row>
    <row r="513" spans="1:5">
      <c r="A513" s="38"/>
      <c r="B513" s="38"/>
      <c r="C513" s="38"/>
      <c r="D513" s="48"/>
      <c r="E513" s="39"/>
    </row>
    <row r="514" spans="1:5">
      <c r="A514" s="38"/>
      <c r="B514" s="38"/>
      <c r="C514" s="38"/>
      <c r="D514" s="48"/>
      <c r="E514" s="39"/>
    </row>
    <row r="515" spans="1:5">
      <c r="A515" s="38"/>
      <c r="B515" s="38"/>
      <c r="C515" s="38"/>
      <c r="D515" s="48"/>
      <c r="E515" s="39"/>
    </row>
    <row r="516" spans="1:5">
      <c r="A516" s="38"/>
      <c r="B516" s="38"/>
      <c r="C516" s="38"/>
      <c r="D516" s="48"/>
      <c r="E516" s="39"/>
    </row>
    <row r="517" spans="1:5">
      <c r="A517" s="38"/>
      <c r="B517" s="38"/>
      <c r="C517" s="38"/>
      <c r="D517" s="48"/>
      <c r="E517" s="39"/>
    </row>
    <row r="518" spans="1:5">
      <c r="A518" s="38"/>
      <c r="B518" s="38"/>
      <c r="C518" s="38"/>
      <c r="D518" s="48"/>
      <c r="E518" s="39"/>
    </row>
    <row r="519" spans="1:5">
      <c r="A519" s="38"/>
      <c r="B519" s="38"/>
      <c r="C519" s="38"/>
      <c r="D519" s="48"/>
      <c r="E519" s="39"/>
    </row>
    <row r="520" spans="1:5">
      <c r="A520" s="38"/>
      <c r="B520" s="38"/>
      <c r="C520" s="38"/>
      <c r="D520" s="48"/>
      <c r="E520" s="39"/>
    </row>
    <row r="521" spans="1:5">
      <c r="A521" s="38"/>
      <c r="B521" s="38"/>
      <c r="C521" s="38"/>
      <c r="D521" s="48"/>
      <c r="E521" s="39"/>
    </row>
    <row r="522" spans="1:5">
      <c r="A522" s="38"/>
      <c r="B522" s="38"/>
      <c r="C522" s="38"/>
      <c r="D522" s="48"/>
      <c r="E522" s="39"/>
    </row>
    <row r="523" spans="1:5">
      <c r="A523" s="38"/>
      <c r="B523" s="38"/>
      <c r="C523" s="38"/>
      <c r="D523" s="48"/>
      <c r="E523" s="39"/>
    </row>
    <row r="524" spans="1:5">
      <c r="A524" s="38"/>
      <c r="B524" s="38"/>
      <c r="C524" s="38"/>
      <c r="D524" s="48"/>
      <c r="E524" s="39"/>
    </row>
    <row r="525" spans="1:5">
      <c r="A525" s="38"/>
      <c r="B525" s="38"/>
      <c r="C525" s="38"/>
      <c r="D525" s="48"/>
      <c r="E525" s="39"/>
    </row>
    <row r="526" spans="1:5">
      <c r="A526" s="38"/>
      <c r="B526" s="38"/>
      <c r="C526" s="38"/>
      <c r="D526" s="48"/>
      <c r="E526" s="39"/>
    </row>
    <row r="527" spans="1:5">
      <c r="A527" s="38"/>
      <c r="B527" s="38"/>
      <c r="C527" s="38"/>
      <c r="D527" s="48"/>
      <c r="E527" s="39"/>
    </row>
    <row r="528" spans="1:5">
      <c r="A528" s="38"/>
      <c r="B528" s="38"/>
      <c r="C528" s="38"/>
      <c r="D528" s="48"/>
      <c r="E528" s="39"/>
    </row>
    <row r="529" spans="1:5">
      <c r="A529" s="38"/>
      <c r="B529" s="38"/>
      <c r="C529" s="38"/>
      <c r="D529" s="48"/>
      <c r="E529" s="39"/>
    </row>
    <row r="530" spans="1:5">
      <c r="A530" s="38"/>
      <c r="B530" s="38"/>
      <c r="C530" s="38"/>
      <c r="D530" s="48"/>
      <c r="E530" s="39"/>
    </row>
    <row r="531" spans="1:5">
      <c r="A531" s="38"/>
      <c r="B531" s="38"/>
      <c r="C531" s="38"/>
      <c r="D531" s="48"/>
      <c r="E531" s="39"/>
    </row>
    <row r="532" spans="1:5">
      <c r="A532" s="38"/>
      <c r="B532" s="38"/>
      <c r="C532" s="38"/>
      <c r="D532" s="48"/>
      <c r="E532" s="39"/>
    </row>
    <row r="533" spans="1:5">
      <c r="A533" s="38"/>
      <c r="B533" s="38"/>
      <c r="C533" s="38"/>
      <c r="D533" s="48"/>
      <c r="E533" s="39"/>
    </row>
    <row r="534" spans="1:5">
      <c r="A534" s="38"/>
      <c r="B534" s="38"/>
      <c r="C534" s="38"/>
      <c r="D534" s="48"/>
      <c r="E534" s="39"/>
    </row>
    <row r="535" spans="1:5">
      <c r="A535" s="38"/>
      <c r="B535" s="38"/>
      <c r="C535" s="38"/>
      <c r="D535" s="48"/>
      <c r="E535" s="39"/>
    </row>
    <row r="536" spans="1:5">
      <c r="A536" s="38"/>
      <c r="B536" s="38"/>
      <c r="C536" s="38"/>
      <c r="D536" s="48"/>
      <c r="E536" s="39"/>
    </row>
    <row r="537" spans="1:5">
      <c r="A537" s="38"/>
      <c r="B537" s="38"/>
      <c r="C537" s="38"/>
      <c r="D537" s="48"/>
      <c r="E537" s="39"/>
    </row>
    <row r="538" spans="1:5">
      <c r="A538" s="38"/>
      <c r="B538" s="38"/>
      <c r="C538" s="38"/>
      <c r="D538" s="48"/>
      <c r="E538" s="39"/>
    </row>
    <row r="539" spans="1:5">
      <c r="A539" s="38"/>
      <c r="B539" s="38"/>
      <c r="C539" s="38"/>
      <c r="D539" s="48"/>
      <c r="E539" s="39"/>
    </row>
    <row r="540" spans="1:5">
      <c r="A540" s="38"/>
      <c r="B540" s="38"/>
      <c r="C540" s="38"/>
      <c r="D540" s="48"/>
      <c r="E540" s="39"/>
    </row>
    <row r="541" spans="1:5">
      <c r="A541" s="38"/>
      <c r="B541" s="38"/>
      <c r="C541" s="38"/>
      <c r="D541" s="48"/>
      <c r="E541" s="39"/>
    </row>
    <row r="542" spans="1:5">
      <c r="A542" s="38"/>
      <c r="B542" s="38"/>
      <c r="C542" s="38"/>
      <c r="D542" s="48"/>
      <c r="E542" s="39"/>
    </row>
    <row r="543" spans="1:5">
      <c r="A543" s="38"/>
      <c r="B543" s="38"/>
      <c r="C543" s="38"/>
      <c r="D543" s="48"/>
      <c r="E543" s="39"/>
    </row>
    <row r="544" spans="1:5">
      <c r="A544" s="38"/>
      <c r="B544" s="38"/>
      <c r="C544" s="38"/>
      <c r="D544" s="48"/>
      <c r="E544" s="39"/>
    </row>
    <row r="545" spans="1:5">
      <c r="A545" s="38"/>
      <c r="B545" s="38"/>
      <c r="C545" s="38"/>
      <c r="D545" s="48"/>
      <c r="E545" s="39"/>
    </row>
    <row r="546" spans="1:5">
      <c r="A546" s="38"/>
      <c r="B546" s="38"/>
      <c r="C546" s="38"/>
      <c r="D546" s="48"/>
      <c r="E546" s="39"/>
    </row>
    <row r="547" spans="1:5">
      <c r="A547" s="38"/>
      <c r="B547" s="38"/>
      <c r="C547" s="38"/>
      <c r="D547" s="48"/>
      <c r="E547" s="39"/>
    </row>
    <row r="548" spans="1:5">
      <c r="A548" s="38"/>
      <c r="B548" s="38"/>
      <c r="C548" s="38"/>
      <c r="D548" s="48"/>
      <c r="E548" s="39"/>
    </row>
    <row r="549" spans="1:5">
      <c r="A549" s="38"/>
      <c r="B549" s="38"/>
      <c r="C549" s="38"/>
      <c r="D549" s="48"/>
      <c r="E549" s="39"/>
    </row>
    <row r="550" spans="1:5">
      <c r="A550" s="38"/>
      <c r="B550" s="38"/>
      <c r="C550" s="38"/>
      <c r="D550" s="48"/>
      <c r="E550" s="39"/>
    </row>
    <row r="551" spans="1:5">
      <c r="A551" s="38"/>
      <c r="B551" s="38"/>
      <c r="C551" s="38"/>
      <c r="D551" s="48"/>
      <c r="E551" s="39"/>
    </row>
    <row r="552" spans="1:5">
      <c r="A552" s="38"/>
      <c r="B552" s="38"/>
      <c r="C552" s="38"/>
      <c r="D552" s="48"/>
      <c r="E552" s="39"/>
    </row>
    <row r="553" spans="1:5">
      <c r="A553" s="38"/>
      <c r="B553" s="38"/>
      <c r="C553" s="38"/>
      <c r="D553" s="48"/>
      <c r="E553" s="39"/>
    </row>
    <row r="554" spans="1:5">
      <c r="A554" s="38"/>
      <c r="B554" s="38"/>
      <c r="C554" s="38"/>
      <c r="D554" s="48"/>
      <c r="E554" s="39"/>
    </row>
    <row r="555" spans="1:5">
      <c r="A555" s="38"/>
      <c r="B555" s="38"/>
      <c r="C555" s="38"/>
      <c r="D555" s="48"/>
      <c r="E555" s="39"/>
    </row>
    <row r="556" spans="1:5">
      <c r="A556" s="38"/>
      <c r="B556" s="38"/>
      <c r="C556" s="38"/>
      <c r="D556" s="48"/>
      <c r="E556" s="39"/>
    </row>
    <row r="557" spans="1:5">
      <c r="A557" s="38"/>
      <c r="B557" s="38"/>
      <c r="C557" s="38"/>
      <c r="D557" s="48"/>
      <c r="E557" s="39"/>
    </row>
    <row r="558" spans="1:5">
      <c r="A558" s="38"/>
      <c r="B558" s="38"/>
      <c r="C558" s="38"/>
      <c r="D558" s="48"/>
      <c r="E558" s="39"/>
    </row>
    <row r="559" spans="1:5">
      <c r="A559" s="38"/>
      <c r="B559" s="38"/>
      <c r="C559" s="38"/>
      <c r="D559" s="48"/>
      <c r="E559" s="39"/>
    </row>
    <row r="560" spans="1:5">
      <c r="A560" s="38"/>
      <c r="B560" s="38"/>
      <c r="C560" s="38"/>
      <c r="D560" s="48"/>
      <c r="E560" s="39"/>
    </row>
    <row r="561" spans="1:5">
      <c r="A561" s="38"/>
      <c r="B561" s="38"/>
      <c r="C561" s="38"/>
      <c r="D561" s="48"/>
      <c r="E561" s="39"/>
    </row>
    <row r="562" spans="1:5">
      <c r="A562" s="38"/>
      <c r="B562" s="38"/>
      <c r="C562" s="38"/>
      <c r="D562" s="48"/>
      <c r="E562" s="39"/>
    </row>
    <row r="563" spans="1:5">
      <c r="A563" s="38"/>
      <c r="B563" s="38"/>
      <c r="C563" s="38"/>
      <c r="D563" s="48"/>
      <c r="E563" s="39"/>
    </row>
    <row r="564" spans="1:5">
      <c r="A564" s="38"/>
      <c r="B564" s="38"/>
      <c r="C564" s="38"/>
      <c r="D564" s="48"/>
      <c r="E564" s="39"/>
    </row>
    <row r="565" spans="1:5">
      <c r="A565" s="38"/>
      <c r="B565" s="38"/>
      <c r="C565" s="38"/>
      <c r="D565" s="48"/>
      <c r="E565" s="39"/>
    </row>
    <row r="566" spans="1:5">
      <c r="A566" s="38"/>
      <c r="B566" s="38"/>
      <c r="C566" s="38"/>
      <c r="D566" s="48"/>
      <c r="E566" s="39"/>
    </row>
    <row r="567" spans="1:5">
      <c r="A567" s="38"/>
      <c r="B567" s="38"/>
      <c r="C567" s="38"/>
      <c r="D567" s="48"/>
      <c r="E567" s="39"/>
    </row>
    <row r="568" spans="1:5">
      <c r="A568" s="38"/>
      <c r="B568" s="38"/>
      <c r="C568" s="38"/>
      <c r="D568" s="48"/>
      <c r="E568" s="39"/>
    </row>
    <row r="569" spans="1:5">
      <c r="A569" s="38"/>
      <c r="B569" s="38"/>
      <c r="C569" s="38"/>
      <c r="D569" s="48"/>
      <c r="E569" s="39"/>
    </row>
    <row r="570" spans="1:5">
      <c r="A570" s="38"/>
      <c r="B570" s="38"/>
      <c r="C570" s="38"/>
      <c r="D570" s="48"/>
      <c r="E570" s="39"/>
    </row>
    <row r="571" spans="1:5">
      <c r="A571" s="38"/>
      <c r="B571" s="38"/>
      <c r="C571" s="38"/>
      <c r="D571" s="48"/>
      <c r="E571" s="39"/>
    </row>
    <row r="572" spans="1:5">
      <c r="A572" s="38"/>
      <c r="B572" s="38"/>
      <c r="C572" s="38"/>
      <c r="D572" s="48"/>
      <c r="E572" s="39"/>
    </row>
    <row r="573" spans="1:5">
      <c r="A573" s="38"/>
      <c r="B573" s="38"/>
      <c r="C573" s="38"/>
      <c r="D573" s="48"/>
      <c r="E573" s="39"/>
    </row>
    <row r="574" spans="1:5">
      <c r="A574" s="38"/>
      <c r="B574" s="38"/>
      <c r="C574" s="38"/>
      <c r="D574" s="48"/>
      <c r="E574" s="39"/>
    </row>
    <row r="575" spans="1:5">
      <c r="A575" s="38"/>
      <c r="B575" s="38"/>
      <c r="C575" s="38"/>
      <c r="D575" s="48"/>
      <c r="E575" s="39"/>
    </row>
    <row r="576" spans="1:5">
      <c r="A576" s="38"/>
      <c r="B576" s="38"/>
      <c r="C576" s="38"/>
      <c r="D576" s="48"/>
      <c r="E576" s="39"/>
    </row>
    <row r="577" spans="1:5">
      <c r="A577" s="38"/>
      <c r="B577" s="38"/>
      <c r="C577" s="38"/>
      <c r="D577" s="48"/>
      <c r="E577" s="39"/>
    </row>
    <row r="578" spans="1:5">
      <c r="A578" s="38"/>
      <c r="B578" s="38"/>
      <c r="C578" s="38"/>
      <c r="D578" s="48"/>
      <c r="E578" s="39"/>
    </row>
    <row r="579" spans="1:5">
      <c r="A579" s="38"/>
      <c r="B579" s="38"/>
      <c r="C579" s="38"/>
      <c r="D579" s="48"/>
      <c r="E579" s="39"/>
    </row>
    <row r="580" spans="1:5">
      <c r="A580" s="38"/>
      <c r="B580" s="38"/>
      <c r="C580" s="38"/>
      <c r="D580" s="48"/>
      <c r="E580" s="39"/>
    </row>
    <row r="581" spans="1:5">
      <c r="A581" s="38"/>
      <c r="B581" s="38"/>
      <c r="C581" s="38"/>
      <c r="D581" s="48"/>
      <c r="E581" s="39"/>
    </row>
    <row r="582" spans="1:5">
      <c r="A582" s="38"/>
      <c r="B582" s="38"/>
      <c r="C582" s="38"/>
      <c r="D582" s="48"/>
      <c r="E582" s="39"/>
    </row>
    <row r="583" spans="1:5">
      <c r="A583" s="38"/>
      <c r="B583" s="38"/>
      <c r="C583" s="38"/>
      <c r="D583" s="48"/>
      <c r="E583" s="39"/>
    </row>
    <row r="584" spans="1:5">
      <c r="A584" s="38"/>
      <c r="B584" s="38"/>
      <c r="C584" s="38"/>
      <c r="D584" s="48"/>
      <c r="E584" s="39"/>
    </row>
    <row r="585" spans="1:5">
      <c r="A585" s="38"/>
      <c r="B585" s="38"/>
      <c r="C585" s="38"/>
      <c r="D585" s="48"/>
      <c r="E585" s="39"/>
    </row>
    <row r="586" spans="1:5">
      <c r="A586" s="38"/>
      <c r="B586" s="38"/>
      <c r="C586" s="38"/>
      <c r="D586" s="48"/>
      <c r="E586" s="39"/>
    </row>
    <row r="587" spans="1:5">
      <c r="A587" s="38"/>
      <c r="B587" s="38"/>
      <c r="C587" s="38"/>
      <c r="D587" s="48"/>
      <c r="E587" s="39"/>
    </row>
    <row r="588" spans="1:5">
      <c r="A588" s="38"/>
      <c r="B588" s="38"/>
      <c r="C588" s="38"/>
      <c r="D588" s="48"/>
      <c r="E588" s="39"/>
    </row>
    <row r="589" spans="1:5">
      <c r="A589" s="38"/>
      <c r="B589" s="38"/>
      <c r="C589" s="38"/>
      <c r="D589" s="48"/>
      <c r="E589" s="39"/>
    </row>
    <row r="590" spans="1:5">
      <c r="A590" s="38"/>
      <c r="B590" s="38"/>
      <c r="C590" s="38"/>
      <c r="D590" s="48"/>
      <c r="E590" s="39"/>
    </row>
    <row r="591" spans="1:5">
      <c r="A591" s="38"/>
      <c r="B591" s="38"/>
      <c r="C591" s="38"/>
      <c r="D591" s="48"/>
      <c r="E591" s="39"/>
    </row>
    <row r="592" spans="1:5">
      <c r="A592" s="38"/>
      <c r="B592" s="38"/>
      <c r="C592" s="38"/>
      <c r="D592" s="48"/>
      <c r="E592" s="39"/>
    </row>
    <row r="593" spans="1:5">
      <c r="A593" s="38"/>
      <c r="B593" s="38"/>
      <c r="C593" s="38"/>
      <c r="D593" s="48"/>
      <c r="E593" s="39"/>
    </row>
    <row r="594" spans="1:5">
      <c r="A594" s="38"/>
      <c r="B594" s="38"/>
      <c r="C594" s="38"/>
      <c r="D594" s="48"/>
      <c r="E594" s="39"/>
    </row>
    <row r="595" spans="1:5">
      <c r="A595" s="38"/>
      <c r="B595" s="38"/>
      <c r="C595" s="38"/>
      <c r="D595" s="48"/>
      <c r="E595" s="39"/>
    </row>
    <row r="596" spans="1:5">
      <c r="A596" s="38"/>
      <c r="B596" s="38"/>
      <c r="C596" s="38"/>
      <c r="D596" s="48"/>
      <c r="E596" s="39"/>
    </row>
    <row r="597" spans="1:5">
      <c r="A597" s="38"/>
      <c r="B597" s="38"/>
      <c r="C597" s="38"/>
      <c r="D597" s="48"/>
      <c r="E597" s="39"/>
    </row>
    <row r="598" spans="1:5">
      <c r="A598" s="38"/>
      <c r="B598" s="38"/>
      <c r="C598" s="38"/>
      <c r="D598" s="48"/>
      <c r="E598" s="39"/>
    </row>
    <row r="599" spans="1:5">
      <c r="A599" s="38"/>
      <c r="B599" s="38"/>
      <c r="C599" s="38"/>
      <c r="D599" s="48"/>
      <c r="E599" s="39"/>
    </row>
    <row r="600" spans="1:5">
      <c r="A600" s="38"/>
      <c r="B600" s="38"/>
      <c r="C600" s="38"/>
      <c r="D600" s="48"/>
      <c r="E600" s="39"/>
    </row>
    <row r="601" spans="1:5">
      <c r="A601" s="38"/>
      <c r="B601" s="38"/>
      <c r="C601" s="38"/>
      <c r="D601" s="48"/>
      <c r="E601" s="39"/>
    </row>
    <row r="602" spans="1:5">
      <c r="A602" s="38"/>
      <c r="B602" s="38"/>
      <c r="C602" s="38"/>
      <c r="D602" s="48"/>
      <c r="E602" s="39"/>
    </row>
    <row r="603" spans="1:5">
      <c r="A603" s="38"/>
      <c r="B603" s="38"/>
      <c r="C603" s="38"/>
      <c r="D603" s="48"/>
      <c r="E603" s="39"/>
    </row>
    <row r="604" spans="1:5">
      <c r="A604" s="38"/>
      <c r="B604" s="38"/>
      <c r="C604" s="38"/>
      <c r="D604" s="48"/>
      <c r="E604" s="39"/>
    </row>
    <row r="605" spans="1:5">
      <c r="A605" s="38"/>
      <c r="B605" s="38"/>
      <c r="C605" s="38"/>
      <c r="D605" s="48"/>
      <c r="E605" s="39"/>
    </row>
    <row r="606" spans="1:5">
      <c r="A606" s="38"/>
      <c r="B606" s="38"/>
      <c r="C606" s="38"/>
      <c r="D606" s="48"/>
      <c r="E606" s="39"/>
    </row>
    <row r="607" spans="1:5">
      <c r="A607" s="38"/>
      <c r="B607" s="38"/>
      <c r="C607" s="38"/>
      <c r="D607" s="48"/>
      <c r="E607" s="39"/>
    </row>
    <row r="608" spans="1:5">
      <c r="A608" s="38"/>
      <c r="B608" s="38"/>
      <c r="C608" s="38"/>
      <c r="D608" s="48"/>
      <c r="E608" s="39"/>
    </row>
    <row r="609" spans="1:5">
      <c r="A609" s="38"/>
      <c r="B609" s="38"/>
      <c r="C609" s="38"/>
      <c r="D609" s="48"/>
      <c r="E609" s="39"/>
    </row>
    <row r="610" spans="1:5">
      <c r="A610" s="38"/>
      <c r="B610" s="38"/>
      <c r="C610" s="38"/>
      <c r="D610" s="48"/>
      <c r="E610" s="39"/>
    </row>
    <row r="611" spans="1:5">
      <c r="A611" s="38"/>
      <c r="B611" s="38"/>
      <c r="C611" s="38"/>
      <c r="D611" s="48"/>
      <c r="E611" s="39"/>
    </row>
    <row r="612" spans="1:5">
      <c r="A612" s="38"/>
      <c r="B612" s="38"/>
      <c r="C612" s="38"/>
      <c r="D612" s="48"/>
      <c r="E612" s="39"/>
    </row>
    <row r="613" spans="1:5">
      <c r="A613" s="38"/>
      <c r="B613" s="38"/>
      <c r="C613" s="38"/>
      <c r="D613" s="48"/>
      <c r="E613" s="39"/>
    </row>
    <row r="614" spans="1:5">
      <c r="A614" s="38"/>
      <c r="B614" s="38"/>
      <c r="C614" s="38"/>
      <c r="D614" s="48"/>
      <c r="E614" s="39"/>
    </row>
    <row r="615" spans="1:5">
      <c r="A615" s="38"/>
      <c r="B615" s="38"/>
      <c r="C615" s="38"/>
      <c r="D615" s="48"/>
      <c r="E615" s="39"/>
    </row>
    <row r="616" spans="1:5">
      <c r="A616" s="38"/>
      <c r="B616" s="38"/>
      <c r="C616" s="38"/>
      <c r="D616" s="48"/>
      <c r="E616" s="39"/>
    </row>
    <row r="617" spans="1:5">
      <c r="A617" s="38"/>
      <c r="B617" s="38"/>
      <c r="C617" s="38"/>
      <c r="D617" s="48"/>
      <c r="E617" s="39"/>
    </row>
    <row r="618" spans="1:5">
      <c r="A618" s="38"/>
      <c r="B618" s="38"/>
      <c r="C618" s="38"/>
      <c r="D618" s="48"/>
      <c r="E618" s="39"/>
    </row>
    <row r="619" spans="1:5">
      <c r="A619" s="38"/>
      <c r="B619" s="38"/>
      <c r="C619" s="38"/>
      <c r="D619" s="48"/>
      <c r="E619" s="39"/>
    </row>
    <row r="620" spans="1:5">
      <c r="A620" s="38"/>
      <c r="B620" s="38"/>
      <c r="C620" s="38"/>
      <c r="D620" s="48"/>
      <c r="E620" s="39"/>
    </row>
    <row r="621" spans="1:5">
      <c r="A621" s="38"/>
      <c r="B621" s="38"/>
      <c r="C621" s="38"/>
      <c r="D621" s="48"/>
      <c r="E621" s="39"/>
    </row>
    <row r="622" spans="1:5">
      <c r="A622" s="38"/>
      <c r="B622" s="38"/>
      <c r="C622" s="38"/>
      <c r="D622" s="48"/>
      <c r="E622" s="39"/>
    </row>
    <row r="623" spans="1:5">
      <c r="A623" s="38"/>
      <c r="B623" s="38"/>
      <c r="C623" s="38"/>
      <c r="D623" s="48"/>
      <c r="E623" s="39"/>
    </row>
    <row r="624" spans="1:5">
      <c r="A624" s="38"/>
      <c r="B624" s="38"/>
      <c r="C624" s="38"/>
      <c r="D624" s="48"/>
      <c r="E624" s="39"/>
    </row>
    <row r="625" spans="1:5">
      <c r="A625" s="38"/>
      <c r="B625" s="38"/>
      <c r="C625" s="38"/>
      <c r="D625" s="48"/>
      <c r="E625" s="39"/>
    </row>
    <row r="626" spans="1:5">
      <c r="A626" s="38"/>
      <c r="B626" s="38"/>
      <c r="C626" s="38"/>
      <c r="D626" s="48"/>
      <c r="E626" s="39"/>
    </row>
    <row r="627" spans="1:5">
      <c r="A627" s="38"/>
      <c r="B627" s="38"/>
      <c r="C627" s="38"/>
      <c r="D627" s="48"/>
      <c r="E627" s="39"/>
    </row>
    <row r="628" spans="1:5">
      <c r="A628" s="38"/>
      <c r="B628" s="38"/>
      <c r="C628" s="38"/>
      <c r="D628" s="48"/>
      <c r="E628" s="39"/>
    </row>
    <row r="629" spans="1:5">
      <c r="A629" s="38"/>
      <c r="B629" s="38"/>
      <c r="C629" s="38"/>
      <c r="D629" s="48"/>
      <c r="E629" s="39"/>
    </row>
    <row r="630" spans="1:5">
      <c r="A630" s="38"/>
      <c r="B630" s="38"/>
      <c r="C630" s="38"/>
      <c r="D630" s="48"/>
      <c r="E630" s="39"/>
    </row>
    <row r="631" spans="1:5">
      <c r="A631" s="38"/>
      <c r="B631" s="38"/>
      <c r="C631" s="38"/>
      <c r="D631" s="48"/>
      <c r="E631" s="39"/>
    </row>
    <row r="632" spans="1:5">
      <c r="A632" s="38"/>
      <c r="B632" s="38"/>
      <c r="C632" s="38"/>
      <c r="D632" s="48"/>
      <c r="E632" s="39"/>
    </row>
    <row r="633" spans="1:5">
      <c r="A633" s="38"/>
      <c r="B633" s="38"/>
      <c r="C633" s="38"/>
      <c r="D633" s="48"/>
      <c r="E633" s="39"/>
    </row>
    <row r="634" spans="1:5">
      <c r="A634" s="38"/>
      <c r="B634" s="38"/>
      <c r="C634" s="38"/>
      <c r="D634" s="48"/>
      <c r="E634" s="39"/>
    </row>
    <row r="635" spans="1:5">
      <c r="A635" s="38"/>
      <c r="B635" s="38"/>
      <c r="C635" s="38"/>
      <c r="D635" s="48"/>
      <c r="E635" s="39"/>
    </row>
    <row r="636" spans="1:5">
      <c r="A636" s="38"/>
      <c r="B636" s="38"/>
      <c r="C636" s="38"/>
      <c r="D636" s="48"/>
      <c r="E636" s="39"/>
    </row>
    <row r="637" spans="1:5">
      <c r="A637" s="38"/>
      <c r="B637" s="38"/>
      <c r="C637" s="38"/>
      <c r="D637" s="48"/>
      <c r="E637" s="39"/>
    </row>
    <row r="638" spans="1:5">
      <c r="A638" s="38"/>
      <c r="B638" s="38"/>
      <c r="C638" s="38"/>
      <c r="D638" s="48"/>
      <c r="E638" s="39"/>
    </row>
    <row r="639" spans="1:5">
      <c r="A639" s="38"/>
      <c r="B639" s="38"/>
      <c r="C639" s="38"/>
      <c r="D639" s="48"/>
      <c r="E639" s="39"/>
    </row>
    <row r="640" spans="1:5">
      <c r="A640" s="38"/>
      <c r="B640" s="38"/>
      <c r="C640" s="38"/>
      <c r="D640" s="48"/>
      <c r="E640" s="39"/>
    </row>
    <row r="641" spans="1:5">
      <c r="A641" s="38"/>
      <c r="B641" s="38"/>
      <c r="C641" s="38"/>
      <c r="D641" s="48"/>
      <c r="E641" s="39"/>
    </row>
    <row r="642" spans="1:5">
      <c r="A642" s="38"/>
      <c r="B642" s="38"/>
      <c r="C642" s="38"/>
      <c r="D642" s="48"/>
      <c r="E642" s="39"/>
    </row>
    <row r="643" spans="1:5">
      <c r="A643" s="38"/>
      <c r="B643" s="38"/>
      <c r="C643" s="38"/>
      <c r="D643" s="48"/>
      <c r="E643" s="39"/>
    </row>
    <row r="644" spans="1:5">
      <c r="A644" s="38"/>
      <c r="B644" s="38"/>
      <c r="C644" s="38"/>
      <c r="D644" s="48"/>
      <c r="E644" s="39"/>
    </row>
    <row r="645" spans="1:5">
      <c r="A645" s="38"/>
      <c r="B645" s="38"/>
      <c r="C645" s="38"/>
      <c r="D645" s="48"/>
      <c r="E645" s="39"/>
    </row>
    <row r="646" spans="1:5">
      <c r="A646" s="38"/>
      <c r="B646" s="38"/>
      <c r="C646" s="38"/>
      <c r="D646" s="48"/>
      <c r="E646" s="39"/>
    </row>
    <row r="647" spans="1:5">
      <c r="A647" s="38"/>
      <c r="B647" s="38"/>
      <c r="C647" s="38"/>
      <c r="D647" s="48"/>
      <c r="E647" s="39"/>
    </row>
    <row r="648" spans="1:5">
      <c r="A648" s="38"/>
      <c r="B648" s="38"/>
      <c r="C648" s="38"/>
      <c r="D648" s="48"/>
      <c r="E648" s="39"/>
    </row>
    <row r="649" spans="1:5">
      <c r="A649" s="38"/>
      <c r="B649" s="38"/>
      <c r="C649" s="38"/>
      <c r="D649" s="48"/>
      <c r="E649" s="39"/>
    </row>
    <row r="650" spans="1:5">
      <c r="A650" s="38"/>
      <c r="B650" s="38"/>
      <c r="C650" s="38"/>
      <c r="D650" s="48"/>
      <c r="E650" s="39"/>
    </row>
    <row r="651" spans="1:5">
      <c r="A651" s="38"/>
      <c r="B651" s="38"/>
      <c r="C651" s="38"/>
      <c r="D651" s="48"/>
      <c r="E651" s="39"/>
    </row>
    <row r="652" spans="1:5">
      <c r="A652" s="38"/>
      <c r="B652" s="38"/>
      <c r="C652" s="38"/>
      <c r="D652" s="48"/>
      <c r="E652" s="39"/>
    </row>
    <row r="653" spans="1:5">
      <c r="A653" s="38"/>
      <c r="B653" s="38"/>
      <c r="C653" s="38"/>
      <c r="D653" s="48"/>
      <c r="E653" s="39"/>
    </row>
    <row r="654" spans="1:5">
      <c r="A654" s="38"/>
      <c r="B654" s="38"/>
      <c r="C654" s="38"/>
      <c r="D654" s="48"/>
      <c r="E654" s="39"/>
    </row>
    <row r="655" spans="1:5">
      <c r="A655" s="38"/>
      <c r="B655" s="38"/>
      <c r="C655" s="38"/>
      <c r="D655" s="48"/>
      <c r="E655" s="39"/>
    </row>
    <row r="656" spans="1:5">
      <c r="A656" s="38"/>
      <c r="B656" s="38"/>
      <c r="C656" s="38"/>
      <c r="D656" s="48"/>
      <c r="E656" s="39"/>
    </row>
    <row r="657" spans="1:5">
      <c r="A657" s="38"/>
      <c r="B657" s="38"/>
      <c r="C657" s="38"/>
      <c r="D657" s="48"/>
      <c r="E657" s="39"/>
    </row>
    <row r="658" spans="1:5">
      <c r="A658" s="38"/>
      <c r="B658" s="38"/>
      <c r="C658" s="38"/>
      <c r="D658" s="48"/>
      <c r="E658" s="39"/>
    </row>
    <row r="659" spans="1:5">
      <c r="A659" s="38"/>
      <c r="B659" s="38"/>
      <c r="C659" s="38"/>
      <c r="D659" s="48"/>
      <c r="E659" s="39"/>
    </row>
    <row r="660" spans="1:5">
      <c r="A660" s="38"/>
      <c r="B660" s="38"/>
      <c r="C660" s="38"/>
      <c r="D660" s="48"/>
      <c r="E660" s="39"/>
    </row>
    <row r="661" spans="1:5">
      <c r="A661" s="38"/>
      <c r="B661" s="38"/>
      <c r="C661" s="38"/>
      <c r="D661" s="48"/>
      <c r="E661" s="39"/>
    </row>
    <row r="662" spans="1:5">
      <c r="A662" s="38"/>
      <c r="B662" s="38"/>
      <c r="C662" s="38"/>
      <c r="D662" s="48"/>
      <c r="E662" s="39"/>
    </row>
    <row r="663" spans="1:5">
      <c r="A663" s="38"/>
      <c r="B663" s="38"/>
      <c r="C663" s="38"/>
      <c r="D663" s="48"/>
      <c r="E663" s="39"/>
    </row>
    <row r="664" spans="1:5">
      <c r="A664" s="38"/>
      <c r="B664" s="38"/>
      <c r="C664" s="38"/>
      <c r="D664" s="48"/>
      <c r="E664" s="39"/>
    </row>
    <row r="665" spans="1:5">
      <c r="A665" s="38"/>
      <c r="B665" s="38"/>
      <c r="C665" s="38"/>
      <c r="D665" s="48"/>
      <c r="E665" s="39"/>
    </row>
    <row r="666" spans="1:5">
      <c r="A666" s="38"/>
      <c r="B666" s="38"/>
      <c r="C666" s="38"/>
      <c r="D666" s="48"/>
      <c r="E666" s="39"/>
    </row>
    <row r="667" spans="1:5">
      <c r="A667" s="38"/>
      <c r="B667" s="38"/>
      <c r="C667" s="38"/>
      <c r="D667" s="48"/>
      <c r="E667" s="39"/>
    </row>
    <row r="668" spans="1:5">
      <c r="A668" s="38"/>
      <c r="B668" s="38"/>
      <c r="C668" s="38"/>
      <c r="D668" s="48"/>
      <c r="E668" s="39"/>
    </row>
    <row r="669" spans="1:5">
      <c r="A669" s="38"/>
      <c r="B669" s="38"/>
      <c r="C669" s="38"/>
      <c r="D669" s="48"/>
      <c r="E669" s="39"/>
    </row>
    <row r="670" spans="1:5">
      <c r="A670" s="38"/>
      <c r="B670" s="38"/>
      <c r="C670" s="38"/>
      <c r="D670" s="48"/>
      <c r="E670" s="39"/>
    </row>
    <row r="671" spans="1:5">
      <c r="A671" s="38"/>
      <c r="B671" s="38"/>
      <c r="C671" s="38"/>
      <c r="D671" s="48"/>
      <c r="E671" s="39"/>
    </row>
    <row r="672" spans="1:5">
      <c r="A672" s="38"/>
      <c r="B672" s="38"/>
      <c r="C672" s="38"/>
      <c r="D672" s="48"/>
      <c r="E672" s="39"/>
    </row>
    <row r="673" spans="1:5">
      <c r="A673" s="38"/>
      <c r="B673" s="38"/>
      <c r="C673" s="38"/>
      <c r="D673" s="48"/>
      <c r="E673" s="39"/>
    </row>
    <row r="674" spans="1:5">
      <c r="A674" s="38"/>
      <c r="B674" s="38"/>
      <c r="C674" s="38"/>
      <c r="D674" s="48"/>
      <c r="E674" s="39"/>
    </row>
    <row r="675" spans="1:5">
      <c r="A675" s="38"/>
      <c r="B675" s="38"/>
      <c r="C675" s="38"/>
      <c r="D675" s="48"/>
      <c r="E675" s="39"/>
    </row>
    <row r="676" spans="1:5">
      <c r="A676" s="38"/>
      <c r="B676" s="38"/>
      <c r="C676" s="38"/>
      <c r="D676" s="48"/>
      <c r="E676" s="39"/>
    </row>
    <row r="677" spans="1:5">
      <c r="A677" s="38"/>
      <c r="B677" s="38"/>
      <c r="C677" s="38"/>
      <c r="D677" s="48"/>
      <c r="E677" s="39"/>
    </row>
    <row r="678" spans="1:5">
      <c r="A678" s="38"/>
      <c r="B678" s="38"/>
      <c r="C678" s="38"/>
      <c r="D678" s="48"/>
      <c r="E678" s="39"/>
    </row>
    <row r="679" spans="1:5">
      <c r="A679" s="38"/>
      <c r="B679" s="38"/>
      <c r="C679" s="38"/>
      <c r="D679" s="48"/>
      <c r="E679" s="39"/>
    </row>
    <row r="680" spans="1:5">
      <c r="A680" s="38"/>
      <c r="B680" s="38"/>
      <c r="C680" s="38"/>
      <c r="D680" s="48"/>
      <c r="E680" s="39"/>
    </row>
    <row r="681" spans="1:5">
      <c r="A681" s="38"/>
      <c r="B681" s="38"/>
      <c r="C681" s="38"/>
      <c r="D681" s="48"/>
      <c r="E681" s="39"/>
    </row>
    <row r="682" spans="1:5">
      <c r="A682" s="38"/>
      <c r="B682" s="38"/>
      <c r="C682" s="38"/>
      <c r="D682" s="48"/>
      <c r="E682" s="39"/>
    </row>
    <row r="683" spans="1:5">
      <c r="A683" s="38"/>
      <c r="B683" s="38"/>
      <c r="C683" s="38"/>
      <c r="D683" s="48"/>
      <c r="E683" s="39"/>
    </row>
    <row r="684" spans="1:5">
      <c r="A684" s="38"/>
      <c r="B684" s="38"/>
      <c r="C684" s="38"/>
      <c r="D684" s="48"/>
      <c r="E684" s="39"/>
    </row>
    <row r="685" spans="1:5">
      <c r="A685" s="38"/>
      <c r="B685" s="38"/>
      <c r="C685" s="38"/>
      <c r="D685" s="48"/>
      <c r="E685" s="39"/>
    </row>
    <row r="686" spans="1:5">
      <c r="A686" s="38"/>
      <c r="B686" s="38"/>
      <c r="C686" s="38"/>
      <c r="D686" s="48"/>
      <c r="E686" s="39"/>
    </row>
    <row r="687" spans="1:5">
      <c r="A687" s="38"/>
      <c r="B687" s="38"/>
      <c r="C687" s="38"/>
      <c r="D687" s="48"/>
      <c r="E687" s="39"/>
    </row>
    <row r="688" spans="1:5">
      <c r="A688" s="38"/>
      <c r="B688" s="38"/>
      <c r="C688" s="38"/>
      <c r="D688" s="48"/>
      <c r="E688" s="39"/>
    </row>
    <row r="689" spans="1:5">
      <c r="A689" s="38"/>
      <c r="B689" s="38"/>
      <c r="C689" s="38"/>
      <c r="D689" s="48"/>
      <c r="E689" s="39"/>
    </row>
    <row r="690" spans="1:5">
      <c r="A690" s="38"/>
      <c r="B690" s="38"/>
      <c r="C690" s="38"/>
      <c r="D690" s="48"/>
      <c r="E690" s="39"/>
    </row>
    <row r="691" spans="1:5">
      <c r="A691" s="38"/>
      <c r="B691" s="38"/>
      <c r="C691" s="38"/>
      <c r="D691" s="48"/>
      <c r="E691" s="39"/>
    </row>
    <row r="692" spans="1:5">
      <c r="A692" s="38"/>
      <c r="B692" s="38"/>
      <c r="C692" s="38"/>
      <c r="D692" s="48"/>
      <c r="E692" s="39"/>
    </row>
    <row r="693" spans="1:5">
      <c r="A693" s="38"/>
      <c r="B693" s="38"/>
      <c r="C693" s="38"/>
      <c r="D693" s="48"/>
      <c r="E693" s="39"/>
    </row>
    <row r="694" spans="1:5">
      <c r="A694" s="38"/>
      <c r="B694" s="38"/>
      <c r="C694" s="38"/>
      <c r="D694" s="48"/>
      <c r="E694" s="39"/>
    </row>
    <row r="695" spans="1:5">
      <c r="A695" s="38"/>
      <c r="B695" s="38"/>
      <c r="C695" s="38"/>
      <c r="D695" s="48"/>
      <c r="E695" s="39"/>
    </row>
    <row r="696" spans="1:5">
      <c r="A696" s="38"/>
      <c r="B696" s="38"/>
      <c r="C696" s="38"/>
      <c r="D696" s="48"/>
      <c r="E696" s="39"/>
    </row>
    <row r="697" spans="1:5">
      <c r="A697" s="38"/>
      <c r="B697" s="38"/>
      <c r="C697" s="38"/>
      <c r="D697" s="48"/>
      <c r="E697" s="39"/>
    </row>
    <row r="698" spans="1:5">
      <c r="A698" s="38"/>
      <c r="B698" s="38"/>
      <c r="C698" s="38"/>
      <c r="D698" s="48"/>
      <c r="E698" s="39"/>
    </row>
    <row r="699" spans="1:5">
      <c r="A699" s="38"/>
      <c r="B699" s="38"/>
      <c r="C699" s="38"/>
      <c r="D699" s="48"/>
      <c r="E699" s="39"/>
    </row>
    <row r="700" spans="1:5">
      <c r="A700" s="38"/>
      <c r="B700" s="38"/>
      <c r="C700" s="38"/>
      <c r="D700" s="48"/>
      <c r="E700" s="39"/>
    </row>
    <row r="701" spans="1:5">
      <c r="A701" s="38"/>
      <c r="B701" s="38"/>
      <c r="C701" s="38"/>
      <c r="D701" s="48"/>
      <c r="E701" s="39"/>
    </row>
    <row r="702" spans="1:5">
      <c r="A702" s="38"/>
      <c r="B702" s="38"/>
      <c r="C702" s="38"/>
      <c r="D702" s="48"/>
      <c r="E702" s="39"/>
    </row>
    <row r="703" spans="1:5">
      <c r="A703" s="38"/>
      <c r="B703" s="38"/>
      <c r="C703" s="38"/>
      <c r="D703" s="48"/>
      <c r="E703" s="39"/>
    </row>
    <row r="704" spans="1:5">
      <c r="A704" s="38"/>
      <c r="B704" s="38"/>
      <c r="C704" s="38"/>
      <c r="D704" s="48"/>
      <c r="E704" s="39"/>
    </row>
    <row r="705" spans="1:5">
      <c r="A705" s="38"/>
      <c r="B705" s="38"/>
      <c r="C705" s="38"/>
      <c r="D705" s="48"/>
      <c r="E705" s="39"/>
    </row>
    <row r="706" spans="1:5">
      <c r="A706" s="38"/>
      <c r="B706" s="38"/>
      <c r="C706" s="38"/>
      <c r="D706" s="48"/>
      <c r="E706" s="39"/>
    </row>
    <row r="707" spans="1:5">
      <c r="A707" s="38"/>
      <c r="B707" s="38"/>
      <c r="C707" s="38"/>
      <c r="D707" s="48"/>
      <c r="E707" s="39"/>
    </row>
    <row r="708" spans="1:5">
      <c r="A708" s="38"/>
      <c r="B708" s="38"/>
      <c r="C708" s="38"/>
      <c r="D708" s="48"/>
      <c r="E708" s="39"/>
    </row>
    <row r="709" spans="1:5">
      <c r="A709" s="38"/>
      <c r="B709" s="38"/>
      <c r="C709" s="38"/>
      <c r="D709" s="48"/>
      <c r="E709" s="39"/>
    </row>
    <row r="710" spans="1:5">
      <c r="A710" s="38"/>
      <c r="B710" s="38"/>
      <c r="C710" s="38"/>
      <c r="D710" s="48"/>
      <c r="E710" s="39"/>
    </row>
    <row r="711" spans="1:5">
      <c r="A711" s="38"/>
      <c r="B711" s="38"/>
      <c r="C711" s="38"/>
      <c r="D711" s="48"/>
      <c r="E711" s="39"/>
    </row>
    <row r="712" spans="1:5">
      <c r="A712" s="38"/>
      <c r="B712" s="38"/>
      <c r="C712" s="38"/>
      <c r="D712" s="48"/>
      <c r="E712" s="39"/>
    </row>
    <row r="713" spans="1:5">
      <c r="A713" s="38"/>
      <c r="B713" s="38"/>
      <c r="C713" s="38"/>
      <c r="D713" s="48"/>
      <c r="E713" s="39"/>
    </row>
    <row r="714" spans="1:5">
      <c r="A714" s="38"/>
      <c r="B714" s="38"/>
      <c r="C714" s="38"/>
      <c r="D714" s="48"/>
      <c r="E714" s="39"/>
    </row>
    <row r="715" spans="1:5">
      <c r="A715" s="38"/>
      <c r="B715" s="38"/>
      <c r="C715" s="38"/>
      <c r="D715" s="48"/>
      <c r="E715" s="39"/>
    </row>
    <row r="716" spans="1:5">
      <c r="A716" s="38"/>
      <c r="B716" s="38"/>
      <c r="C716" s="38"/>
      <c r="D716" s="48"/>
      <c r="E716" s="39"/>
    </row>
    <row r="717" spans="1:5">
      <c r="A717" s="38"/>
      <c r="B717" s="38"/>
      <c r="C717" s="38"/>
      <c r="D717" s="48"/>
      <c r="E717" s="39"/>
    </row>
    <row r="718" spans="1:5">
      <c r="A718" s="38"/>
      <c r="B718" s="38"/>
      <c r="C718" s="38"/>
      <c r="D718" s="48"/>
      <c r="E718" s="39"/>
    </row>
    <row r="719" spans="1:5">
      <c r="A719" s="38"/>
      <c r="B719" s="38"/>
      <c r="C719" s="38"/>
      <c r="D719" s="48"/>
      <c r="E719" s="39"/>
    </row>
    <row r="720" spans="1:5">
      <c r="A720" s="38"/>
      <c r="B720" s="38"/>
      <c r="C720" s="38"/>
      <c r="D720" s="48"/>
      <c r="E720" s="39"/>
    </row>
    <row r="721" spans="1:5">
      <c r="A721" s="38"/>
      <c r="B721" s="38"/>
      <c r="C721" s="38"/>
      <c r="D721" s="48"/>
      <c r="E721" s="39"/>
    </row>
    <row r="722" spans="1:5">
      <c r="A722" s="38"/>
      <c r="B722" s="38"/>
      <c r="C722" s="38"/>
      <c r="D722" s="48"/>
      <c r="E722" s="39"/>
    </row>
    <row r="723" spans="1:5">
      <c r="A723" s="38"/>
      <c r="B723" s="38"/>
      <c r="C723" s="38"/>
      <c r="D723" s="48"/>
      <c r="E723" s="39"/>
    </row>
    <row r="724" spans="1:5">
      <c r="A724" s="38"/>
      <c r="B724" s="38"/>
      <c r="C724" s="38"/>
      <c r="D724" s="48"/>
      <c r="E724" s="39"/>
    </row>
    <row r="725" spans="1:5">
      <c r="A725" s="38"/>
      <c r="B725" s="38"/>
      <c r="C725" s="38"/>
      <c r="D725" s="48"/>
      <c r="E725" s="39"/>
    </row>
    <row r="726" spans="1:5">
      <c r="A726" s="38"/>
      <c r="B726" s="38"/>
      <c r="C726" s="38"/>
      <c r="D726" s="48"/>
      <c r="E726" s="39"/>
    </row>
    <row r="727" spans="1:5">
      <c r="A727" s="38"/>
      <c r="B727" s="38"/>
      <c r="C727" s="38"/>
      <c r="D727" s="48"/>
      <c r="E727" s="39"/>
    </row>
    <row r="728" spans="1:5">
      <c r="A728" s="38"/>
      <c r="B728" s="38"/>
      <c r="C728" s="38"/>
      <c r="D728" s="48"/>
      <c r="E728" s="39"/>
    </row>
    <row r="729" spans="1:5">
      <c r="A729" s="38"/>
      <c r="B729" s="38"/>
      <c r="C729" s="38"/>
      <c r="D729" s="48"/>
      <c r="E729" s="39"/>
    </row>
    <row r="730" spans="1:5">
      <c r="A730" s="38"/>
      <c r="B730" s="38"/>
      <c r="C730" s="38"/>
      <c r="D730" s="48"/>
      <c r="E730" s="39"/>
    </row>
    <row r="731" spans="1:5">
      <c r="A731" s="38"/>
      <c r="B731" s="38"/>
      <c r="C731" s="38"/>
      <c r="D731" s="48"/>
      <c r="E731" s="39"/>
    </row>
    <row r="732" spans="1:5">
      <c r="A732" s="38"/>
      <c r="B732" s="38"/>
      <c r="C732" s="38"/>
      <c r="D732" s="48"/>
      <c r="E732" s="39"/>
    </row>
    <row r="733" spans="1:5">
      <c r="A733" s="38"/>
      <c r="B733" s="38"/>
      <c r="C733" s="38"/>
      <c r="D733" s="48"/>
      <c r="E733" s="39"/>
    </row>
    <row r="734" spans="1:5">
      <c r="A734" s="38"/>
      <c r="B734" s="38"/>
      <c r="C734" s="38"/>
      <c r="D734" s="48"/>
      <c r="E734" s="39"/>
    </row>
    <row r="735" spans="1:5">
      <c r="A735" s="38"/>
      <c r="B735" s="38"/>
      <c r="C735" s="38"/>
      <c r="D735" s="48"/>
      <c r="E735" s="39"/>
    </row>
    <row r="736" spans="1:5">
      <c r="A736" s="38"/>
      <c r="B736" s="38"/>
      <c r="C736" s="38"/>
      <c r="D736" s="48"/>
      <c r="E736" s="39"/>
    </row>
    <row r="737" spans="1:5">
      <c r="A737" s="38"/>
      <c r="B737" s="38"/>
      <c r="C737" s="38"/>
      <c r="D737" s="48"/>
      <c r="E737" s="39"/>
    </row>
    <row r="738" spans="1:5">
      <c r="A738" s="38"/>
      <c r="B738" s="38"/>
      <c r="C738" s="38"/>
      <c r="D738" s="48"/>
      <c r="E738" s="39"/>
    </row>
    <row r="739" spans="1:5">
      <c r="A739" s="38"/>
      <c r="B739" s="38"/>
      <c r="C739" s="38"/>
      <c r="D739" s="48"/>
      <c r="E739" s="39"/>
    </row>
    <row r="740" spans="1:5">
      <c r="A740" s="38"/>
      <c r="B740" s="38"/>
      <c r="C740" s="38"/>
      <c r="D740" s="48"/>
      <c r="E740" s="39"/>
    </row>
    <row r="741" spans="1:5">
      <c r="A741" s="38"/>
      <c r="B741" s="38"/>
      <c r="C741" s="38"/>
      <c r="D741" s="48"/>
      <c r="E741" s="39"/>
    </row>
    <row r="742" spans="1:5">
      <c r="A742" s="38"/>
      <c r="B742" s="38"/>
      <c r="C742" s="38"/>
      <c r="D742" s="48"/>
      <c r="E742" s="39"/>
    </row>
    <row r="743" spans="1:5">
      <c r="A743" s="38"/>
      <c r="B743" s="38"/>
      <c r="C743" s="38"/>
      <c r="D743" s="48"/>
      <c r="E743" s="39"/>
    </row>
    <row r="744" spans="1:5">
      <c r="A744" s="38"/>
      <c r="B744" s="38"/>
      <c r="C744" s="38"/>
      <c r="D744" s="48"/>
      <c r="E744" s="39"/>
    </row>
    <row r="745" spans="1:5">
      <c r="A745" s="38"/>
      <c r="B745" s="38"/>
      <c r="C745" s="38"/>
      <c r="D745" s="48"/>
      <c r="E745" s="39"/>
    </row>
    <row r="746" spans="1:5">
      <c r="A746" s="38"/>
      <c r="B746" s="38"/>
      <c r="C746" s="38"/>
      <c r="D746" s="48"/>
      <c r="E746" s="39"/>
    </row>
    <row r="747" spans="1:5">
      <c r="A747" s="38"/>
      <c r="B747" s="38"/>
      <c r="C747" s="38"/>
      <c r="D747" s="48"/>
      <c r="E747" s="39"/>
    </row>
    <row r="748" spans="1:5">
      <c r="A748" s="38"/>
      <c r="B748" s="38"/>
      <c r="C748" s="38"/>
      <c r="D748" s="48"/>
      <c r="E748" s="39"/>
    </row>
    <row r="749" spans="1:5">
      <c r="A749" s="38"/>
      <c r="B749" s="38"/>
      <c r="C749" s="38"/>
      <c r="D749" s="48"/>
      <c r="E749" s="39"/>
    </row>
    <row r="750" spans="1:5">
      <c r="A750" s="38"/>
      <c r="B750" s="38"/>
      <c r="C750" s="38"/>
      <c r="D750" s="48"/>
      <c r="E750" s="39"/>
    </row>
    <row r="751" spans="1:5">
      <c r="A751" s="38"/>
      <c r="B751" s="38"/>
      <c r="C751" s="38"/>
      <c r="D751" s="48"/>
      <c r="E751" s="39"/>
    </row>
    <row r="752" spans="1:5">
      <c r="A752" s="38"/>
      <c r="B752" s="38"/>
      <c r="C752" s="38"/>
      <c r="D752" s="48"/>
      <c r="E752" s="39"/>
    </row>
    <row r="753" spans="1:5">
      <c r="A753" s="38"/>
      <c r="B753" s="38"/>
      <c r="C753" s="38"/>
      <c r="D753" s="48"/>
      <c r="E753" s="39"/>
    </row>
    <row r="754" spans="1:5">
      <c r="A754" s="38"/>
      <c r="B754" s="38"/>
      <c r="C754" s="38"/>
      <c r="D754" s="48"/>
      <c r="E754" s="39"/>
    </row>
    <row r="755" spans="1:5">
      <c r="A755" s="38"/>
      <c r="B755" s="38"/>
      <c r="C755" s="38"/>
      <c r="D755" s="48"/>
      <c r="E755" s="39"/>
    </row>
    <row r="756" spans="1:5">
      <c r="A756" s="38"/>
      <c r="B756" s="38"/>
      <c r="C756" s="38"/>
      <c r="D756" s="48"/>
      <c r="E756" s="39"/>
    </row>
    <row r="757" spans="1:5">
      <c r="A757" s="38"/>
      <c r="B757" s="38"/>
      <c r="C757" s="38"/>
      <c r="D757" s="48"/>
      <c r="E757" s="39"/>
    </row>
    <row r="758" spans="1:5">
      <c r="A758" s="38"/>
      <c r="B758" s="38"/>
      <c r="C758" s="38"/>
      <c r="D758" s="48"/>
      <c r="E758" s="39"/>
    </row>
    <row r="759" spans="1:5">
      <c r="A759" s="38"/>
      <c r="B759" s="38"/>
      <c r="C759" s="38"/>
      <c r="D759" s="48"/>
      <c r="E759" s="39"/>
    </row>
    <row r="760" spans="1:5">
      <c r="A760" s="38"/>
      <c r="B760" s="38"/>
      <c r="C760" s="38"/>
      <c r="D760" s="48"/>
      <c r="E760" s="39"/>
    </row>
    <row r="761" spans="1:5">
      <c r="A761" s="38"/>
      <c r="B761" s="38"/>
      <c r="C761" s="38"/>
      <c r="D761" s="48"/>
      <c r="E761" s="39"/>
    </row>
    <row r="762" spans="1:5">
      <c r="A762" s="38"/>
      <c r="B762" s="38"/>
      <c r="C762" s="38"/>
      <c r="D762" s="48"/>
      <c r="E762" s="39"/>
    </row>
    <row r="763" spans="1:5">
      <c r="A763" s="38"/>
      <c r="B763" s="38"/>
      <c r="C763" s="38"/>
      <c r="D763" s="48"/>
      <c r="E763" s="39"/>
    </row>
    <row r="764" spans="1:5">
      <c r="A764" s="38"/>
      <c r="B764" s="38"/>
      <c r="C764" s="38"/>
      <c r="D764" s="48"/>
      <c r="E764" s="39"/>
    </row>
    <row r="765" spans="1:5">
      <c r="A765" s="38"/>
      <c r="B765" s="38"/>
      <c r="C765" s="38"/>
      <c r="D765" s="48"/>
      <c r="E765" s="39"/>
    </row>
    <row r="766" spans="1:5">
      <c r="A766" s="38"/>
      <c r="B766" s="38"/>
      <c r="C766" s="38"/>
      <c r="D766" s="48"/>
      <c r="E766" s="39"/>
    </row>
    <row r="767" spans="1:5">
      <c r="A767" s="38"/>
      <c r="B767" s="38"/>
      <c r="C767" s="38"/>
      <c r="D767" s="48"/>
      <c r="E767" s="39"/>
    </row>
    <row r="768" spans="1:5">
      <c r="A768" s="38"/>
      <c r="B768" s="38"/>
      <c r="C768" s="38"/>
      <c r="D768" s="48"/>
      <c r="E768" s="39"/>
    </row>
    <row r="769" spans="1:5">
      <c r="A769" s="38"/>
      <c r="B769" s="38"/>
      <c r="C769" s="38"/>
      <c r="D769" s="48"/>
      <c r="E769" s="39"/>
    </row>
    <row r="770" spans="1:5">
      <c r="A770" s="38"/>
      <c r="B770" s="38"/>
      <c r="C770" s="38"/>
      <c r="D770" s="48"/>
      <c r="E770" s="39"/>
    </row>
    <row r="771" spans="1:5">
      <c r="A771" s="38"/>
      <c r="B771" s="38"/>
      <c r="C771" s="38"/>
      <c r="D771" s="48"/>
      <c r="E771" s="39"/>
    </row>
    <row r="772" spans="1:5">
      <c r="A772" s="38"/>
      <c r="B772" s="38"/>
      <c r="C772" s="38"/>
      <c r="D772" s="48"/>
      <c r="E772" s="39"/>
    </row>
    <row r="773" spans="1:5">
      <c r="A773" s="38"/>
      <c r="B773" s="38"/>
      <c r="C773" s="38"/>
      <c r="D773" s="48"/>
      <c r="E773" s="39"/>
    </row>
    <row r="774" spans="1:5">
      <c r="A774" s="38"/>
      <c r="B774" s="38"/>
      <c r="C774" s="38"/>
      <c r="D774" s="48"/>
      <c r="E774" s="39"/>
    </row>
    <row r="775" spans="1:5">
      <c r="A775" s="38"/>
      <c r="B775" s="38"/>
      <c r="C775" s="38"/>
      <c r="D775" s="48"/>
      <c r="E775" s="39"/>
    </row>
    <row r="776" spans="1:5">
      <c r="A776" s="38"/>
      <c r="B776" s="38"/>
      <c r="C776" s="38"/>
      <c r="D776" s="48"/>
      <c r="E776" s="39"/>
    </row>
    <row r="777" spans="1:5">
      <c r="A777" s="38"/>
      <c r="B777" s="38"/>
      <c r="C777" s="38"/>
      <c r="D777" s="48"/>
      <c r="E777" s="3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1E6E-4D82-45FC-B470-1F37434308B0}">
  <dimension ref="A1:N26"/>
  <sheetViews>
    <sheetView topLeftCell="B5" workbookViewId="0">
      <selection sqref="A1:N26"/>
    </sheetView>
  </sheetViews>
  <sheetFormatPr defaultRowHeight="14.4"/>
  <cols>
    <col min="6" max="6" width="119.109375" bestFit="1" customWidth="1"/>
    <col min="7" max="13" width="8.88671875" hidden="1" customWidth="1"/>
    <col min="14" max="14" width="49.88671875" customWidth="1"/>
  </cols>
  <sheetData>
    <row r="1" spans="1:14">
      <c r="A1" s="106" t="s">
        <v>2217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</row>
    <row r="2" spans="1:14">
      <c r="A2" s="109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10"/>
    </row>
    <row r="3" spans="1:14">
      <c r="A3" s="109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110"/>
    </row>
    <row r="4" spans="1:14">
      <c r="A4" s="109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110"/>
    </row>
    <row r="5" spans="1:14">
      <c r="A5" s="109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110"/>
    </row>
    <row r="6" spans="1:14">
      <c r="A6" s="109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10"/>
    </row>
    <row r="7" spans="1:14">
      <c r="A7" s="109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10"/>
    </row>
    <row r="8" spans="1:14">
      <c r="A8" s="10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110"/>
    </row>
    <row r="9" spans="1:14">
      <c r="A9" s="10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110"/>
    </row>
    <row r="10" spans="1:14">
      <c r="A10" s="10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110"/>
    </row>
    <row r="11" spans="1:14">
      <c r="A11" s="10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110"/>
    </row>
    <row r="12" spans="1:14">
      <c r="A12" s="10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110"/>
    </row>
    <row r="13" spans="1:14" ht="15" thickBot="1">
      <c r="A13" s="111"/>
      <c r="B13" s="112"/>
      <c r="C13" s="112"/>
      <c r="D13" s="112"/>
      <c r="E13" s="112"/>
      <c r="F13" s="115"/>
      <c r="G13" s="115"/>
      <c r="H13" s="115"/>
      <c r="I13" s="115"/>
      <c r="J13" s="115"/>
      <c r="K13" s="115"/>
      <c r="L13" s="115"/>
      <c r="M13" s="115"/>
      <c r="N13" s="116"/>
    </row>
    <row r="14" spans="1:14">
      <c r="A14" s="119" t="s">
        <v>2218</v>
      </c>
      <c r="B14" s="117"/>
      <c r="C14" s="117"/>
      <c r="D14" s="117"/>
      <c r="E14" s="120"/>
      <c r="F14" s="139"/>
      <c r="N14" s="157"/>
    </row>
    <row r="15" spans="1:14" ht="41.4">
      <c r="A15" s="121"/>
      <c r="B15" s="118"/>
      <c r="C15" s="118"/>
      <c r="D15" s="118"/>
      <c r="E15" s="122"/>
      <c r="F15" s="155" t="s">
        <v>2219</v>
      </c>
      <c r="N15" s="160" t="s">
        <v>2225</v>
      </c>
    </row>
    <row r="16" spans="1:14">
      <c r="A16" s="121"/>
      <c r="B16" s="118"/>
      <c r="C16" s="118"/>
      <c r="D16" s="118"/>
      <c r="E16" s="122"/>
      <c r="F16" s="140"/>
      <c r="N16" s="143"/>
    </row>
    <row r="17" spans="1:14" ht="27.6">
      <c r="A17" s="121"/>
      <c r="B17" s="118"/>
      <c r="C17" s="118"/>
      <c r="D17" s="118"/>
      <c r="E17" s="122"/>
      <c r="F17" s="145" t="s">
        <v>2220</v>
      </c>
      <c r="N17" s="160" t="s">
        <v>2226</v>
      </c>
    </row>
    <row r="18" spans="1:14">
      <c r="A18" s="121"/>
      <c r="B18" s="118"/>
      <c r="C18" s="118"/>
      <c r="D18" s="118"/>
      <c r="E18" s="122"/>
      <c r="F18" s="145" t="s">
        <v>2221</v>
      </c>
      <c r="N18" s="143"/>
    </row>
    <row r="19" spans="1:14" ht="41.4">
      <c r="A19" s="121"/>
      <c r="B19" s="118"/>
      <c r="C19" s="118"/>
      <c r="D19" s="118"/>
      <c r="E19" s="122"/>
      <c r="F19" s="145"/>
      <c r="N19" s="161" t="s">
        <v>2227</v>
      </c>
    </row>
    <row r="20" spans="1:14">
      <c r="A20" s="121"/>
      <c r="B20" s="118"/>
      <c r="C20" s="118"/>
      <c r="D20" s="118"/>
      <c r="E20" s="122"/>
      <c r="F20" s="156" t="s">
        <v>2222</v>
      </c>
      <c r="N20" s="148"/>
    </row>
    <row r="21" spans="1:14">
      <c r="A21" s="121"/>
      <c r="B21" s="118"/>
      <c r="C21" s="118"/>
      <c r="D21" s="118"/>
      <c r="E21" s="122"/>
      <c r="F21" s="156" t="s">
        <v>10</v>
      </c>
      <c r="N21" s="158"/>
    </row>
    <row r="22" spans="1:14">
      <c r="A22" s="121"/>
      <c r="B22" s="118"/>
      <c r="C22" s="118"/>
      <c r="D22" s="118"/>
      <c r="E22" s="122"/>
      <c r="F22" s="156" t="s">
        <v>2097</v>
      </c>
      <c r="N22" s="158"/>
    </row>
    <row r="23" spans="1:14">
      <c r="A23" s="121"/>
      <c r="B23" s="118"/>
      <c r="C23" s="118"/>
      <c r="D23" s="118"/>
      <c r="E23" s="122"/>
      <c r="F23" s="156" t="s">
        <v>2223</v>
      </c>
      <c r="N23" s="158"/>
    </row>
    <row r="24" spans="1:14">
      <c r="A24" s="121"/>
      <c r="B24" s="118"/>
      <c r="C24" s="118"/>
      <c r="D24" s="118"/>
      <c r="E24" s="122"/>
      <c r="F24" s="156" t="s">
        <v>2224</v>
      </c>
      <c r="N24" s="148"/>
    </row>
    <row r="25" spans="1:14">
      <c r="A25" s="121"/>
      <c r="B25" s="118"/>
      <c r="C25" s="118"/>
      <c r="D25" s="118"/>
      <c r="E25" s="122"/>
      <c r="F25" s="148"/>
      <c r="N25" s="158"/>
    </row>
    <row r="26" spans="1:14" ht="15" thickBot="1">
      <c r="A26" s="121"/>
      <c r="B26" s="118"/>
      <c r="C26" s="118"/>
      <c r="D26" s="118"/>
      <c r="E26" s="122"/>
      <c r="F26" s="149"/>
      <c r="N26" s="159"/>
    </row>
  </sheetData>
  <mergeCells count="2">
    <mergeCell ref="A1:N13"/>
    <mergeCell ref="A14:E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89E9-DA67-4EC9-9B67-61CE65C5D7ED}">
  <dimension ref="A1:N12"/>
  <sheetViews>
    <sheetView workbookViewId="0">
      <selection activeCell="K18" sqref="K18"/>
    </sheetView>
  </sheetViews>
  <sheetFormatPr defaultRowHeight="14.4"/>
  <cols>
    <col min="1" max="1" width="10.44140625" bestFit="1" customWidth="1"/>
    <col min="2" max="2" width="13.77734375" bestFit="1" customWidth="1"/>
    <col min="3" max="3" width="15.109375" bestFit="1" customWidth="1"/>
    <col min="4" max="4" width="12.6640625" bestFit="1" customWidth="1"/>
    <col min="5" max="5" width="9.77734375" bestFit="1" customWidth="1"/>
    <col min="6" max="6" width="16.5546875" bestFit="1" customWidth="1"/>
    <col min="9" max="9" width="10.44140625" bestFit="1" customWidth="1"/>
    <col min="10" max="14" width="17.21875" bestFit="1" customWidth="1"/>
  </cols>
  <sheetData>
    <row r="1" spans="1:14" ht="15" thickBot="1">
      <c r="A1" s="163" t="s">
        <v>2228</v>
      </c>
      <c r="B1" s="164"/>
      <c r="C1" s="164"/>
      <c r="D1" s="164"/>
      <c r="E1" s="164"/>
      <c r="F1" s="165"/>
    </row>
    <row r="2" spans="1:14">
      <c r="A2" s="162" t="s">
        <v>2</v>
      </c>
      <c r="B2" s="162" t="s">
        <v>11</v>
      </c>
      <c r="C2" s="162" t="s">
        <v>10</v>
      </c>
      <c r="D2" s="162" t="s">
        <v>2097</v>
      </c>
      <c r="E2" s="162" t="s">
        <v>2098</v>
      </c>
      <c r="F2" s="162" t="s">
        <v>2099</v>
      </c>
    </row>
    <row r="3" spans="1:14">
      <c r="A3" s="21" t="s">
        <v>54</v>
      </c>
      <c r="B3" s="21" t="s">
        <v>60</v>
      </c>
      <c r="C3" s="21" t="s">
        <v>46</v>
      </c>
      <c r="D3" s="21" t="s">
        <v>2100</v>
      </c>
      <c r="E3" s="21">
        <v>41250</v>
      </c>
      <c r="F3" s="21">
        <v>12</v>
      </c>
    </row>
    <row r="4" spans="1:14">
      <c r="A4" s="21" t="s">
        <v>184</v>
      </c>
      <c r="B4" s="21" t="s">
        <v>189</v>
      </c>
      <c r="C4" s="21" t="s">
        <v>46</v>
      </c>
      <c r="D4" s="21" t="s">
        <v>2100</v>
      </c>
      <c r="E4" s="21">
        <v>525</v>
      </c>
      <c r="F4" s="21">
        <v>24</v>
      </c>
    </row>
    <row r="5" spans="1:14" ht="15" thickBot="1">
      <c r="A5" s="21" t="s">
        <v>72</v>
      </c>
      <c r="B5" s="21" t="s">
        <v>78</v>
      </c>
      <c r="C5" s="21" t="s">
        <v>46</v>
      </c>
      <c r="D5" s="21" t="s">
        <v>2100</v>
      </c>
      <c r="E5" s="21">
        <v>900</v>
      </c>
      <c r="F5" s="21">
        <v>6</v>
      </c>
    </row>
    <row r="6" spans="1:14" ht="46.8" thickBot="1">
      <c r="A6" s="21" t="s">
        <v>40</v>
      </c>
      <c r="B6" s="21" t="s">
        <v>47</v>
      </c>
      <c r="C6" s="21" t="s">
        <v>46</v>
      </c>
      <c r="D6" s="21" t="s">
        <v>2101</v>
      </c>
      <c r="E6" s="21">
        <v>9000</v>
      </c>
      <c r="F6" s="21">
        <v>24</v>
      </c>
      <c r="I6" s="234" t="s">
        <v>2229</v>
      </c>
      <c r="J6" s="235"/>
      <c r="K6" s="235"/>
      <c r="L6" s="235"/>
      <c r="M6" s="235"/>
      <c r="N6" s="236"/>
    </row>
    <row r="7" spans="1:14" ht="15" thickBot="1">
      <c r="A7" s="21" t="s">
        <v>92</v>
      </c>
      <c r="B7" s="21" t="s">
        <v>97</v>
      </c>
      <c r="C7" s="21" t="s">
        <v>32</v>
      </c>
      <c r="D7" s="21" t="s">
        <v>2101</v>
      </c>
      <c r="E7" s="21">
        <v>2625</v>
      </c>
      <c r="F7" s="21">
        <v>6</v>
      </c>
    </row>
    <row r="8" spans="1:14">
      <c r="A8" s="21" t="s">
        <v>24</v>
      </c>
      <c r="B8" s="21" t="s">
        <v>33</v>
      </c>
      <c r="C8" s="21" t="s">
        <v>32</v>
      </c>
      <c r="D8" s="21" t="s">
        <v>2101</v>
      </c>
      <c r="E8" s="21">
        <v>1650</v>
      </c>
      <c r="F8" s="21">
        <v>24</v>
      </c>
      <c r="I8" s="166" t="s">
        <v>2</v>
      </c>
      <c r="J8" s="167" t="s">
        <v>11</v>
      </c>
      <c r="K8" s="167" t="s">
        <v>10</v>
      </c>
      <c r="L8" s="167" t="s">
        <v>2097</v>
      </c>
      <c r="M8" s="167" t="s">
        <v>2098</v>
      </c>
      <c r="N8" s="168" t="s">
        <v>2099</v>
      </c>
    </row>
    <row r="9" spans="1:14" ht="15" thickBot="1">
      <c r="A9" s="21" t="s">
        <v>169</v>
      </c>
      <c r="B9" s="21" t="s">
        <v>174</v>
      </c>
      <c r="C9" s="21" t="s">
        <v>32</v>
      </c>
      <c r="D9" s="21" t="s">
        <v>2100</v>
      </c>
      <c r="E9" s="21">
        <v>6375</v>
      </c>
      <c r="F9" s="21">
        <v>24</v>
      </c>
      <c r="I9" s="232" t="s">
        <v>72</v>
      </c>
      <c r="J9" s="169" t="str">
        <f>IFERROR(_xlfn.XLOOKUP($I$9, $A3:$A12, B3:B12), "Product Not Found")</f>
        <v>Keyboard</v>
      </c>
      <c r="K9" s="169" t="str">
        <f>IFERROR(_xlfn.XLOOKUP($I$9, $A3:$A12, C3:C12), "Product Not Found")</f>
        <v>Electronics</v>
      </c>
      <c r="L9" s="169" t="str">
        <f>IFERROR(_xlfn.XLOOKUP($I$9, $A3:$A12, D3:D12), "Product Not Found")</f>
        <v>TechHub</v>
      </c>
      <c r="M9" s="169">
        <f>IFERROR(_xlfn.XLOOKUP($I$9, $A3:$A12, E3:E12), "Product Not Found")</f>
        <v>900</v>
      </c>
      <c r="N9" s="169">
        <f>IFERROR(_xlfn.XLOOKUP($I$9, $A3:$A12, F3:F12), "Product Not Found")</f>
        <v>6</v>
      </c>
    </row>
    <row r="10" spans="1:14">
      <c r="A10" s="21" t="s">
        <v>118</v>
      </c>
      <c r="B10" s="21" t="s">
        <v>123</v>
      </c>
      <c r="C10" s="21" t="s">
        <v>122</v>
      </c>
      <c r="D10" s="21" t="s">
        <v>2102</v>
      </c>
      <c r="E10" s="21">
        <v>45</v>
      </c>
      <c r="F10" s="21">
        <v>12</v>
      </c>
    </row>
    <row r="11" spans="1:14">
      <c r="A11" s="21" t="s">
        <v>222</v>
      </c>
      <c r="B11" s="21" t="s">
        <v>227</v>
      </c>
      <c r="C11" s="21" t="s">
        <v>122</v>
      </c>
      <c r="D11" s="21" t="s">
        <v>2103</v>
      </c>
      <c r="E11" s="21">
        <v>15</v>
      </c>
      <c r="F11" s="21">
        <v>12</v>
      </c>
    </row>
    <row r="12" spans="1:14">
      <c r="A12" s="21" t="s">
        <v>259</v>
      </c>
      <c r="B12" s="21" t="s">
        <v>263</v>
      </c>
      <c r="C12" s="21" t="s">
        <v>122</v>
      </c>
      <c r="D12" s="21" t="s">
        <v>2100</v>
      </c>
      <c r="E12" s="21">
        <v>33.75</v>
      </c>
      <c r="F12" s="21">
        <v>12</v>
      </c>
    </row>
  </sheetData>
  <mergeCells count="2">
    <mergeCell ref="A1:F1"/>
    <mergeCell ref="I6:N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9F86-A388-41D9-884B-C313CC7337E9}">
  <dimension ref="A1:N26"/>
  <sheetViews>
    <sheetView topLeftCell="A4" workbookViewId="0">
      <selection activeCell="F18" sqref="F18"/>
    </sheetView>
  </sheetViews>
  <sheetFormatPr defaultRowHeight="14.4"/>
  <cols>
    <col min="1" max="1" width="44.5546875" customWidth="1"/>
    <col min="6" max="6" width="39.44140625" customWidth="1"/>
    <col min="14" max="14" width="24.88671875" customWidth="1"/>
  </cols>
  <sheetData>
    <row r="1" spans="1:14">
      <c r="A1" s="106" t="s">
        <v>2230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</row>
    <row r="2" spans="1:14">
      <c r="A2" s="109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110"/>
    </row>
    <row r="3" spans="1:14">
      <c r="A3" s="109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110"/>
    </row>
    <row r="4" spans="1:14">
      <c r="A4" s="109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110"/>
    </row>
    <row r="5" spans="1:14">
      <c r="A5" s="109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110"/>
    </row>
    <row r="6" spans="1:14">
      <c r="A6" s="109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10"/>
    </row>
    <row r="7" spans="1:14">
      <c r="A7" s="109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10"/>
    </row>
    <row r="8" spans="1:14">
      <c r="A8" s="109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110"/>
    </row>
    <row r="9" spans="1:14">
      <c r="A9" s="109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110"/>
    </row>
    <row r="10" spans="1:14">
      <c r="A10" s="109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110"/>
    </row>
    <row r="11" spans="1:14">
      <c r="A11" s="109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110"/>
    </row>
    <row r="12" spans="1:14">
      <c r="A12" s="109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110"/>
    </row>
    <row r="13" spans="1:14" ht="15" thickBot="1">
      <c r="A13" s="111"/>
      <c r="B13" s="112"/>
      <c r="C13" s="112"/>
      <c r="D13" s="112"/>
      <c r="E13" s="112"/>
      <c r="F13" s="115"/>
      <c r="G13" s="115"/>
      <c r="H13" s="115"/>
      <c r="I13" s="115"/>
      <c r="J13" s="115"/>
      <c r="K13" s="115"/>
      <c r="L13" s="115"/>
      <c r="M13" s="115"/>
      <c r="N13" s="113"/>
    </row>
    <row r="14" spans="1:14">
      <c r="A14" s="121" t="s">
        <v>2231</v>
      </c>
      <c r="B14" s="118"/>
      <c r="C14" s="118"/>
      <c r="D14" s="118"/>
      <c r="E14" s="118"/>
      <c r="F14" s="170"/>
      <c r="G14" s="171"/>
      <c r="H14" s="171"/>
      <c r="I14" s="171"/>
      <c r="J14" s="171"/>
      <c r="K14" s="171"/>
      <c r="L14" s="171"/>
      <c r="M14" s="172"/>
      <c r="N14" s="180"/>
    </row>
    <row r="15" spans="1:14" ht="18">
      <c r="A15" s="121"/>
      <c r="B15" s="118"/>
      <c r="C15" s="118"/>
      <c r="D15" s="118"/>
      <c r="E15" s="118"/>
      <c r="F15" s="179" t="s">
        <v>2236</v>
      </c>
      <c r="G15" s="114"/>
      <c r="H15" s="114"/>
      <c r="I15" s="114"/>
      <c r="J15" s="114"/>
      <c r="K15" s="114"/>
      <c r="L15" s="114"/>
      <c r="M15" s="173"/>
      <c r="N15" s="184" t="s">
        <v>2165</v>
      </c>
    </row>
    <row r="16" spans="1:14">
      <c r="A16" s="121"/>
      <c r="B16" s="118"/>
      <c r="C16" s="118"/>
      <c r="D16" s="118"/>
      <c r="E16" s="118"/>
      <c r="F16" s="174"/>
      <c r="G16" s="114"/>
      <c r="H16" s="114"/>
      <c r="I16" s="114"/>
      <c r="J16" s="114"/>
      <c r="K16" s="114"/>
      <c r="L16" s="114"/>
      <c r="M16" s="173"/>
      <c r="N16" s="181"/>
    </row>
    <row r="17" spans="1:14" ht="43.2">
      <c r="A17" s="121"/>
      <c r="B17" s="118"/>
      <c r="C17" s="118"/>
      <c r="D17" s="118"/>
      <c r="E17" s="118"/>
      <c r="F17" s="175" t="s">
        <v>2232</v>
      </c>
      <c r="G17" s="114"/>
      <c r="H17" s="114"/>
      <c r="I17" s="114"/>
      <c r="J17" s="114"/>
      <c r="K17" s="114"/>
      <c r="L17" s="114"/>
      <c r="M17" s="173"/>
      <c r="N17" s="182" t="s">
        <v>2237</v>
      </c>
    </row>
    <row r="18" spans="1:14">
      <c r="A18" s="121"/>
      <c r="B18" s="118"/>
      <c r="C18" s="118"/>
      <c r="D18" s="118"/>
      <c r="E18" s="118"/>
      <c r="F18" s="174"/>
      <c r="G18" s="114"/>
      <c r="H18" s="114"/>
      <c r="I18" s="114"/>
      <c r="J18" s="114"/>
      <c r="K18" s="114"/>
      <c r="L18" s="114"/>
      <c r="M18" s="173"/>
      <c r="N18" s="181"/>
    </row>
    <row r="19" spans="1:14">
      <c r="A19" s="121"/>
      <c r="B19" s="118"/>
      <c r="C19" s="118"/>
      <c r="D19" s="118"/>
      <c r="E19" s="118"/>
      <c r="F19" s="175" t="s">
        <v>2233</v>
      </c>
      <c r="G19" s="114"/>
      <c r="H19" s="114"/>
      <c r="I19" s="114"/>
      <c r="J19" s="114"/>
      <c r="K19" s="114"/>
      <c r="L19" s="114"/>
      <c r="M19" s="173"/>
      <c r="N19" s="182" t="s">
        <v>2238</v>
      </c>
    </row>
    <row r="20" spans="1:14">
      <c r="A20" s="121"/>
      <c r="B20" s="118"/>
      <c r="C20" s="118"/>
      <c r="D20" s="118"/>
      <c r="E20" s="118"/>
      <c r="F20" s="174"/>
      <c r="G20" s="114"/>
      <c r="H20" s="114"/>
      <c r="I20" s="114"/>
      <c r="J20" s="114"/>
      <c r="K20" s="114"/>
      <c r="L20" s="114"/>
      <c r="M20" s="173"/>
      <c r="N20" s="181"/>
    </row>
    <row r="21" spans="1:14">
      <c r="A21" s="121"/>
      <c r="B21" s="118"/>
      <c r="C21" s="118"/>
      <c r="D21" s="118"/>
      <c r="E21" s="118"/>
      <c r="F21" s="175" t="s">
        <v>2241</v>
      </c>
      <c r="G21" s="114"/>
      <c r="H21" s="114"/>
      <c r="I21" s="114"/>
      <c r="J21" s="114"/>
      <c r="K21" s="114"/>
      <c r="L21" s="114"/>
      <c r="M21" s="173"/>
      <c r="N21" s="181" t="s">
        <v>2239</v>
      </c>
    </row>
    <row r="22" spans="1:14">
      <c r="A22" s="121"/>
      <c r="B22" s="118"/>
      <c r="C22" s="118"/>
      <c r="D22" s="118"/>
      <c r="E22" s="118"/>
      <c r="F22" s="174"/>
      <c r="G22" s="114"/>
      <c r="H22" s="114"/>
      <c r="I22" s="114"/>
      <c r="J22" s="114"/>
      <c r="K22" s="114"/>
      <c r="L22" s="114"/>
      <c r="M22" s="173"/>
      <c r="N22" s="181"/>
    </row>
    <row r="23" spans="1:14" ht="57.6">
      <c r="A23" s="121"/>
      <c r="B23" s="118"/>
      <c r="C23" s="118"/>
      <c r="D23" s="118"/>
      <c r="E23" s="118"/>
      <c r="F23" s="175" t="s">
        <v>2234</v>
      </c>
      <c r="G23" s="114"/>
      <c r="H23" s="114"/>
      <c r="I23" s="114"/>
      <c r="J23" s="114"/>
      <c r="K23" s="114"/>
      <c r="L23" s="114"/>
      <c r="M23" s="173"/>
      <c r="N23" s="182" t="s">
        <v>2240</v>
      </c>
    </row>
    <row r="24" spans="1:14">
      <c r="A24" s="121"/>
      <c r="B24" s="118"/>
      <c r="C24" s="118"/>
      <c r="D24" s="118"/>
      <c r="E24" s="118"/>
      <c r="F24" s="174"/>
      <c r="G24" s="114"/>
      <c r="H24" s="114"/>
      <c r="I24" s="114"/>
      <c r="J24" s="114"/>
      <c r="K24" s="114"/>
      <c r="L24" s="114"/>
      <c r="M24" s="173"/>
      <c r="N24" s="181"/>
    </row>
    <row r="25" spans="1:14">
      <c r="A25" s="121"/>
      <c r="B25" s="118"/>
      <c r="C25" s="118"/>
      <c r="D25" s="118"/>
      <c r="E25" s="118"/>
      <c r="F25" s="175" t="s">
        <v>2235</v>
      </c>
      <c r="G25" s="114"/>
      <c r="H25" s="114"/>
      <c r="I25" s="114"/>
      <c r="J25" s="114"/>
      <c r="K25" s="114"/>
      <c r="L25" s="114"/>
      <c r="M25" s="173"/>
      <c r="N25" s="181"/>
    </row>
    <row r="26" spans="1:14" ht="15" thickBot="1">
      <c r="A26" s="121"/>
      <c r="B26" s="118"/>
      <c r="C26" s="118"/>
      <c r="D26" s="118"/>
      <c r="E26" s="118"/>
      <c r="F26" s="176"/>
      <c r="G26" s="177"/>
      <c r="H26" s="177"/>
      <c r="I26" s="177"/>
      <c r="J26" s="177"/>
      <c r="K26" s="177"/>
      <c r="L26" s="177"/>
      <c r="M26" s="178"/>
      <c r="N26" s="183"/>
    </row>
  </sheetData>
  <mergeCells count="2">
    <mergeCell ref="A1:N13"/>
    <mergeCell ref="A14:E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2F3-8CDF-4F1E-9FC0-DDDBA5C19EC0}">
  <dimension ref="B1:W16"/>
  <sheetViews>
    <sheetView showGridLines="0" tabSelected="1" zoomScale="90" zoomScaleNormal="90" workbookViewId="0">
      <selection activeCell="L17" sqref="L17"/>
    </sheetView>
  </sheetViews>
  <sheetFormatPr defaultRowHeight="14.4"/>
  <cols>
    <col min="1" max="1" width="3" customWidth="1"/>
    <col min="2" max="2" width="16.109375" bestFit="1" customWidth="1"/>
    <col min="3" max="3" width="5.5546875" bestFit="1" customWidth="1"/>
    <col min="10" max="10" width="14.21875" customWidth="1"/>
  </cols>
  <sheetData>
    <row r="1" spans="2:23" ht="46.8" thickBot="1">
      <c r="B1" s="185" t="s">
        <v>2242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7"/>
    </row>
    <row r="3" spans="2:23" ht="15" thickBot="1"/>
    <row r="4" spans="2:23" ht="21.6" thickBot="1">
      <c r="B4" s="188" t="s">
        <v>2243</v>
      </c>
      <c r="C4" s="189"/>
      <c r="D4" s="189"/>
      <c r="E4" s="189"/>
      <c r="F4" s="189"/>
      <c r="G4" s="189"/>
      <c r="H4" s="189"/>
      <c r="I4" s="190"/>
      <c r="K4" s="188" t="s">
        <v>2247</v>
      </c>
      <c r="L4" s="189"/>
      <c r="M4" s="189"/>
      <c r="N4" s="189"/>
      <c r="O4" s="189"/>
      <c r="P4" s="189"/>
      <c r="Q4" s="189"/>
      <c r="R4" s="190"/>
      <c r="T4" s="188" t="s">
        <v>2244</v>
      </c>
      <c r="U4" s="189"/>
      <c r="V4" s="189"/>
      <c r="W4" s="190"/>
    </row>
    <row r="5" spans="2:23" ht="15" thickBot="1"/>
    <row r="6" spans="2:23">
      <c r="B6" s="193">
        <f>SUMIFS('Final Data'!Q:Q,'Final Data'!L:L,"*Electronics*",'Final Data'!AG:AG,"*Completed*")</f>
        <v>19333177.5</v>
      </c>
      <c r="C6" s="194"/>
      <c r="D6" s="194"/>
      <c r="E6" s="194"/>
      <c r="F6" s="194"/>
      <c r="G6" s="194"/>
      <c r="H6" s="194"/>
      <c r="I6" s="195"/>
      <c r="K6" s="211">
        <f>COUNTIFS('Final Data'!P:P, "&gt;=0.15", 'Final Data'!S:S, "*Upi*")</f>
        <v>45</v>
      </c>
      <c r="L6" s="212"/>
      <c r="M6" s="212"/>
      <c r="N6" s="212"/>
      <c r="O6" s="212"/>
      <c r="P6" s="212"/>
      <c r="Q6" s="212"/>
      <c r="R6" s="213"/>
      <c r="T6" s="221">
        <f>SUMIFS('Final Data'!Q:Q, 'Final Data'!T:T, "*Neha*", 'Final Data'!J:J, "*North*")</f>
        <v>1351743</v>
      </c>
      <c r="U6" s="222"/>
      <c r="V6" s="222"/>
      <c r="W6" s="223"/>
    </row>
    <row r="7" spans="2:23">
      <c r="B7" s="196"/>
      <c r="C7" s="197"/>
      <c r="D7" s="197"/>
      <c r="E7" s="197"/>
      <c r="F7" s="197"/>
      <c r="G7" s="197"/>
      <c r="H7" s="197"/>
      <c r="I7" s="198"/>
      <c r="K7" s="214"/>
      <c r="L7" s="215"/>
      <c r="M7" s="215"/>
      <c r="N7" s="215"/>
      <c r="O7" s="215"/>
      <c r="P7" s="215"/>
      <c r="Q7" s="215"/>
      <c r="R7" s="216"/>
      <c r="T7" s="224"/>
      <c r="U7" s="225"/>
      <c r="V7" s="225"/>
      <c r="W7" s="226"/>
    </row>
    <row r="8" spans="2:23" ht="16.2" customHeight="1" thickBot="1">
      <c r="B8" s="199"/>
      <c r="C8" s="200"/>
      <c r="D8" s="200"/>
      <c r="E8" s="200"/>
      <c r="F8" s="200"/>
      <c r="G8" s="200"/>
      <c r="H8" s="200"/>
      <c r="I8" s="201"/>
      <c r="K8" s="217"/>
      <c r="L8" s="218"/>
      <c r="M8" s="218"/>
      <c r="N8" s="218"/>
      <c r="O8" s="218"/>
      <c r="P8" s="218"/>
      <c r="Q8" s="218"/>
      <c r="R8" s="219"/>
      <c r="T8" s="227"/>
      <c r="U8" s="228"/>
      <c r="V8" s="228"/>
      <c r="W8" s="229"/>
    </row>
    <row r="9" spans="2:23" ht="15" thickBot="1">
      <c r="I9" s="230">
        <f>COUNTIFS('Final Data'!L:L, "*Electronics*", 'Final Data'!AG:AG, "*Completed*")</f>
        <v>189</v>
      </c>
      <c r="W9" s="230">
        <f>COUNTIFS('Final Data'!T:T, "*Neha*", 'Final Data'!J:J, "*North*")</f>
        <v>19</v>
      </c>
    </row>
    <row r="10" spans="2:23" ht="15" thickBot="1"/>
    <row r="11" spans="2:23" ht="21.6" thickBot="1">
      <c r="C11" s="188" t="s">
        <v>2245</v>
      </c>
      <c r="D11" s="189"/>
      <c r="E11" s="189"/>
      <c r="F11" s="189"/>
      <c r="G11" s="189"/>
      <c r="H11" s="189"/>
      <c r="I11" s="189"/>
      <c r="J11" s="190"/>
      <c r="M11" s="188" t="s">
        <v>2246</v>
      </c>
      <c r="N11" s="189"/>
      <c r="O11" s="189"/>
      <c r="P11" s="189"/>
      <c r="Q11" s="189"/>
      <c r="R11" s="189"/>
      <c r="S11" s="189"/>
      <c r="T11" s="190"/>
    </row>
    <row r="12" spans="2:23" ht="15" thickBot="1"/>
    <row r="13" spans="2:23">
      <c r="C13" s="202">
        <f>COUNTIFS('Final Data'!R:R, 5, 'Final Data'!AG:AG, "*Completed*")</f>
        <v>76</v>
      </c>
      <c r="D13" s="203"/>
      <c r="E13" s="203"/>
      <c r="F13" s="203"/>
      <c r="G13" s="203"/>
      <c r="H13" s="203"/>
      <c r="I13" s="203"/>
      <c r="J13" s="204"/>
      <c r="M13" s="193">
        <f>AVERAGEIFS('Final Data'!Q:Q, 'Final Data'!J:J, "*West*", 'Final Data'!N:N, "&gt;5")</f>
        <v>58210.833791208788</v>
      </c>
      <c r="N13" s="194"/>
      <c r="O13" s="194"/>
      <c r="P13" s="194"/>
      <c r="Q13" s="194"/>
      <c r="R13" s="194"/>
      <c r="S13" s="194"/>
      <c r="T13" s="195"/>
    </row>
    <row r="14" spans="2:23">
      <c r="C14" s="205"/>
      <c r="D14" s="206"/>
      <c r="E14" s="206"/>
      <c r="F14" s="206"/>
      <c r="G14" s="206"/>
      <c r="H14" s="206"/>
      <c r="I14" s="206"/>
      <c r="J14" s="207"/>
      <c r="M14" s="196"/>
      <c r="N14" s="197"/>
      <c r="O14" s="197"/>
      <c r="P14" s="197"/>
      <c r="Q14" s="197"/>
      <c r="R14" s="197"/>
      <c r="S14" s="197"/>
      <c r="T14" s="198"/>
    </row>
    <row r="15" spans="2:23" ht="15" thickBot="1">
      <c r="C15" s="208"/>
      <c r="D15" s="209"/>
      <c r="E15" s="209"/>
      <c r="F15" s="209"/>
      <c r="G15" s="209"/>
      <c r="H15" s="209"/>
      <c r="I15" s="209"/>
      <c r="J15" s="210"/>
      <c r="M15" s="199"/>
      <c r="N15" s="200"/>
      <c r="O15" s="200"/>
      <c r="P15" s="200"/>
      <c r="Q15" s="200"/>
      <c r="R15" s="200"/>
      <c r="S15" s="200"/>
      <c r="T15" s="201"/>
    </row>
    <row r="16" spans="2:23" ht="15" thickBot="1">
      <c r="T16" s="220">
        <f>COUNTIFS('Final Data'!J:J, "*West*", 'Final Data'!N:N, "&gt;5")</f>
        <v>182</v>
      </c>
    </row>
  </sheetData>
  <mergeCells count="11">
    <mergeCell ref="B6:I8"/>
    <mergeCell ref="K6:R8"/>
    <mergeCell ref="C11:J11"/>
    <mergeCell ref="C13:J15"/>
    <mergeCell ref="M11:T11"/>
    <mergeCell ref="M13:T15"/>
    <mergeCell ref="T6:W8"/>
    <mergeCell ref="B1:W1"/>
    <mergeCell ref="B4:I4"/>
    <mergeCell ref="K4:R4"/>
    <mergeCell ref="T4:W4"/>
  </mergeCells>
  <pageMargins left="0.7" right="0.7" top="0.75" bottom="0.75" header="0.3" footer="0.3"/>
  <ignoredErrors>
    <ignoredError sqref="K6 C13 B6 T16 W9 I9 M13 T6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Raw Data</vt:lpstr>
      <vt:lpstr>Sales_data</vt:lpstr>
      <vt:lpstr>Product_Master</vt:lpstr>
      <vt:lpstr>Custumer_Master</vt:lpstr>
      <vt:lpstr>Data Cleaning</vt:lpstr>
      <vt:lpstr>Final Data</vt:lpstr>
      <vt:lpstr>Question 1</vt:lpstr>
      <vt:lpstr>Answer 1</vt:lpstr>
      <vt:lpstr>Question 2</vt:lpstr>
      <vt:lpstr>Answer 2</vt:lpstr>
      <vt:lpstr>Question 3</vt:lpstr>
      <vt:lpstr>Answer 3</vt:lpstr>
      <vt:lpstr>Question 4</vt:lpstr>
      <vt:lpstr>Answer 4</vt:lpstr>
      <vt:lpstr>Question 5</vt:lpstr>
      <vt:lpstr>Answer 5 -Sales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Misra</dc:creator>
  <cp:lastModifiedBy>Shashwat Misra</cp:lastModifiedBy>
  <dcterms:created xsi:type="dcterms:W3CDTF">2015-06-05T18:17:20Z</dcterms:created>
  <dcterms:modified xsi:type="dcterms:W3CDTF">2026-07-27T15:00:33Z</dcterms:modified>
</cp:coreProperties>
</file>